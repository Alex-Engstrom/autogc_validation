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728" firstSheet="0" activeTab="5" autoFilterDateGrouping="1"/>
  </bookViews>
  <sheets>
    <sheet xmlns:r="http://schemas.openxmlformats.org/officeDocument/2006/relationships" name="Validator Notes" sheetId="1" state="visible" r:id="rId1"/>
    <sheet xmlns:r="http://schemas.openxmlformats.org/officeDocument/2006/relationships" name="QC Review" sheetId="2" state="visible" r:id="rId2"/>
    <sheet xmlns:r="http://schemas.openxmlformats.org/officeDocument/2006/relationships" name="Reprocessed Data" sheetId="3" state="visible" r:id="rId3"/>
    <sheet xmlns:r="http://schemas.openxmlformats.org/officeDocument/2006/relationships" name="Reprocess Plan" sheetId="4" state="visible" r:id="rId4"/>
    <sheet xmlns:r="http://schemas.openxmlformats.org/officeDocument/2006/relationships" name="QUALIFIERS_NULL " sheetId="5" state="visible" r:id="rId5"/>
    <sheet xmlns:r="http://schemas.openxmlformats.org/officeDocument/2006/relationships" name="Calculations" sheetId="6" state="visible" r:id="rId6"/>
  </sheets>
  <definedNames>
    <definedName name="_xlnm.Print_Area" localSheetId="0">'Validator Notes'!$A$1:$M$92</definedName>
    <definedName name="_xlnm.Print_Area" localSheetId="1">'QC Review'!$A$1:$G$119</definedName>
    <definedName name="_xlnm.Print_Area" localSheetId="2">'Reprocessed Data'!$A$1:$L$88</definedName>
    <definedName name="_xlnm.Print_Area" localSheetId="3">'Reprocess Plan'!$C$1:$BH$188</definedName>
    <definedName name="_xlnm.Print_Area" localSheetId="4">'QUALIFIERS_NULL '!$A$1:$XEZ$52</definedName>
    <definedName name="_xlnm.Print_Area" localSheetId="5">'Calculations'!$A$1:$Q$60</definedName>
  </definedNames>
  <calcPr calcId="191029" fullCalcOnLoad="1"/>
</workbook>
</file>

<file path=xl/styles.xml><?xml version="1.0" encoding="utf-8"?>
<styleSheet xmlns="http://schemas.openxmlformats.org/spreadsheetml/2006/main">
  <numFmts count="2">
    <numFmt numFmtId="164" formatCode="_(* #,##0_);_(* \(#,##0\);_(* &quot;-&quot;??_);_(@_)"/>
    <numFmt numFmtId="165" formatCode="0.0000"/>
  </numFmts>
  <fonts count="20">
    <font>
      <name val="Calibri"/>
      <family val="2"/>
      <color theme="1"/>
      <sz val="11"/>
      <scheme val="minor"/>
    </font>
    <font>
      <name val="Arial"/>
      <family val="2"/>
      <sz val="10"/>
    </font>
    <font>
      <name val="Calibri"/>
      <family val="2"/>
      <b val="1"/>
      <color theme="1"/>
      <sz val="11"/>
      <scheme val="minor"/>
    </font>
    <font>
      <name val="Calibri"/>
      <family val="2"/>
      <sz val="10"/>
      <scheme val="minor"/>
    </font>
    <font>
      <name val="Calibri"/>
      <family val="2"/>
      <b val="1"/>
      <sz val="14"/>
      <scheme val="minor"/>
    </font>
    <font>
      <name val="Calibri"/>
      <family val="2"/>
      <sz val="11"/>
      <scheme val="minor"/>
    </font>
    <font>
      <name val="Calibri"/>
      <family val="2"/>
      <b val="1"/>
      <sz val="10"/>
      <scheme val="minor"/>
    </font>
    <font>
      <name val="Calibri"/>
      <family val="2"/>
      <b val="1"/>
      <sz val="11"/>
      <scheme val="minor"/>
    </font>
    <font>
      <name val="Calibri"/>
      <family val="2"/>
      <b val="1"/>
      <sz val="16"/>
      <scheme val="minor"/>
    </font>
    <font>
      <name val="Calibri"/>
      <family val="2"/>
      <color theme="1"/>
      <sz val="12"/>
      <scheme val="minor"/>
    </font>
    <font>
      <name val="Calibri"/>
      <family val="2"/>
      <b val="1"/>
      <sz val="18"/>
      <scheme val="minor"/>
    </font>
    <font>
      <name val="Calibri"/>
      <family val="2"/>
      <b val="1"/>
      <sz val="12"/>
      <scheme val="minor"/>
    </font>
    <font>
      <name val="Calibri"/>
      <family val="2"/>
      <sz val="12"/>
      <scheme val="minor"/>
    </font>
    <font>
      <name val="Calibri"/>
      <family val="2"/>
      <b val="1"/>
      <color indexed="22"/>
      <sz val="14"/>
      <scheme val="minor"/>
    </font>
    <font>
      <name val="Calibri"/>
      <family val="2"/>
      <sz val="14"/>
      <scheme val="minor"/>
    </font>
    <font>
      <name val="Calibri"/>
      <family val="2"/>
      <color theme="1"/>
      <sz val="10"/>
    </font>
    <font>
      <name val="Calibri"/>
      <family val="2"/>
      <color theme="1"/>
      <sz val="10"/>
      <scheme val="minor"/>
    </font>
    <font>
      <name val="Calibri"/>
      <family val="2"/>
      <color theme="1"/>
      <sz val="11"/>
      <scheme val="minor"/>
    </font>
    <font>
      <name val="Arial"/>
      <family val="2"/>
      <color rgb="FF000000"/>
      <sz val="9"/>
    </font>
    <font>
      <name val="Arial"/>
      <family val="2"/>
      <sz val="10"/>
    </font>
  </fonts>
  <fills count="24">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A568D2"/>
        <bgColor indexed="64"/>
      </patternFill>
    </fill>
    <fill>
      <patternFill patternType="solid">
        <fgColor rgb="FFFF0000"/>
        <bgColor indexed="64"/>
      </patternFill>
    </fill>
    <fill>
      <patternFill patternType="solid">
        <fgColor rgb="FFFF99FF"/>
        <bgColor indexed="64"/>
      </patternFill>
    </fill>
    <fill>
      <patternFill patternType="solid">
        <fgColor theme="9" tint="0.5999938962981048"/>
        <bgColor indexed="64"/>
      </patternFill>
    </fill>
    <fill>
      <patternFill patternType="solid">
        <fgColor rgb="FF00FFFF"/>
        <bgColor indexed="64"/>
      </patternFill>
    </fill>
    <fill>
      <patternFill patternType="solid">
        <fgColor rgb="FFFFFF00"/>
        <bgColor indexed="64"/>
      </patternFill>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rgb="FFBFBFBF"/>
        <bgColor indexed="64"/>
      </patternFill>
    </fill>
    <fill>
      <patternFill patternType="solid">
        <fgColor theme="1"/>
        <bgColor indexed="64"/>
      </patternFill>
    </fill>
    <fill>
      <patternFill patternType="solid">
        <fgColor rgb="FF338583"/>
        <bgColor indexed="64"/>
      </patternFill>
    </fill>
    <fill>
      <patternFill patternType="solid">
        <fgColor rgb="FFFFCC99"/>
        <bgColor indexed="64"/>
      </patternFill>
    </fill>
    <fill>
      <patternFill patternType="solid">
        <fgColor theme="2" tint="-0.09997863704336681"/>
        <bgColor indexed="64"/>
      </patternFill>
    </fill>
    <fill>
      <patternFill patternType="solid">
        <fgColor theme="6" tint="0.3999755851924192"/>
        <bgColor indexed="64"/>
      </patternFill>
    </fill>
    <fill>
      <patternFill patternType="solid">
        <fgColor theme="5" tint="0.5999938962981048"/>
        <bgColor indexed="64"/>
      </patternFill>
    </fill>
    <fill>
      <patternFill patternType="solid">
        <fgColor theme="4" tint="0.5999938962981048"/>
        <bgColor indexed="64"/>
      </patternFill>
    </fill>
  </fills>
  <borders count="63">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s>
  <cellStyleXfs count="7">
    <xf numFmtId="0" fontId="17" fillId="0" borderId="0"/>
    <xf numFmtId="0" fontId="19" fillId="0" borderId="0"/>
    <xf numFmtId="3" fontId="19" fillId="0" borderId="0"/>
    <xf numFmtId="43" fontId="17" fillId="0" borderId="0"/>
    <xf numFmtId="0" fontId="19" fillId="0" borderId="0"/>
    <xf numFmtId="0" fontId="19" fillId="0" borderId="0"/>
    <xf numFmtId="9" fontId="19" fillId="0" borderId="0"/>
  </cellStyleXfs>
  <cellXfs count="368">
    <xf numFmtId="0" fontId="0" fillId="0" borderId="0" pivotButton="0" quotePrefix="0" xfId="0"/>
    <xf numFmtId="0" fontId="0" fillId="0" borderId="8" applyAlignment="1" pivotButton="0" quotePrefix="0" xfId="0">
      <alignment horizontal="center"/>
    </xf>
    <xf numFmtId="0" fontId="0" fillId="0" borderId="5" pivotButton="0" quotePrefix="0" xfId="0"/>
    <xf numFmtId="0" fontId="0" fillId="0" borderId="8" applyAlignment="1" applyProtection="1" pivotButton="0" quotePrefix="0" xfId="0">
      <alignment horizontal="center"/>
      <protection locked="0" hidden="0"/>
    </xf>
    <xf numFmtId="0" fontId="0" fillId="0" borderId="8" pivotButton="0" quotePrefix="0" xfId="0"/>
    <xf numFmtId="0" fontId="6" fillId="0" borderId="0" applyAlignment="1" pivotButton="0" quotePrefix="0" xfId="1">
      <alignment horizontal="right"/>
    </xf>
    <xf numFmtId="0" fontId="9" fillId="0" borderId="0" applyAlignment="1" pivotButton="0" quotePrefix="0" xfId="0">
      <alignment vertical="center" wrapText="1"/>
    </xf>
    <xf numFmtId="0" fontId="0" fillId="0" borderId="13" pivotButton="0" quotePrefix="0" xfId="0"/>
    <xf numFmtId="0" fontId="0" fillId="10" borderId="8" applyProtection="1" pivotButton="0" quotePrefix="0" xfId="0">
      <protection locked="0" hidden="0"/>
    </xf>
    <xf numFmtId="0" fontId="0" fillId="10" borderId="5" applyProtection="1" pivotButton="0" quotePrefix="0" xfId="0">
      <protection locked="0" hidden="0"/>
    </xf>
    <xf numFmtId="0" fontId="3" fillId="0" borderId="0" pivotButton="0" quotePrefix="0" xfId="1"/>
    <xf numFmtId="0" fontId="3" fillId="0" borderId="0" applyProtection="1" pivotButton="0" quotePrefix="0" xfId="1">
      <protection locked="0" hidden="0"/>
    </xf>
    <xf numFmtId="0" fontId="11" fillId="0" borderId="0" pivotButton="0" quotePrefix="0" xfId="1"/>
    <xf numFmtId="0" fontId="12" fillId="0" borderId="0" pivotButton="0" quotePrefix="0" xfId="1"/>
    <xf numFmtId="0" fontId="12" fillId="0" borderId="0" applyAlignment="1" applyProtection="1" pivotButton="0" quotePrefix="0" xfId="1">
      <alignment horizontal="left"/>
      <protection locked="0" hidden="0"/>
    </xf>
    <xf numFmtId="0" fontId="4" fillId="0" borderId="0" pivotButton="0" quotePrefix="0" xfId="1"/>
    <xf numFmtId="0" fontId="4" fillId="2" borderId="0" pivotButton="0" quotePrefix="0" xfId="1"/>
    <xf numFmtId="0" fontId="13" fillId="2" borderId="0" pivotButton="0" quotePrefix="0" xfId="1"/>
    <xf numFmtId="0" fontId="4" fillId="0" borderId="0" applyProtection="1" pivotButton="0" quotePrefix="0" xfId="1">
      <protection locked="0" hidden="0"/>
    </xf>
    <xf numFmtId="1" fontId="6" fillId="0" borderId="0" applyAlignment="1" pivotButton="0" quotePrefix="0" xfId="1">
      <alignment horizontal="center"/>
    </xf>
    <xf numFmtId="1" fontId="6" fillId="0" borderId="0" applyAlignment="1" applyProtection="1" pivotButton="0" quotePrefix="0" xfId="1">
      <alignment horizontal="center"/>
      <protection locked="0" hidden="0"/>
    </xf>
    <xf numFmtId="0" fontId="3" fillId="0" borderId="0" applyAlignment="1" pivotButton="0" quotePrefix="0" xfId="1">
      <alignment horizontal="center" vertical="center" readingOrder="1"/>
    </xf>
    <xf numFmtId="0" fontId="3" fillId="0" borderId="0" applyAlignment="1" applyProtection="1" pivotButton="0" quotePrefix="0" xfId="1">
      <alignment horizontal="center" vertical="center" readingOrder="1"/>
      <protection locked="0" hidden="0"/>
    </xf>
    <xf numFmtId="0" fontId="12" fillId="0" borderId="0" applyAlignment="1" pivotButton="0" quotePrefix="0" xfId="1">
      <alignment horizontal="right"/>
    </xf>
    <xf numFmtId="0" fontId="12" fillId="0" borderId="0" applyAlignment="1" pivotButton="0" quotePrefix="0" xfId="1">
      <alignment horizontal="right" vertical="top"/>
    </xf>
    <xf numFmtId="0" fontId="12" fillId="0" borderId="0" applyAlignment="1" pivotButton="0" quotePrefix="0" xfId="1">
      <alignment horizontal="center" textRotation="45"/>
    </xf>
    <xf numFmtId="0" fontId="12" fillId="0" borderId="0" applyAlignment="1" applyProtection="1" pivotButton="0" quotePrefix="0" xfId="1">
      <alignment horizontal="center" textRotation="45"/>
      <protection locked="0" hidden="0"/>
    </xf>
    <xf numFmtId="0" fontId="12" fillId="0" borderId="0" applyAlignment="1" pivotButton="0" quotePrefix="0" xfId="1">
      <alignment horizontal="center"/>
    </xf>
    <xf numFmtId="0" fontId="3" fillId="5" borderId="8" applyAlignment="1" applyProtection="1" pivotButton="0" quotePrefix="0" xfId="1">
      <alignment horizontal="center" vertical="center" readingOrder="1"/>
      <protection locked="0" hidden="0"/>
    </xf>
    <xf numFmtId="0" fontId="11" fillId="0" borderId="0" applyAlignment="1" applyProtection="1" pivotButton="0" quotePrefix="0" xfId="1">
      <alignment horizontal="left"/>
      <protection locked="0" hidden="0"/>
    </xf>
    <xf numFmtId="1" fontId="11" fillId="0" borderId="0" applyAlignment="1" applyProtection="1" pivotButton="0" quotePrefix="0" xfId="1">
      <alignment horizontal="left"/>
      <protection locked="0" hidden="0"/>
    </xf>
    <xf numFmtId="0" fontId="12" fillId="0" borderId="0" applyAlignment="1" applyProtection="1" pivotButton="0" quotePrefix="0" xfId="1">
      <alignment horizontal="left" vertical="center" readingOrder="1"/>
      <protection locked="0" hidden="0"/>
    </xf>
    <xf numFmtId="0" fontId="3" fillId="0" borderId="0" applyAlignment="1" applyProtection="1" pivotButton="0" quotePrefix="0" xfId="1">
      <alignment horizontal="left" vertical="top" wrapText="1"/>
      <protection locked="0" hidden="0"/>
    </xf>
    <xf numFmtId="0" fontId="12" fillId="0" borderId="0" applyAlignment="1" pivotButton="0" quotePrefix="0" xfId="1">
      <alignment horizontal="left"/>
    </xf>
    <xf numFmtId="0" fontId="3" fillId="0" borderId="1" applyAlignment="1" pivotButton="0" quotePrefix="0" xfId="1">
      <alignment horizontal="center"/>
    </xf>
    <xf numFmtId="0" fontId="3" fillId="0" borderId="0" applyAlignment="1" pivotButton="0" quotePrefix="0" xfId="1">
      <alignment wrapText="1"/>
    </xf>
    <xf numFmtId="0" fontId="3" fillId="0" borderId="2" applyAlignment="1" pivotButton="0" quotePrefix="0" xfId="1">
      <alignment horizontal="center"/>
    </xf>
    <xf numFmtId="0" fontId="0" fillId="0" borderId="0" applyAlignment="1" pivotButton="0" quotePrefix="0" xfId="0">
      <alignment horizontal="center"/>
    </xf>
    <xf numFmtId="0" fontId="3" fillId="0" borderId="0" applyAlignment="1" applyProtection="1" pivotButton="0" quotePrefix="0" xfId="1">
      <alignment vertical="top" wrapText="1"/>
      <protection locked="0" hidden="0"/>
    </xf>
    <xf numFmtId="1" fontId="6" fillId="13" borderId="0" applyAlignment="1" pivotButton="0" quotePrefix="0" xfId="1">
      <alignment horizontal="center"/>
    </xf>
    <xf numFmtId="0" fontId="6" fillId="13" borderId="0" applyAlignment="1" pivotButton="0" quotePrefix="0" xfId="1">
      <alignment horizontal="center" vertical="center" readingOrder="1"/>
    </xf>
    <xf numFmtId="0" fontId="3" fillId="0" borderId="0" applyAlignment="1" applyProtection="1" pivotButton="0" quotePrefix="0" xfId="1">
      <alignment horizontal="center" vertical="center"/>
      <protection locked="0" hidden="0"/>
    </xf>
    <xf numFmtId="0" fontId="3" fillId="0" borderId="0" applyAlignment="1" applyProtection="1" pivotButton="0" quotePrefix="0" xfId="1">
      <alignment vertical="center"/>
      <protection locked="0" hidden="0"/>
    </xf>
    <xf numFmtId="0" fontId="3" fillId="0" borderId="0" applyAlignment="1" applyProtection="1" pivotButton="0" quotePrefix="0" xfId="1">
      <alignment horizontal="center" vertical="center" wrapText="1"/>
      <protection locked="0" hidden="0"/>
    </xf>
    <xf numFmtId="0" fontId="4" fillId="0" borderId="0" applyAlignment="1" pivotButton="0" quotePrefix="0" xfId="1">
      <alignment horizontal="center"/>
    </xf>
    <xf numFmtId="0" fontId="3" fillId="10" borderId="11" applyAlignment="1" applyProtection="1" pivotButton="0" quotePrefix="0" xfId="1">
      <alignment horizontal="center"/>
      <protection locked="0" hidden="0"/>
    </xf>
    <xf numFmtId="49" fontId="3" fillId="10" borderId="7" applyAlignment="1" applyProtection="1" pivotButton="0" quotePrefix="0" xfId="1">
      <alignment horizontal="center"/>
      <protection locked="0" hidden="0"/>
    </xf>
    <xf numFmtId="0" fontId="3" fillId="10" borderId="7" applyAlignment="1" applyProtection="1" pivotButton="0" quotePrefix="0" xfId="1">
      <alignment horizontal="center"/>
      <protection locked="0" hidden="0"/>
    </xf>
    <xf numFmtId="0" fontId="3" fillId="0" borderId="8" applyAlignment="1" applyProtection="1" pivotButton="0" quotePrefix="0" xfId="1">
      <alignment horizontal="center" vertical="center" wrapText="1"/>
      <protection locked="0" hidden="0"/>
    </xf>
    <xf numFmtId="0" fontId="3" fillId="0" borderId="8" applyAlignment="1" applyProtection="1" pivotButton="0" quotePrefix="0" xfId="1">
      <alignment vertical="center" wrapText="1"/>
      <protection locked="0" hidden="0"/>
    </xf>
    <xf numFmtId="0" fontId="3" fillId="0" borderId="8" applyAlignment="1" applyProtection="1" pivotButton="0" quotePrefix="0" xfId="1">
      <alignment horizontal="center" vertical="center"/>
      <protection locked="0" hidden="0"/>
    </xf>
    <xf numFmtId="14" fontId="3" fillId="0" borderId="8" applyAlignment="1" applyProtection="1" pivotButton="0" quotePrefix="0" xfId="1">
      <alignment horizontal="center" vertical="center"/>
      <protection locked="0" hidden="0"/>
    </xf>
    <xf numFmtId="20" fontId="3" fillId="0" borderId="8" applyAlignment="1" applyProtection="1" pivotButton="0" quotePrefix="0" xfId="1">
      <alignment horizontal="center" vertical="center"/>
      <protection locked="0" hidden="0"/>
    </xf>
    <xf numFmtId="0" fontId="3" fillId="2" borderId="8" applyAlignment="1" pivotButton="0" quotePrefix="0" xfId="1">
      <alignment horizontal="center" vertical="center"/>
    </xf>
    <xf numFmtId="0" fontId="6" fillId="2" borderId="3" applyAlignment="1" pivotButton="0" quotePrefix="0" xfId="1">
      <alignment horizontal="center"/>
    </xf>
    <xf numFmtId="0" fontId="3" fillId="0" borderId="0" applyAlignment="1" pivotButton="0" quotePrefix="0" xfId="1">
      <alignment horizontal="center"/>
    </xf>
    <xf numFmtId="0" fontId="16" fillId="0" borderId="21" applyAlignment="1" pivotButton="0" quotePrefix="0" xfId="0">
      <alignment vertical="center" wrapText="1"/>
    </xf>
    <xf numFmtId="0" fontId="16" fillId="0" borderId="23" applyAlignment="1" pivotButton="0" quotePrefix="0" xfId="0">
      <alignment vertical="center" wrapText="1"/>
    </xf>
    <xf numFmtId="0" fontId="16" fillId="0" borderId="25" applyAlignment="1" pivotButton="0" quotePrefix="0" xfId="0">
      <alignment vertical="center" wrapText="1"/>
    </xf>
    <xf numFmtId="0" fontId="16" fillId="0" borderId="28" applyAlignment="1" pivotButton="0" quotePrefix="0" xfId="0">
      <alignment vertical="center" wrapText="1"/>
    </xf>
    <xf numFmtId="14" fontId="16" fillId="0" borderId="19" applyAlignment="1" pivotButton="0" quotePrefix="0" xfId="0">
      <alignment horizontal="center" vertical="center" wrapText="1"/>
    </xf>
    <xf numFmtId="14" fontId="16" fillId="0" borderId="22" applyAlignment="1" pivotButton="0" quotePrefix="0" xfId="0">
      <alignment horizontal="center" vertical="center" wrapText="1"/>
    </xf>
    <xf numFmtId="0" fontId="3" fillId="0" borderId="0" applyAlignment="1" pivotButton="0" quotePrefix="0" xfId="1">
      <alignment horizontal="center" vertical="center"/>
    </xf>
    <xf numFmtId="20" fontId="16" fillId="0" borderId="20" applyAlignment="1" pivotButton="0" quotePrefix="0" xfId="0">
      <alignment horizontal="center" vertical="center" wrapText="1"/>
    </xf>
    <xf numFmtId="20" fontId="16" fillId="0" borderId="9" applyAlignment="1" pivotButton="0" quotePrefix="0" xfId="0">
      <alignment horizontal="center" vertical="center" wrapText="1"/>
    </xf>
    <xf numFmtId="20" fontId="16" fillId="0" borderId="24" applyAlignment="1" pivotButton="0" quotePrefix="0" xfId="0">
      <alignment horizontal="center" vertical="center" wrapText="1"/>
    </xf>
    <xf numFmtId="0" fontId="9" fillId="0" borderId="0" applyAlignment="1" pivotButton="0" quotePrefix="0" xfId="0">
      <alignment horizontal="center" vertical="center" wrapText="1"/>
    </xf>
    <xf numFmtId="0" fontId="12" fillId="0" borderId="0" applyProtection="1" pivotButton="0" quotePrefix="0" xfId="1">
      <protection locked="0" hidden="0"/>
    </xf>
    <xf numFmtId="0" fontId="11" fillId="0" borderId="0" applyProtection="1" pivotButton="0" quotePrefix="0" xfId="1">
      <protection locked="0" hidden="0"/>
    </xf>
    <xf numFmtId="0" fontId="8" fillId="0" borderId="0" applyAlignment="1" pivotButton="0" quotePrefix="0" xfId="0">
      <alignment horizontal="left"/>
    </xf>
    <xf numFmtId="0" fontId="0" fillId="0" borderId="0" applyAlignment="1" pivotButton="0" quotePrefix="0" xfId="0">
      <alignment horizontal="left"/>
    </xf>
    <xf numFmtId="0" fontId="3" fillId="2" borderId="19" pivotButton="0" quotePrefix="0" xfId="1"/>
    <xf numFmtId="0" fontId="3" fillId="2" borderId="20" pivotButton="0" quotePrefix="0" xfId="1"/>
    <xf numFmtId="0" fontId="6" fillId="2" borderId="20" applyAlignment="1" pivotButton="0" quotePrefix="0" xfId="1">
      <alignment horizontal="center" vertical="center"/>
    </xf>
    <xf numFmtId="0" fontId="6" fillId="2" borderId="21" applyAlignment="1" pivotButton="0" quotePrefix="0" xfId="1">
      <alignment horizontal="center" vertical="center"/>
    </xf>
    <xf numFmtId="0" fontId="6" fillId="2" borderId="3" applyAlignment="1" pivotButton="0" quotePrefix="0" xfId="1">
      <alignment horizontal="center" vertical="center"/>
    </xf>
    <xf numFmtId="0" fontId="3" fillId="2" borderId="3" applyAlignment="1" pivotButton="0" quotePrefix="0" xfId="1">
      <alignment horizontal="center" vertical="center"/>
    </xf>
    <xf numFmtId="0" fontId="6" fillId="2" borderId="29" applyAlignment="1" pivotButton="0" quotePrefix="0" xfId="1">
      <alignment horizontal="center" vertical="center"/>
    </xf>
    <xf numFmtId="0" fontId="0" fillId="0" borderId="0" applyAlignment="1" pivotButton="0" quotePrefix="0" xfId="0">
      <alignment horizontal="left" wrapText="1"/>
    </xf>
    <xf numFmtId="0" fontId="0" fillId="0" borderId="17" applyAlignment="1" pivotButton="0" quotePrefix="0" xfId="0">
      <alignment horizontal="center"/>
    </xf>
    <xf numFmtId="0" fontId="0" fillId="0" borderId="8" applyAlignment="1" pivotButton="0" quotePrefix="0" xfId="0">
      <alignment vertical="center"/>
    </xf>
    <xf numFmtId="0" fontId="7" fillId="2" borderId="8" pivotButton="0" quotePrefix="0" xfId="1"/>
    <xf numFmtId="0" fontId="7" fillId="2" borderId="8" applyAlignment="1" pivotButton="0" quotePrefix="0" xfId="1">
      <alignment wrapText="1"/>
    </xf>
    <xf numFmtId="14" fontId="5" fillId="0" borderId="8" applyAlignment="1" pivotButton="0" quotePrefix="0" xfId="1">
      <alignment vertical="center"/>
    </xf>
    <xf numFmtId="0" fontId="5" fillId="0" borderId="8" applyAlignment="1" pivotButton="0" quotePrefix="0" xfId="1">
      <alignment vertical="center"/>
    </xf>
    <xf numFmtId="0" fontId="2" fillId="15" borderId="8" pivotButton="0" quotePrefix="0" xfId="0"/>
    <xf numFmtId="10" fontId="4" fillId="0" borderId="8" applyAlignment="1" pivotButton="0" quotePrefix="0" xfId="1">
      <alignment vertical="center"/>
    </xf>
    <xf numFmtId="0" fontId="5" fillId="0" borderId="8" applyAlignment="1" pivotButton="0" quotePrefix="1" xfId="1">
      <alignment vertical="center"/>
    </xf>
    <xf numFmtId="10" fontId="5" fillId="0" borderId="8" applyAlignment="1" pivotButton="0" quotePrefix="0" xfId="1">
      <alignment vertical="center"/>
    </xf>
    <xf numFmtId="0" fontId="8" fillId="17" borderId="0" pivotButton="0" quotePrefix="0" xfId="0"/>
    <xf numFmtId="0" fontId="0" fillId="17" borderId="0" pivotButton="0" quotePrefix="0" xfId="0"/>
    <xf numFmtId="0" fontId="0" fillId="0" borderId="11" pivotButton="0" quotePrefix="0" xfId="0"/>
    <xf numFmtId="0" fontId="16" fillId="0" borderId="31" applyAlignment="1" pivotButton="0" quotePrefix="0" xfId="0">
      <alignment vertical="center" wrapText="1"/>
    </xf>
    <xf numFmtId="20" fontId="16" fillId="0" borderId="8" applyAlignment="1" pivotButton="0" quotePrefix="0" xfId="0">
      <alignment horizontal="center" vertical="center" wrapText="1"/>
    </xf>
    <xf numFmtId="14" fontId="16" fillId="0" borderId="37" applyAlignment="1" pivotButton="0" quotePrefix="0" xfId="0">
      <alignment horizontal="center" vertical="center" wrapText="1"/>
    </xf>
    <xf numFmtId="0" fontId="16" fillId="0" borderId="25" applyAlignment="1" pivotButton="0" quotePrefix="0" xfId="0">
      <alignment horizontal="center" vertical="center" wrapText="1"/>
    </xf>
    <xf numFmtId="14" fontId="16" fillId="0" borderId="38" applyAlignment="1" pivotButton="0" quotePrefix="0" xfId="0">
      <alignment horizontal="center" vertical="center" wrapText="1"/>
    </xf>
    <xf numFmtId="0" fontId="3" fillId="11" borderId="8" applyAlignment="1" pivotButton="0" quotePrefix="0" xfId="1">
      <alignment horizontal="center" vertical="center"/>
    </xf>
    <xf numFmtId="0" fontId="6" fillId="2" borderId="36" applyAlignment="1" pivotButton="0" quotePrefix="0" xfId="1">
      <alignment horizontal="center" vertical="center"/>
    </xf>
    <xf numFmtId="0" fontId="0" fillId="13" borderId="4" applyProtection="1" pivotButton="0" quotePrefix="0" xfId="0">
      <protection locked="0" hidden="0"/>
    </xf>
    <xf numFmtId="0" fontId="18" fillId="13" borderId="0" pivotButton="0" quotePrefix="0" xfId="0"/>
    <xf numFmtId="14" fontId="0" fillId="13" borderId="10" applyAlignment="1" applyProtection="1" pivotButton="0" quotePrefix="0" xfId="0">
      <alignment horizontal="left"/>
      <protection locked="0" hidden="0"/>
    </xf>
    <xf numFmtId="14" fontId="0" fillId="13" borderId="12" applyAlignment="1" applyProtection="1" pivotButton="0" quotePrefix="0" xfId="0">
      <alignment horizontal="left"/>
      <protection locked="0" hidden="0"/>
    </xf>
    <xf numFmtId="0" fontId="0" fillId="13" borderId="15" applyProtection="1" pivotButton="0" quotePrefix="0" xfId="0">
      <protection locked="0" hidden="0"/>
    </xf>
    <xf numFmtId="0" fontId="0" fillId="13" borderId="5" pivotButton="0" quotePrefix="0" xfId="0"/>
    <xf numFmtId="0" fontId="0" fillId="13" borderId="6" pivotButton="0" quotePrefix="0" xfId="0"/>
    <xf numFmtId="0" fontId="0" fillId="13" borderId="13" applyProtection="1" pivotButton="0" quotePrefix="0" xfId="0">
      <protection locked="0" hidden="0"/>
    </xf>
    <xf numFmtId="0" fontId="0" fillId="13" borderId="11" applyAlignment="1" pivotButton="0" quotePrefix="0" xfId="0">
      <alignment horizontal="left"/>
    </xf>
    <xf numFmtId="0" fontId="0" fillId="13" borderId="7" pivotButton="0" quotePrefix="0" xfId="0"/>
    <xf numFmtId="0" fontId="18" fillId="0" borderId="0" pivotButton="0" quotePrefix="0" xfId="0"/>
    <xf numFmtId="14" fontId="3" fillId="13" borderId="19" applyAlignment="1" applyProtection="1" pivotButton="0" quotePrefix="0" xfId="1">
      <alignment horizontal="center" vertical="center" wrapText="1"/>
      <protection locked="0" hidden="0"/>
    </xf>
    <xf numFmtId="20" fontId="16" fillId="13" borderId="20" applyAlignment="1" pivotButton="0" quotePrefix="0" xfId="0">
      <alignment horizontal="center" vertical="center" wrapText="1"/>
    </xf>
    <xf numFmtId="14" fontId="3" fillId="13" borderId="22" applyAlignment="1" applyProtection="1" pivotButton="0" quotePrefix="0" xfId="1">
      <alignment horizontal="center" vertical="center" wrapText="1"/>
      <protection locked="0" hidden="0"/>
    </xf>
    <xf numFmtId="20" fontId="16" fillId="13" borderId="8" applyAlignment="1" pivotButton="0" quotePrefix="0" xfId="0">
      <alignment horizontal="center" vertical="center" wrapText="1"/>
    </xf>
    <xf numFmtId="0" fontId="3" fillId="13" borderId="0" applyAlignment="1" applyProtection="1" pivotButton="0" quotePrefix="0" xfId="1">
      <alignment horizontal="left" vertical="top" wrapText="1"/>
      <protection locked="0" hidden="0"/>
    </xf>
    <xf numFmtId="164" fontId="0" fillId="10" borderId="8" applyProtection="1" pivotButton="0" quotePrefix="0" xfId="3">
      <protection locked="0" hidden="0"/>
    </xf>
    <xf numFmtId="164" fontId="0" fillId="10" borderId="5" applyProtection="1" pivotButton="0" quotePrefix="0" xfId="3">
      <protection locked="0" hidden="0"/>
    </xf>
    <xf numFmtId="20" fontId="16" fillId="0" borderId="23" applyAlignment="1" pivotButton="0" quotePrefix="0" xfId="0">
      <alignment vertical="center" wrapText="1"/>
    </xf>
    <xf numFmtId="14" fontId="3" fillId="0" borderId="37" applyAlignment="1" applyProtection="1" pivotButton="0" quotePrefix="0" xfId="1">
      <alignment horizontal="center" vertical="center" wrapText="1"/>
      <protection locked="0" hidden="0"/>
    </xf>
    <xf numFmtId="20" fontId="16" fillId="0" borderId="21" applyAlignment="1" pivotButton="0" quotePrefix="0" xfId="0">
      <alignment vertical="center" wrapText="1"/>
    </xf>
    <xf numFmtId="0" fontId="16" fillId="13" borderId="5" applyAlignment="1" pivotButton="0" quotePrefix="0" xfId="0">
      <alignment vertical="center" wrapText="1"/>
    </xf>
    <xf numFmtId="0" fontId="16" fillId="0" borderId="42" applyAlignment="1" pivotButton="0" quotePrefix="0" xfId="0">
      <alignment vertical="center" wrapText="1"/>
    </xf>
    <xf numFmtId="20" fontId="16" fillId="0" borderId="28" applyAlignment="1" pivotButton="0" quotePrefix="0" xfId="0">
      <alignment vertical="center" wrapText="1"/>
    </xf>
    <xf numFmtId="14" fontId="3" fillId="0" borderId="40" applyAlignment="1" applyProtection="1" pivotButton="0" quotePrefix="0" xfId="1">
      <alignment horizontal="center" vertical="center" wrapText="1"/>
      <protection locked="0" hidden="0"/>
    </xf>
    <xf numFmtId="0" fontId="0" fillId="0" borderId="0" applyAlignment="1" applyProtection="1" pivotButton="0" quotePrefix="0" xfId="0">
      <alignment horizontal="center"/>
      <protection locked="0" hidden="0"/>
    </xf>
    <xf numFmtId="0" fontId="3" fillId="6" borderId="8" applyAlignment="1" applyProtection="1" pivotButton="0" quotePrefix="0" xfId="1">
      <alignment horizontal="center" vertical="center"/>
      <protection locked="0" hidden="0"/>
    </xf>
    <xf numFmtId="0" fontId="3" fillId="7" borderId="8" applyAlignment="1" applyProtection="1" pivotButton="0" quotePrefix="0" xfId="1">
      <alignment horizontal="center" vertical="center"/>
      <protection locked="0" hidden="0"/>
    </xf>
    <xf numFmtId="0" fontId="3" fillId="8" borderId="8" applyAlignment="1" applyProtection="1" pivotButton="0" quotePrefix="0" xfId="1">
      <alignment horizontal="center" vertical="center"/>
      <protection locked="0" hidden="0"/>
    </xf>
    <xf numFmtId="0" fontId="3" fillId="14" borderId="8" applyAlignment="1" applyProtection="1" pivotButton="0" quotePrefix="0" xfId="1">
      <alignment horizontal="center" vertical="center"/>
      <protection locked="0" hidden="0"/>
    </xf>
    <xf numFmtId="0" fontId="12" fillId="0" borderId="0" applyAlignment="1" applyProtection="1" pivotButton="0" quotePrefix="0" xfId="1">
      <alignment horizontal="center" vertical="center"/>
      <protection locked="0" hidden="0"/>
    </xf>
    <xf numFmtId="1" fontId="3" fillId="4" borderId="8" applyAlignment="1" applyProtection="1" pivotButton="0" quotePrefix="0" xfId="1">
      <alignment horizontal="center" vertical="center"/>
      <protection locked="0" hidden="0"/>
    </xf>
    <xf numFmtId="0" fontId="3" fillId="9" borderId="8" applyAlignment="1" applyProtection="1" pivotButton="0" quotePrefix="0" xfId="1">
      <alignment horizontal="center" vertical="center"/>
      <protection locked="0" hidden="0"/>
    </xf>
    <xf numFmtId="0" fontId="12" fillId="12" borderId="8" applyAlignment="1" applyProtection="1" pivotButton="0" quotePrefix="0" xfId="1">
      <alignment horizontal="center" vertical="center"/>
      <protection locked="0" hidden="0"/>
    </xf>
    <xf numFmtId="0" fontId="12" fillId="0" borderId="8" applyAlignment="1" applyProtection="1" pivotButton="0" quotePrefix="0" xfId="1">
      <alignment horizontal="center" vertical="center"/>
      <protection locked="0" hidden="0"/>
    </xf>
    <xf numFmtId="0" fontId="3" fillId="18" borderId="8" applyAlignment="1" applyProtection="1" pivotButton="0" quotePrefix="0" xfId="1">
      <alignment horizontal="center" vertical="center"/>
      <protection locked="0" hidden="0"/>
    </xf>
    <xf numFmtId="0" fontId="12" fillId="19" borderId="8" applyAlignment="1" applyProtection="1" pivotButton="0" quotePrefix="0" xfId="1">
      <alignment horizontal="center" vertical="center"/>
      <protection locked="0" hidden="0"/>
    </xf>
    <xf numFmtId="0" fontId="12" fillId="0" borderId="0" applyAlignment="1" pivotButton="0" quotePrefix="0" xfId="1">
      <alignment horizontal="center" vertical="center"/>
    </xf>
    <xf numFmtId="0" fontId="11" fillId="0" borderId="0" applyAlignment="1" applyProtection="1" pivotButton="0" quotePrefix="0" xfId="1">
      <alignment horizontal="center" vertical="center"/>
      <protection locked="0" hidden="0"/>
    </xf>
    <xf numFmtId="0" fontId="3" fillId="13" borderId="8" applyAlignment="1" pivotButton="0" quotePrefix="0" xfId="1">
      <alignment horizontal="center" vertical="center"/>
    </xf>
    <xf numFmtId="0" fontId="16" fillId="13" borderId="23" applyAlignment="1" pivotButton="0" quotePrefix="0" xfId="0">
      <alignment vertical="center" wrapText="1"/>
    </xf>
    <xf numFmtId="0" fontId="6" fillId="2" borderId="43" applyAlignment="1" pivotButton="0" quotePrefix="0" xfId="1">
      <alignment horizontal="center"/>
    </xf>
    <xf numFmtId="0" fontId="6" fillId="2" borderId="45" applyAlignment="1" pivotButton="0" quotePrefix="0" xfId="1">
      <alignment horizontal="center"/>
    </xf>
    <xf numFmtId="0" fontId="15" fillId="16" borderId="33" applyAlignment="1" pivotButton="0" quotePrefix="0" xfId="0">
      <alignment horizontal="center" vertical="center" wrapText="1"/>
    </xf>
    <xf numFmtId="20" fontId="3" fillId="0" borderId="8" applyAlignment="1" applyProtection="1" pivotButton="0" quotePrefix="0" xfId="1">
      <alignment horizontal="center" vertical="center" wrapText="1"/>
      <protection locked="0" hidden="0"/>
    </xf>
    <xf numFmtId="0" fontId="16" fillId="0" borderId="47" applyAlignment="1" pivotButton="0" quotePrefix="0" xfId="0">
      <alignment vertical="center" wrapText="1"/>
    </xf>
    <xf numFmtId="0" fontId="16" fillId="0" borderId="48" applyAlignment="1" pivotButton="0" quotePrefix="0" xfId="0">
      <alignment horizontal="center" vertical="center" wrapText="1"/>
    </xf>
    <xf numFmtId="14" fontId="16" fillId="0" borderId="39" applyAlignment="1" pivotButton="0" quotePrefix="0" xfId="0">
      <alignment horizontal="center" vertical="center" wrapText="1"/>
    </xf>
    <xf numFmtId="14" fontId="16" fillId="0" borderId="6" applyAlignment="1" pivotButton="0" quotePrefix="0" xfId="0">
      <alignment horizontal="center" vertical="center" wrapText="1"/>
    </xf>
    <xf numFmtId="14" fontId="16" fillId="0" borderId="41" applyAlignment="1" pivotButton="0" quotePrefix="0" xfId="0">
      <alignment horizontal="center" vertical="center" wrapText="1"/>
    </xf>
    <xf numFmtId="0" fontId="16" fillId="0" borderId="5" applyAlignment="1" pivotButton="0" quotePrefix="0" xfId="0">
      <alignment vertical="center" wrapText="1"/>
    </xf>
    <xf numFmtId="20" fontId="16" fillId="0" borderId="5" applyAlignment="1" pivotButton="0" quotePrefix="0" xfId="0">
      <alignment vertical="center" wrapText="1"/>
    </xf>
    <xf numFmtId="14" fontId="16" fillId="0" borderId="12" applyAlignment="1" pivotButton="0" quotePrefix="0" xfId="0">
      <alignment horizontal="center" vertical="center" wrapText="1"/>
    </xf>
    <xf numFmtId="0" fontId="16" fillId="0" borderId="10" applyAlignment="1" pivotButton="0" quotePrefix="0" xfId="0">
      <alignment vertical="center" wrapText="1"/>
    </xf>
    <xf numFmtId="0" fontId="16" fillId="0" borderId="22"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6" applyAlignment="1" pivotButton="0" quotePrefix="0" xfId="0">
      <alignment horizontal="center" vertical="center" wrapText="1"/>
    </xf>
    <xf numFmtId="0" fontId="16" fillId="13" borderId="22" applyAlignment="1" pivotButton="0" quotePrefix="0" xfId="0">
      <alignment horizontal="center" vertical="center" wrapText="1"/>
    </xf>
    <xf numFmtId="0" fontId="16" fillId="0" borderId="37" applyAlignment="1" pivotButton="0" quotePrefix="0" xfId="0">
      <alignment horizontal="center" vertical="center" wrapText="1"/>
    </xf>
    <xf numFmtId="0" fontId="16" fillId="0" borderId="38" applyAlignment="1" pivotButton="0" quotePrefix="0" xfId="0">
      <alignment horizontal="center" vertical="center" wrapText="1"/>
    </xf>
    <xf numFmtId="0" fontId="16" fillId="0" borderId="40" applyAlignment="1" pivotButton="0" quotePrefix="0" xfId="0">
      <alignment horizontal="center" vertical="center" wrapText="1"/>
    </xf>
    <xf numFmtId="0" fontId="16" fillId="0" borderId="41" applyAlignment="1" pivotButton="0" quotePrefix="0" xfId="0">
      <alignment horizontal="center" vertical="center" wrapText="1"/>
    </xf>
    <xf numFmtId="0" fontId="16" fillId="13" borderId="9" applyAlignment="1" pivotButton="0" quotePrefix="0" xfId="0">
      <alignment horizontal="center" vertical="center" wrapText="1"/>
    </xf>
    <xf numFmtId="0" fontId="16" fillId="13" borderId="8" applyAlignment="1" pivotButton="0" quotePrefix="0" xfId="0">
      <alignment horizontal="center" vertical="center" wrapText="1"/>
    </xf>
    <xf numFmtId="0" fontId="16" fillId="0" borderId="24" applyAlignment="1" pivotButton="0" quotePrefix="0" xfId="0">
      <alignment horizontal="center" vertical="center" wrapText="1"/>
    </xf>
    <xf numFmtId="0" fontId="6" fillId="2" borderId="45" applyAlignment="1" pivotButton="0" quotePrefix="0" xfId="1">
      <alignment horizontal="center" vertical="center"/>
    </xf>
    <xf numFmtId="0" fontId="6" fillId="2" borderId="46" applyAlignment="1" pivotButton="0" quotePrefix="0" xfId="1">
      <alignment horizontal="center" wrapText="1"/>
    </xf>
    <xf numFmtId="0" fontId="16" fillId="0" borderId="23" applyAlignment="1" pivotButton="0" quotePrefix="0" xfId="0">
      <alignment wrapText="1"/>
    </xf>
    <xf numFmtId="0" fontId="16" fillId="0" borderId="21" applyAlignment="1" pivotButton="0" quotePrefix="0" xfId="0">
      <alignment wrapText="1"/>
    </xf>
    <xf numFmtId="0" fontId="3" fillId="0" borderId="0" applyAlignment="1" pivotButton="0" quotePrefix="0" xfId="1">
      <alignment horizontal="left" vertical="center"/>
    </xf>
    <xf numFmtId="0" fontId="10" fillId="0" borderId="0" applyAlignment="1" pivotButton="0" quotePrefix="0" xfId="1">
      <alignment vertical="center"/>
    </xf>
    <xf numFmtId="0" fontId="7" fillId="0" borderId="11" pivotButton="0" quotePrefix="0" xfId="1"/>
    <xf numFmtId="0" fontId="7" fillId="0" borderId="12" pivotButton="0" quotePrefix="0" xfId="1"/>
    <xf numFmtId="0" fontId="0" fillId="20" borderId="8" applyAlignment="1" pivotButton="0" quotePrefix="0" xfId="0">
      <alignment horizontal="center"/>
    </xf>
    <xf numFmtId="0" fontId="0" fillId="20" borderId="8" pivotButton="0" quotePrefix="0" xfId="0"/>
    <xf numFmtId="0" fontId="0" fillId="21" borderId="3" applyAlignment="1" pivotButton="0" quotePrefix="0" xfId="0">
      <alignment horizontal="center"/>
    </xf>
    <xf numFmtId="0" fontId="7" fillId="2" borderId="15" applyAlignment="1" pivotButton="0" quotePrefix="0" xfId="1">
      <alignment horizontal="center"/>
    </xf>
    <xf numFmtId="0" fontId="7" fillId="2" borderId="0" applyAlignment="1" pivotButton="0" quotePrefix="0" xfId="1">
      <alignment horizontal="center"/>
    </xf>
    <xf numFmtId="0" fontId="5" fillId="2" borderId="3" applyAlignment="1" pivotButton="0" quotePrefix="0" xfId="1">
      <alignment horizontal="center"/>
    </xf>
    <xf numFmtId="0" fontId="7" fillId="2" borderId="16" applyAlignment="1" pivotButton="0" quotePrefix="0" xfId="1">
      <alignment horizontal="center"/>
    </xf>
    <xf numFmtId="0" fontId="0" fillId="21" borderId="8" applyAlignment="1" pivotButton="0" quotePrefix="0" xfId="0">
      <alignment horizontal="center"/>
    </xf>
    <xf numFmtId="0" fontId="5" fillId="0" borderId="8" applyAlignment="1" pivotButton="0" quotePrefix="0" xfId="0">
      <alignment horizontal="center" vertical="center" wrapText="1"/>
    </xf>
    <xf numFmtId="14" fontId="0" fillId="0" borderId="7" applyAlignment="1" pivotButton="0" quotePrefix="0" xfId="0">
      <alignment horizontal="center" vertical="center" wrapText="1"/>
    </xf>
    <xf numFmtId="0" fontId="0" fillId="0" borderId="7" applyAlignment="1" pivotButton="0" quotePrefix="0" xfId="0">
      <alignment horizontal="center" vertical="center" wrapText="1"/>
    </xf>
    <xf numFmtId="0" fontId="5" fillId="2" borderId="8" applyAlignment="1" pivotButton="0" quotePrefix="0" xfId="1">
      <alignment horizontal="center" vertical="center" wrapText="1"/>
    </xf>
    <xf numFmtId="0" fontId="0" fillId="0" borderId="6" applyAlignment="1" pivotButton="0" quotePrefix="0" xfId="0">
      <alignment horizontal="center" vertical="center" wrapText="1"/>
    </xf>
    <xf numFmtId="0" fontId="0" fillId="0" borderId="8" applyAlignment="1" pivotButton="0" quotePrefix="0" xfId="0">
      <alignment vertical="center" wrapText="1"/>
    </xf>
    <xf numFmtId="0" fontId="7" fillId="0" borderId="0" pivotButton="0" quotePrefix="0" xfId="1"/>
    <xf numFmtId="22" fontId="0" fillId="0" borderId="5" applyAlignment="1" pivotButton="0" quotePrefix="0" xfId="0">
      <alignment horizontal="center" vertical="center"/>
    </xf>
    <xf numFmtId="0" fontId="0" fillId="0" borderId="7" applyAlignment="1" pivotButton="0" quotePrefix="0" xfId="0">
      <alignment horizontal="center" vertical="center"/>
    </xf>
    <xf numFmtId="0" fontId="5" fillId="2" borderId="8" applyAlignment="1" pivotButton="0" quotePrefix="0" xfId="1">
      <alignment horizontal="center" vertical="center"/>
    </xf>
    <xf numFmtId="0" fontId="0" fillId="0" borderId="6" applyAlignment="1" pivotButton="0" quotePrefix="0" xfId="0">
      <alignment horizontal="center" vertical="center"/>
    </xf>
    <xf numFmtId="49" fontId="3" fillId="0" borderId="2" applyAlignment="1" pivotButton="0" quotePrefix="0" xfId="1">
      <alignment horizontal="center"/>
    </xf>
    <xf numFmtId="0" fontId="0" fillId="0" borderId="51" pivotButton="0" quotePrefix="0" xfId="0"/>
    <xf numFmtId="0" fontId="0" fillId="0" borderId="1" pivotButton="0" quotePrefix="0" xfId="0"/>
    <xf numFmtId="0" fontId="0" fillId="0" borderId="30" pivotButton="0" quotePrefix="0" xfId="0"/>
    <xf numFmtId="0" fontId="0" fillId="0" borderId="52" pivotButton="0" quotePrefix="0" xfId="0"/>
    <xf numFmtId="0" fontId="0" fillId="0" borderId="33" pivotButton="0" quotePrefix="0" xfId="0"/>
    <xf numFmtId="0" fontId="0" fillId="0" borderId="53" pivotButton="0" quotePrefix="0" xfId="0"/>
    <xf numFmtId="0" fontId="0" fillId="0" borderId="54" pivotButton="0" quotePrefix="0" xfId="0"/>
    <xf numFmtId="0" fontId="0" fillId="0" borderId="32" pivotButton="0" quotePrefix="0" xfId="0"/>
    <xf numFmtId="22" fontId="0" fillId="0" borderId="0" pivotButton="0" quotePrefix="0" xfId="0"/>
    <xf numFmtId="165" fontId="0" fillId="0" borderId="1" pivotButton="0" quotePrefix="0" xfId="0"/>
    <xf numFmtId="10" fontId="0" fillId="0" borderId="51" pivotButton="0" quotePrefix="0" xfId="0"/>
    <xf numFmtId="10" fontId="0" fillId="0" borderId="1" pivotButton="0" quotePrefix="0" xfId="0"/>
    <xf numFmtId="10" fontId="0" fillId="0" borderId="30" pivotButton="0" quotePrefix="0" xfId="0"/>
    <xf numFmtId="0" fontId="0" fillId="0" borderId="18" pivotButton="0" quotePrefix="0" xfId="0"/>
    <xf numFmtId="10" fontId="0" fillId="0" borderId="55" pivotButton="0" quotePrefix="0" xfId="0"/>
    <xf numFmtId="10" fontId="0" fillId="0" borderId="13" pivotButton="0" quotePrefix="0" xfId="0"/>
    <xf numFmtId="10" fontId="0" fillId="0" borderId="56" pivotButton="0" quotePrefix="0" xfId="0"/>
    <xf numFmtId="0" fontId="0" fillId="0" borderId="35" pivotButton="0" quotePrefix="0" xfId="0"/>
    <xf numFmtId="0" fontId="0" fillId="0" borderId="34" pivotButton="0" quotePrefix="0" xfId="0"/>
    <xf numFmtId="165" fontId="0" fillId="0" borderId="51" pivotButton="0" quotePrefix="0" xfId="0"/>
    <xf numFmtId="165" fontId="0" fillId="0" borderId="30" pivotButton="0" quotePrefix="0" xfId="0"/>
    <xf numFmtId="165" fontId="0" fillId="0" borderId="53" pivotButton="0" quotePrefix="0" xfId="0"/>
    <xf numFmtId="165" fontId="0" fillId="0" borderId="32" pivotButton="0" quotePrefix="0" xfId="0"/>
    <xf numFmtId="0" fontId="0" fillId="0" borderId="34" applyAlignment="1" pivotButton="0" quotePrefix="0" xfId="0">
      <alignment horizontal="center"/>
    </xf>
    <xf numFmtId="22" fontId="0" fillId="0" borderId="35" pivotButton="0" quotePrefix="0" xfId="0"/>
    <xf numFmtId="165" fontId="0" fillId="0" borderId="54" pivotButton="0" quotePrefix="0" xfId="0"/>
    <xf numFmtId="2" fontId="0" fillId="0" borderId="0" pivotButton="0" quotePrefix="0" xfId="0"/>
    <xf numFmtId="22" fontId="0" fillId="0" borderId="18" pivotButton="0" quotePrefix="0" xfId="0"/>
    <xf numFmtId="22" fontId="0" fillId="0" borderId="34" pivotButton="0" quotePrefix="0" xfId="0"/>
    <xf numFmtId="0" fontId="0" fillId="0" borderId="57" pivotButton="0" quotePrefix="0" xfId="0"/>
    <xf numFmtId="0" fontId="0" fillId="0" borderId="58" pivotButton="0" quotePrefix="0" xfId="0"/>
    <xf numFmtId="0" fontId="0" fillId="0" borderId="2" pivotButton="0" quotePrefix="0" xfId="0"/>
    <xf numFmtId="0" fontId="0" fillId="0" borderId="43" pivotButton="0" quotePrefix="0" xfId="0"/>
    <xf numFmtId="0" fontId="0" fillId="22" borderId="57" applyAlignment="1" pivotButton="0" quotePrefix="0" xfId="0">
      <alignment horizontal="center"/>
    </xf>
    <xf numFmtId="0" fontId="0" fillId="22" borderId="58" applyAlignment="1" pivotButton="0" quotePrefix="0" xfId="0">
      <alignment horizontal="center"/>
    </xf>
    <xf numFmtId="0" fontId="0" fillId="10" borderId="57" applyAlignment="1" pivotButton="0" quotePrefix="0" xfId="0">
      <alignment horizontal="center"/>
    </xf>
    <xf numFmtId="0" fontId="0" fillId="10" borderId="58" applyAlignment="1" pivotButton="0" quotePrefix="0" xfId="0">
      <alignment horizontal="center"/>
    </xf>
    <xf numFmtId="0" fontId="0" fillId="23" borderId="57" applyAlignment="1" pivotButton="0" quotePrefix="0" xfId="0">
      <alignment horizontal="center"/>
    </xf>
    <xf numFmtId="0" fontId="0" fillId="23" borderId="58" applyAlignment="1" pivotButton="0" quotePrefix="0" xfId="0">
      <alignment horizontal="center"/>
    </xf>
    <xf numFmtId="0" fontId="0" fillId="0" borderId="35" applyAlignment="1" pivotButton="0" quotePrefix="0" xfId="0">
      <alignment horizontal="right"/>
    </xf>
    <xf numFmtId="0" fontId="0" fillId="0" borderId="35" applyAlignment="1" pivotButton="0" quotePrefix="0" xfId="0">
      <alignment horizontal="left"/>
    </xf>
    <xf numFmtId="0" fontId="0" fillId="0" borderId="0" applyAlignment="1" pivotButton="0" quotePrefix="0" xfId="0">
      <alignment horizontal="right"/>
    </xf>
    <xf numFmtId="0" fontId="0" fillId="0" borderId="0" applyProtection="1" pivotButton="0" quotePrefix="0" xfId="0">
      <protection locked="0" hidden="0"/>
    </xf>
    <xf numFmtId="0" fontId="0" fillId="0" borderId="18" applyAlignment="1" pivotButton="0" quotePrefix="0" xfId="0">
      <alignment horizontal="right"/>
    </xf>
    <xf numFmtId="0" fontId="0" fillId="0" borderId="18" applyAlignment="1" pivotButton="0" quotePrefix="0" xfId="0">
      <alignment horizontal="left"/>
    </xf>
    <xf numFmtId="0" fontId="0" fillId="0" borderId="33" applyAlignment="1" pivotButton="0" quotePrefix="0" xfId="0">
      <alignment horizontal="right"/>
    </xf>
    <xf numFmtId="0" fontId="0" fillId="0" borderId="5" applyAlignment="1" pivotButton="0" quotePrefix="0" xfId="0">
      <alignment horizontal="center"/>
    </xf>
    <xf numFmtId="0" fontId="0" fillId="23" borderId="58" applyAlignment="1" pivotButton="0" quotePrefix="0" xfId="0">
      <alignment horizontal="center"/>
    </xf>
    <xf numFmtId="0" fontId="0" fillId="23" borderId="2" applyAlignment="1" pivotButton="0" quotePrefix="0" xfId="0">
      <alignment horizontal="center"/>
    </xf>
    <xf numFmtId="0" fontId="0" fillId="23" borderId="57" applyAlignment="1" pivotButton="0" quotePrefix="0" xfId="0">
      <alignment horizontal="center"/>
    </xf>
    <xf numFmtId="0" fontId="0" fillId="10" borderId="58" applyAlignment="1" pivotButton="0" quotePrefix="0" xfId="0">
      <alignment horizontal="center"/>
    </xf>
    <xf numFmtId="0" fontId="0" fillId="10" borderId="2" applyAlignment="1" pivotButton="0" quotePrefix="0" xfId="0">
      <alignment horizontal="center"/>
    </xf>
    <xf numFmtId="0" fontId="0" fillId="10" borderId="57" applyAlignment="1" pivotButton="0" quotePrefix="0" xfId="0">
      <alignment horizontal="center"/>
    </xf>
    <xf numFmtId="0" fontId="0" fillId="22" borderId="58" applyAlignment="1" pivotButton="0" quotePrefix="0" xfId="0">
      <alignment horizontal="center"/>
    </xf>
    <xf numFmtId="0" fontId="0" fillId="22" borderId="2" applyAlignment="1" pivotButton="0" quotePrefix="0" xfId="0">
      <alignment horizontal="center"/>
    </xf>
    <xf numFmtId="0" fontId="0" fillId="22" borderId="57" applyAlignment="1" pivotButton="0" quotePrefix="0" xfId="0">
      <alignment horizontal="center"/>
    </xf>
    <xf numFmtId="0" fontId="0" fillId="0" borderId="8" applyAlignment="1" pivotButton="0" quotePrefix="0" xfId="0">
      <alignment horizontal="center"/>
    </xf>
    <xf numFmtId="0" fontId="0" fillId="0" borderId="6" pivotButton="0" quotePrefix="0" xfId="0"/>
    <xf numFmtId="14" fontId="0" fillId="0" borderId="5" applyAlignment="1" applyProtection="1" pivotButton="0" quotePrefix="0" xfId="0">
      <alignment horizontal="center"/>
      <protection locked="0" hidden="0"/>
    </xf>
    <xf numFmtId="0" fontId="0" fillId="0" borderId="6" applyAlignment="1" applyProtection="1" pivotButton="0" quotePrefix="0" xfId="0">
      <alignment horizontal="center"/>
      <protection locked="0" hidden="0"/>
    </xf>
    <xf numFmtId="0" fontId="0" fillId="0" borderId="5" applyAlignment="1" applyProtection="1" pivotButton="0" quotePrefix="0" xfId="0">
      <alignment horizontal="center"/>
      <protection locked="0" hidden="0"/>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left" wrapText="1"/>
    </xf>
    <xf numFmtId="14" fontId="0" fillId="0" borderId="3" applyAlignment="1" pivotButton="0" quotePrefix="0" xfId="0">
      <alignment horizontal="left" wrapText="1"/>
    </xf>
    <xf numFmtId="0" fontId="0" fillId="0" borderId="3" applyAlignment="1" pivotButton="0" quotePrefix="0" xfId="0">
      <alignment horizontal="left" wrapText="1"/>
    </xf>
    <xf numFmtId="49" fontId="0" fillId="3" borderId="5" applyAlignment="1" pivotButton="0" quotePrefix="0" xfId="0">
      <alignment horizontal="left"/>
    </xf>
    <xf numFmtId="49" fontId="0" fillId="3" borderId="7" applyAlignment="1" pivotButton="0" quotePrefix="0" xfId="0">
      <alignment horizontal="left"/>
    </xf>
    <xf numFmtId="49" fontId="0" fillId="3" borderId="6" applyAlignment="1" pivotButton="0" quotePrefix="0" xfId="0">
      <alignment horizontal="left"/>
    </xf>
    <xf numFmtId="0" fontId="0" fillId="0" borderId="7" applyAlignment="1" pivotButton="0" quotePrefix="0" xfId="0">
      <alignment horizontal="center"/>
    </xf>
    <xf numFmtId="0" fontId="0" fillId="0" borderId="5" applyAlignment="1" pivotButton="0" quotePrefix="0" xfId="0">
      <alignment horizontal="left" wrapText="1"/>
    </xf>
    <xf numFmtId="0" fontId="0" fillId="0" borderId="7" applyAlignment="1" pivotButton="0" quotePrefix="0" xfId="0">
      <alignment horizontal="left" wrapText="1"/>
    </xf>
    <xf numFmtId="0" fontId="0" fillId="0" borderId="6" applyAlignment="1" pivotButton="0" quotePrefix="0" xfId="0">
      <alignment horizontal="left" wrapText="1"/>
    </xf>
    <xf numFmtId="0" fontId="0" fillId="0" borderId="15" applyAlignment="1" pivotButton="0" quotePrefix="0" xfId="0">
      <alignment horizontal="left" wrapText="1"/>
    </xf>
    <xf numFmtId="0" fontId="0" fillId="0" borderId="0" applyAlignment="1" pivotButton="0" quotePrefix="0" xfId="0">
      <alignment horizontal="left" wrapText="1"/>
    </xf>
    <xf numFmtId="49" fontId="0" fillId="3" borderId="8" applyAlignment="1" pivotButton="0" quotePrefix="0" xfId="0">
      <alignment horizontal="left"/>
    </xf>
    <xf numFmtId="0" fontId="0" fillId="3" borderId="8" applyAlignment="1" pivotButton="0" quotePrefix="0" xfId="0">
      <alignment horizontal="left"/>
    </xf>
    <xf numFmtId="0" fontId="0" fillId="13" borderId="8" applyAlignment="1" pivotButton="0" quotePrefix="0" xfId="0">
      <alignment horizontal="left" wrapText="1"/>
    </xf>
    <xf numFmtId="0" fontId="5" fillId="0" borderId="8" applyAlignment="1" pivotButton="0" quotePrefix="0" xfId="0">
      <alignment horizontal="left" wrapText="1"/>
    </xf>
    <xf numFmtId="0" fontId="0" fillId="0" borderId="15" applyAlignment="1" pivotButton="0" quotePrefix="0" xfId="0">
      <alignment horizontal="right" vertical="center"/>
    </xf>
    <xf numFmtId="0" fontId="0" fillId="3" borderId="5" applyAlignment="1" pivotButton="0" quotePrefix="0" xfId="0">
      <alignment horizontal="left"/>
    </xf>
    <xf numFmtId="0" fontId="0" fillId="3" borderId="7" applyAlignment="1" pivotButton="0" quotePrefix="0" xfId="0">
      <alignment horizontal="left"/>
    </xf>
    <xf numFmtId="0" fontId="0" fillId="3" borderId="6" applyAlignment="1" pivotButton="0" quotePrefix="0" xfId="0">
      <alignment horizontal="left"/>
    </xf>
    <xf numFmtId="0" fontId="0" fillId="0" borderId="9" applyAlignment="1" pivotButton="0" quotePrefix="0" xfId="0">
      <alignment horizontal="center"/>
    </xf>
    <xf numFmtId="0" fontId="0" fillId="0" borderId="12" pivotButton="0" quotePrefix="0" xfId="0"/>
    <xf numFmtId="0" fontId="0" fillId="0" borderId="8" applyAlignment="1" pivotButton="0" quotePrefix="0" xfId="0">
      <alignment horizontal="left"/>
    </xf>
    <xf numFmtId="0" fontId="0" fillId="0" borderId="16" applyAlignment="1" pivotButton="0" quotePrefix="0" xfId="0">
      <alignment horizontal="left" wrapText="1"/>
    </xf>
    <xf numFmtId="10" fontId="0" fillId="0" borderId="16" applyAlignment="1" pivotButton="0" quotePrefix="0" xfId="0">
      <alignment horizontal="center" vertical="center"/>
    </xf>
    <xf numFmtId="0" fontId="0" fillId="0" borderId="10" applyAlignment="1" pivotButton="0" quotePrefix="0" xfId="0">
      <alignment horizontal="right" vertical="center"/>
    </xf>
    <xf numFmtId="10" fontId="0" fillId="0" borderId="12"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0" fillId="0" borderId="4" applyAlignment="1" pivotButton="0" quotePrefix="0" xfId="0">
      <alignment horizontal="right" vertical="center"/>
    </xf>
    <xf numFmtId="10" fontId="0" fillId="0" borderId="14" applyAlignment="1" pivotButton="0" quotePrefix="0" xfId="0">
      <alignment horizontal="center" vertical="center"/>
    </xf>
    <xf numFmtId="0" fontId="0" fillId="0" borderId="9" applyAlignment="1" pivotButton="0" quotePrefix="0" xfId="0">
      <alignment horizontal="left" wrapText="1"/>
    </xf>
    <xf numFmtId="0" fontId="0" fillId="3" borderId="10" applyAlignment="1" pivotButton="0" quotePrefix="0" xfId="0">
      <alignment horizontal="left"/>
    </xf>
    <xf numFmtId="0" fontId="0" fillId="3" borderId="11" applyAlignment="1" pivotButton="0" quotePrefix="0" xfId="0">
      <alignment horizontal="left"/>
    </xf>
    <xf numFmtId="0" fontId="0" fillId="3" borderId="12" applyAlignment="1" pivotButton="0" quotePrefix="0" xfId="0">
      <alignment horizontal="left"/>
    </xf>
    <xf numFmtId="0" fontId="9" fillId="0" borderId="4" applyAlignment="1" pivotButton="0" quotePrefix="0" xfId="0">
      <alignment horizontal="center" vertical="center" wrapText="1"/>
    </xf>
    <xf numFmtId="0" fontId="9" fillId="0" borderId="13" applyAlignment="1" pivotButton="0" quotePrefix="0" xfId="0">
      <alignment horizontal="center" vertical="center" wrapText="1"/>
    </xf>
    <xf numFmtId="0" fontId="0" fillId="0" borderId="13" applyAlignment="1" pivotButton="0" quotePrefix="0" xfId="0">
      <alignment horizontal="center"/>
    </xf>
    <xf numFmtId="0" fontId="2" fillId="15" borderId="8" applyAlignment="1" pivotButton="0" quotePrefix="0" xfId="0">
      <alignment horizontal="center"/>
    </xf>
    <xf numFmtId="0" fontId="7" fillId="2" borderId="8" applyAlignment="1" pivotButton="0" quotePrefix="0" xfId="1">
      <alignment horizontal="center" wrapText="1"/>
    </xf>
    <xf numFmtId="3" fontId="5" fillId="0" borderId="8" applyAlignment="1" pivotButton="0" quotePrefix="0" xfId="1">
      <alignment horizontal="center" vertical="center"/>
    </xf>
    <xf numFmtId="14" fontId="5" fillId="0" borderId="8" applyAlignment="1" pivotButton="0" quotePrefix="0" xfId="1">
      <alignment horizontal="center" vertical="center"/>
    </xf>
    <xf numFmtId="14" fontId="0" fillId="0" borderId="0" applyAlignment="1" pivotButton="0" quotePrefix="0" xfId="0">
      <alignment horizontal="left" wrapText="1"/>
    </xf>
    <xf numFmtId="0" fontId="15" fillId="16" borderId="34" applyAlignment="1" pivotButton="0" quotePrefix="0" xfId="0">
      <alignment horizontal="center" vertical="center" wrapText="1"/>
    </xf>
    <xf numFmtId="0" fontId="15" fillId="16" borderId="35" applyAlignment="1" pivotButton="0" quotePrefix="0" xfId="0">
      <alignment horizontal="center" vertical="center" wrapText="1"/>
    </xf>
    <xf numFmtId="0" fontId="15" fillId="16" borderId="18" applyAlignment="1" pivotButton="0" quotePrefix="0" xfId="0">
      <alignment horizontal="center" vertical="center" wrapText="1"/>
    </xf>
    <xf numFmtId="0" fontId="10" fillId="0" borderId="0" applyAlignment="1" pivotButton="0" quotePrefix="0" xfId="1">
      <alignment horizontal="center" vertical="center"/>
    </xf>
    <xf numFmtId="0" fontId="3" fillId="0" borderId="0" applyAlignment="1" pivotButton="0" quotePrefix="0" xfId="1">
      <alignment horizontal="center"/>
    </xf>
    <xf numFmtId="0" fontId="15" fillId="16" borderId="32" applyAlignment="1" pivotButton="0" quotePrefix="0" xfId="0">
      <alignment horizontal="center" vertical="center" wrapText="1"/>
    </xf>
    <xf numFmtId="0" fontId="15" fillId="16" borderId="33" applyAlignment="1" pivotButton="0" quotePrefix="0" xfId="0">
      <alignment horizontal="center" vertical="center" wrapText="1"/>
    </xf>
    <xf numFmtId="0" fontId="15" fillId="16" borderId="30" applyAlignment="1" pivotButton="0" quotePrefix="0" xfId="0">
      <alignment horizontal="center" vertical="center" wrapText="1"/>
    </xf>
    <xf numFmtId="0" fontId="6" fillId="2" borderId="44" applyAlignment="1" pivotButton="0" quotePrefix="0" xfId="1">
      <alignment horizontal="center" wrapText="1"/>
    </xf>
    <xf numFmtId="0" fontId="6" fillId="2" borderId="45" applyAlignment="1" pivotButton="0" quotePrefix="0" xfId="1">
      <alignment horizontal="center" wrapText="1"/>
    </xf>
    <xf numFmtId="0" fontId="15" fillId="16" borderId="26" applyAlignment="1" pivotButton="0" quotePrefix="0" xfId="0">
      <alignment horizontal="center" vertical="center" wrapText="1"/>
    </xf>
    <xf numFmtId="0" fontId="15" fillId="16" borderId="27" applyAlignment="1" pivotButton="0" quotePrefix="0" xfId="0">
      <alignment horizontal="center" vertical="center" wrapText="1"/>
    </xf>
    <xf numFmtId="0" fontId="15" fillId="16" borderId="49" applyAlignment="1" pivotButton="0" quotePrefix="0" xfId="0">
      <alignment horizontal="center" vertical="center" wrapText="1"/>
    </xf>
    <xf numFmtId="0" fontId="15" fillId="16" borderId="50" applyAlignment="1" pivotButton="0" quotePrefix="0" xfId="0">
      <alignment horizontal="center" vertical="center" wrapText="1"/>
    </xf>
    <xf numFmtId="0" fontId="6" fillId="2" borderId="20" applyAlignment="1" pivotButton="0" quotePrefix="0" xfId="1">
      <alignment horizontal="center" vertical="center"/>
    </xf>
    <xf numFmtId="0" fontId="3" fillId="0" borderId="8" applyAlignment="1" pivotButton="0" quotePrefix="0" xfId="1">
      <alignment horizontal="left" vertical="center"/>
    </xf>
    <xf numFmtId="0" fontId="12" fillId="0" borderId="1" applyAlignment="1" pivotButton="0" quotePrefix="0" xfId="1">
      <alignment horizontal="left"/>
    </xf>
    <xf numFmtId="0" fontId="10" fillId="0" borderId="0" applyAlignment="1" pivotButton="0" quotePrefix="0" xfId="1">
      <alignment horizontal="left"/>
    </xf>
    <xf numFmtId="0" fontId="3" fillId="13" borderId="7" applyAlignment="1" applyProtection="1" pivotButton="0" quotePrefix="0" xfId="1">
      <alignment horizontal="left" vertical="top" wrapText="1"/>
      <protection locked="0" hidden="0"/>
    </xf>
    <xf numFmtId="0" fontId="3" fillId="0" borderId="8" applyAlignment="1" applyProtection="1" pivotButton="0" quotePrefix="0" xfId="1">
      <alignment horizontal="left" vertical="center"/>
      <protection locked="0" hidden="0"/>
    </xf>
    <xf numFmtId="0" fontId="3" fillId="0" borderId="5" applyAlignment="1" applyProtection="1" pivotButton="0" quotePrefix="0" xfId="1">
      <alignment horizontal="left" vertical="center"/>
      <protection locked="0" hidden="0"/>
    </xf>
    <xf numFmtId="0" fontId="3" fillId="0" borderId="7" applyAlignment="1" applyProtection="1" pivotButton="0" quotePrefix="0" xfId="1">
      <alignment horizontal="left" vertical="center"/>
      <protection locked="0" hidden="0"/>
    </xf>
    <xf numFmtId="0" fontId="3" fillId="0" borderId="6" applyAlignment="1" applyProtection="1" pivotButton="0" quotePrefix="0" xfId="1">
      <alignment horizontal="left" vertical="center"/>
      <protection locked="0" hidden="0"/>
    </xf>
    <xf numFmtId="0" fontId="3" fillId="13" borderId="6" applyAlignment="1" applyProtection="1" pivotButton="0" quotePrefix="0" xfId="1">
      <alignment horizontal="center" vertical="top" wrapText="1"/>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3" fillId="13" borderId="7" applyAlignment="1" applyProtection="1" pivotButton="0" quotePrefix="0" xfId="1">
      <alignment horizontal="center" vertical="top" wrapText="1"/>
      <protection locked="0" hidden="0"/>
    </xf>
    <xf numFmtId="1" fontId="3" fillId="0" borderId="8" applyAlignment="1" applyProtection="1" pivotButton="0" quotePrefix="0" xfId="1">
      <alignment horizontal="left" vertical="center"/>
      <protection locked="0" hidden="0"/>
    </xf>
    <xf numFmtId="0" fontId="3" fillId="0" borderId="8" applyAlignment="1" applyProtection="1" pivotButton="0" quotePrefix="0" xfId="1">
      <alignment horizontal="left" vertical="center" readingOrder="1"/>
      <protection locked="0" hidden="0"/>
    </xf>
    <xf numFmtId="0" fontId="4" fillId="0" borderId="13" applyAlignment="1" applyProtection="1" pivotButton="0" quotePrefix="0" xfId="1">
      <alignment horizontal="center"/>
      <protection locked="0" hidden="0"/>
    </xf>
    <xf numFmtId="0" fontId="14" fillId="0" borderId="0" applyAlignment="1" applyProtection="1" pivotButton="0" quotePrefix="0" xfId="1">
      <alignment horizontal="left" vertical="top" wrapText="1"/>
      <protection locked="0" hidden="0"/>
    </xf>
    <xf numFmtId="0" fontId="5" fillId="0" borderId="5" applyAlignment="1" pivotButton="0" quotePrefix="0" xfId="1">
      <alignment horizontal="center" vertical="center" wrapText="1"/>
    </xf>
    <xf numFmtId="0" fontId="5" fillId="0" borderId="7" applyAlignment="1" pivotButton="0" quotePrefix="0" xfId="1">
      <alignment horizontal="center" vertical="center" wrapText="1"/>
    </xf>
    <xf numFmtId="0" fontId="5" fillId="0" borderId="6" applyAlignment="1" pivotButton="0" quotePrefix="0" xfId="1">
      <alignment horizontal="center" vertical="center" wrapText="1"/>
    </xf>
    <xf numFmtId="0" fontId="10" fillId="15" borderId="5" applyAlignment="1" pivotButton="0" quotePrefix="0" xfId="1">
      <alignment horizontal="center" vertical="center"/>
    </xf>
    <xf numFmtId="0" fontId="10" fillId="15" borderId="7" applyAlignment="1" pivotButton="0" quotePrefix="0" xfId="1">
      <alignment horizontal="center" vertical="center"/>
    </xf>
    <xf numFmtId="0" fontId="10" fillId="15" borderId="6" applyAlignment="1" pivotButton="0" quotePrefix="0" xfId="1">
      <alignment horizontal="center" vertical="center"/>
    </xf>
    <xf numFmtId="0" fontId="0" fillId="20" borderId="5" applyAlignment="1" pivotButton="0" quotePrefix="0" xfId="0">
      <alignment horizontal="center"/>
    </xf>
    <xf numFmtId="0" fontId="0" fillId="20" borderId="6" applyAlignment="1" pivotButton="0" quotePrefix="0" xfId="0">
      <alignment horizontal="center"/>
    </xf>
    <xf numFmtId="0" fontId="0" fillId="21" borderId="4" applyAlignment="1" pivotButton="0" quotePrefix="0" xfId="0">
      <alignment horizontal="center"/>
    </xf>
    <xf numFmtId="0" fontId="0" fillId="21" borderId="13" applyAlignment="1" pivotButton="0" quotePrefix="0" xfId="0">
      <alignment horizontal="center"/>
    </xf>
    <xf numFmtId="0" fontId="0" fillId="21" borderId="14" applyAlignment="1" pivotButton="0" quotePrefix="0" xfId="0">
      <alignment horizontal="center"/>
    </xf>
    <xf numFmtId="0" fontId="0" fillId="21" borderId="5" applyAlignment="1" pivotButton="0" quotePrefix="0" xfId="0">
      <alignment horizontal="center"/>
    </xf>
    <xf numFmtId="0" fontId="0" fillId="21" borderId="7" applyAlignment="1" pivotButton="0" quotePrefix="0" xfId="0">
      <alignment horizontal="center"/>
    </xf>
    <xf numFmtId="0" fontId="0" fillId="21" borderId="6" applyAlignment="1" pivotButton="0" quotePrefix="0" xfId="0">
      <alignment horizontal="center"/>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0" fillId="0" borderId="6" applyAlignment="1" pivotButton="0" quotePrefix="0" xfId="0">
      <alignment horizontal="center" vertical="center"/>
    </xf>
    <xf numFmtId="0" fontId="0" fillId="21" borderId="8" applyAlignment="1" pivotButton="0" quotePrefix="0" xfId="0">
      <alignment horizontal="center"/>
    </xf>
    <xf numFmtId="0" fontId="0" fillId="0" borderId="7" pivotButton="0" quotePrefix="0" xfId="0"/>
    <xf numFmtId="0" fontId="0" fillId="0" borderId="59" applyAlignment="1" pivotButton="0" quotePrefix="0" xfId="0">
      <alignment horizontal="left" wrapText="1"/>
    </xf>
    <xf numFmtId="0" fontId="0" fillId="0" borderId="16" pivotButton="0" quotePrefix="0" xfId="0"/>
    <xf numFmtId="0" fontId="0" fillId="0" borderId="15" pivotButton="0" quotePrefix="0" xfId="0"/>
    <xf numFmtId="0" fontId="0" fillId="0" borderId="10" pivotButton="0" quotePrefix="0" xfId="0"/>
    <xf numFmtId="14" fontId="0" fillId="0" borderId="8" applyAlignment="1" applyProtection="1" pivotButton="0" quotePrefix="0" xfId="0">
      <alignment horizontal="center"/>
      <protection locked="0" hidden="0"/>
    </xf>
    <xf numFmtId="0" fontId="0" fillId="3" borderId="9" applyAlignment="1" pivotButton="0" quotePrefix="0" xfId="0">
      <alignment horizontal="left"/>
    </xf>
    <xf numFmtId="0" fontId="0" fillId="0" borderId="14" pivotButton="0" quotePrefix="0" xfId="0"/>
    <xf numFmtId="0" fontId="0" fillId="0" borderId="61" pivotButton="0" quotePrefix="0" xfId="0"/>
    <xf numFmtId="0" fontId="15" fillId="16" borderId="58" applyAlignment="1" pivotButton="0" quotePrefix="0" xfId="0">
      <alignment horizontal="center" vertical="center" wrapText="1"/>
    </xf>
    <xf numFmtId="0" fontId="15" fillId="16" borderId="43" applyAlignment="1" pivotButton="0" quotePrefix="0" xfId="0">
      <alignment horizontal="center" vertical="center" wrapText="1"/>
    </xf>
    <xf numFmtId="0" fontId="0" fillId="0" borderId="27" pivotButton="0" quotePrefix="0" xfId="0"/>
    <xf numFmtId="0" fontId="0" fillId="0" borderId="39" pivotButton="0" quotePrefix="0" xfId="0"/>
    <xf numFmtId="0" fontId="0" fillId="0" borderId="62" pivotButton="0" quotePrefix="0" xfId="0"/>
    <xf numFmtId="0" fontId="0" fillId="0" borderId="13" applyProtection="1" pivotButton="0" quotePrefix="0" xfId="0">
      <protection locked="0" hidden="0"/>
    </xf>
    <xf numFmtId="0" fontId="10" fillId="15" borderId="8" applyAlignment="1" pivotButton="0" quotePrefix="0" xfId="1">
      <alignment horizontal="center" vertical="center"/>
    </xf>
    <xf numFmtId="0" fontId="5" fillId="0" borderId="8" applyAlignment="1" pivotButton="0" quotePrefix="0" xfId="1">
      <alignment horizontal="center" vertical="center" wrapText="1"/>
    </xf>
    <xf numFmtId="0" fontId="0" fillId="0" borderId="8" applyAlignment="1" pivotButton="0" quotePrefix="0" xfId="0">
      <alignment horizontal="center" vertical="center"/>
    </xf>
    <xf numFmtId="0" fontId="0" fillId="23" borderId="43" applyAlignment="1" pivotButton="0" quotePrefix="0" xfId="0">
      <alignment horizontal="center"/>
    </xf>
    <xf numFmtId="0" fontId="0" fillId="10" borderId="43" applyAlignment="1" pivotButton="0" quotePrefix="0" xfId="0">
      <alignment horizontal="center"/>
    </xf>
    <xf numFmtId="0" fontId="0" fillId="22" borderId="43" applyAlignment="1" pivotButton="0" quotePrefix="0" xfId="0">
      <alignment horizontal="center"/>
    </xf>
  </cellXfs>
  <cellStyles count="7">
    <cellStyle name="Normal" xfId="0" builtinId="0"/>
    <cellStyle name="Normal 2" xfId="1"/>
    <cellStyle name="Comma0" xfId="2"/>
    <cellStyle name="Comma" xfId="3" builtinId="3"/>
    <cellStyle name="Normal 4" xfId="4"/>
    <cellStyle name="Normal 3" xfId="5"/>
    <cellStyle name="Percent 2" xfId="6"/>
  </cellStyles>
  <dxfs count="321">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mn-lt"/>
                <a:ea typeface="+mn-ea"/>
                <a:cs typeface="+mn-cs"/>
              </a:defRPr>
            </a:pPr>
            <a:r>
              <a:rPr lang="en-US">
                <a:solidFill>
                  <a:schemeClr val="tx1"/>
                </a:solidFill>
              </a:rPr>
              <a:t>CVS Recovery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solidFill>
              <a:latin typeface="+mn-lt"/>
              <a:ea typeface="+mn-ea"/>
              <a:cs typeface="+mn-cs"/>
            </a:defRPr>
          </a:pPr>
          <a:r>
            <a:t>None</a:t>
          </a:r>
          <a:endParaRPr lang="en-US"/>
        </a:p>
      </txPr>
    </title>
    <plotArea>
      <layout/>
      <scatterChart>
        <scatterStyle val="lineMarker"/>
        <varyColors val="0"/>
        <ser>
          <idx val="0"/>
          <order val="0"/>
          <tx>
            <v>Propane</v>
          </tx>
          <spPr>
            <a:ln xmlns:a="http://schemas.openxmlformats.org/drawingml/2006/main" w="25400"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xVal>
            <numRef>
              <f>Calculations!$B$6:$B$39</f>
              <numCache>
                <formatCode>General</formatCode>
                <ptCount val="34"/>
                <pt idx="0">
                  <v>2.0144</v>
                </pt>
                <pt idx="1">
                  <v>2.1283</v>
                </pt>
                <pt idx="2">
                  <v>2.0188</v>
                </pt>
                <pt idx="3">
                  <v>2.091</v>
                </pt>
                <pt idx="4">
                  <v>2.1541</v>
                </pt>
                <pt idx="5">
                  <v>1.9671</v>
                </pt>
                <pt idx="6">
                  <v>2.1497</v>
                </pt>
                <pt idx="7">
                  <v>2.0226</v>
                </pt>
                <pt idx="8">
                  <v>1.9328</v>
                </pt>
                <pt idx="9">
                  <v>1.9188</v>
                </pt>
                <pt idx="10">
                  <v>1.8739</v>
                </pt>
                <pt idx="11">
                  <v>2.1568</v>
                </pt>
                <pt idx="12">
                  <v>2.1067</v>
                </pt>
                <pt idx="13">
                  <v>2.1754</v>
                </pt>
                <pt idx="14">
                  <v>2.1224</v>
                </pt>
                <pt idx="15">
                  <v>2.343</v>
                </pt>
                <pt idx="16">
                  <v>2.2293</v>
                </pt>
                <pt idx="17">
                  <v>2.1932</v>
                </pt>
                <pt idx="18">
                  <v>2.2566</v>
                </pt>
                <pt idx="19">
                  <v>2.1553</v>
                </pt>
                <pt idx="20">
                  <v>2.1735</v>
                </pt>
                <pt idx="21">
                  <v>2.2039</v>
                </pt>
                <pt idx="22">
                  <v>2.0459</v>
                </pt>
                <pt idx="23">
                  <v>2.1267</v>
                </pt>
                <pt idx="24">
                  <v>2.1321</v>
                </pt>
                <pt idx="25">
                  <v>2.1191</v>
                </pt>
                <pt idx="26">
                  <v>2.1813</v>
                </pt>
                <pt idx="27">
                  <v>2.1973</v>
                </pt>
                <pt idx="28">
                  <v>2.0223</v>
                </pt>
                <pt idx="29">
                  <v>2.1021</v>
                </pt>
                <pt idx="30">
                  <v>2.1092</v>
                </pt>
                <pt idx="31">
                  <v>2.1027</v>
                </pt>
                <pt idx="32">
                  <v>2.1146</v>
                </pt>
                <pt idx="33">
                  <v>2.1549</v>
                </pt>
              </numCache>
            </numRef>
          </xVal>
          <yVal>
            <numRef>
              <f>Calculations!$C$6:$C$39</f>
              <numCache>
                <formatCode>General</formatCode>
                <ptCount val="34"/>
                <pt idx="0">
                  <v>2.458004383400753</v>
                </pt>
                <pt idx="1">
                  <v>4.112359165823332</v>
                </pt>
                <pt idx="2">
                  <v>2.574128249459689</v>
                </pt>
                <pt idx="3">
                  <v>4.060503813232133</v>
                </pt>
                <pt idx="4">
                  <v>3.796102693597263</v>
                </pt>
                <pt idx="5">
                  <v>1.309611997966217</v>
                </pt>
                <pt idx="6">
                  <v>3.868079421764246</v>
                </pt>
                <pt idx="7">
                  <v>2.674273423367109</v>
                </pt>
                <pt idx="8">
                  <v>0.7121195027733469</v>
                </pt>
                <pt idx="9">
                  <v>0.5352277470371182</v>
                </pt>
                <pt idx="10">
                  <v>0.1854211441159502</v>
                </pt>
                <pt idx="11">
                  <v>3.748678026878706</v>
                </pt>
                <pt idx="12">
                  <v>4.158464478898649</v>
                </pt>
                <pt idx="13">
                  <v>3.364193998056001</v>
                </pt>
                <pt idx="14">
                  <v>4.145795857461716</v>
                </pt>
                <pt idx="15">
                  <v>0.2312806008354535</v>
                </pt>
                <pt idx="16">
                  <v>1.986644533629908</v>
                </pt>
                <pt idx="17">
                  <v>2.927903700134503</v>
                </pt>
                <pt idx="18">
                  <v>1.348160681477673</v>
                </pt>
                <pt idx="19">
                  <v>3.775322092735301</v>
                </pt>
                <pt idx="20">
                  <v>3.40748113860571</v>
                </pt>
                <pt idx="21">
                  <v>2.648930299571077</v>
                </pt>
                <pt idx="22">
                  <v>3.264996293854575</v>
                </pt>
                <pt idx="23">
                  <v>4.122946948751022</v>
                </pt>
                <pt idx="24">
                  <v>4.082749732859769</v>
                </pt>
                <pt idx="25">
                  <v>4.157725220047892</v>
                </pt>
                <pt idx="26">
                  <v>3.225144037805793</v>
                </pt>
                <pt idx="27">
                  <v>2.821856025749073</v>
                </pt>
                <pt idx="28">
                  <v>2.666380223747935</v>
                </pt>
                <pt idx="29">
                  <v>4.14103753514514</v>
                </pt>
                <pt idx="30">
                  <v>4.163932968286868</v>
                </pt>
                <pt idx="31">
                  <v>4.143848901165526</v>
                </pt>
                <pt idx="32">
                  <v>4.166064073104422</v>
                </pt>
                <pt idx="33">
                  <v>3.782302307280563</v>
                </pt>
              </numCache>
            </numRef>
          </yVal>
          <smooth val="0"/>
        </ser>
        <ser>
          <idx val="1"/>
          <order val="1"/>
          <tx>
            <v>Toluene</v>
          </tx>
          <spPr>
            <a:ln xmlns:a="http://schemas.openxmlformats.org/drawingml/2006/main" w="25400" cap="rnd">
              <a:no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xVal>
            <numRef>
              <f>Calculations!$E$6:$E$39</f>
              <numCache>
                <formatCode>General</formatCode>
                <ptCount val="34"/>
                <pt idx="0">
                  <v>2.0695</v>
                </pt>
                <pt idx="1">
                  <v>2.0515</v>
                </pt>
                <pt idx="2">
                  <v>2.0539</v>
                </pt>
                <pt idx="3">
                  <v>2.1645</v>
                </pt>
                <pt idx="4">
                  <v>2.1149</v>
                </pt>
                <pt idx="5">
                  <v>2.0402</v>
                </pt>
                <pt idx="6">
                  <v>2.0813</v>
                </pt>
                <pt idx="7">
                  <v>2.1304</v>
                </pt>
                <pt idx="8">
                  <v>2.0256</v>
                </pt>
                <pt idx="9">
                  <v>1.9698</v>
                </pt>
                <pt idx="10">
                  <v>1.9276</v>
                </pt>
                <pt idx="11">
                  <v>2.1984</v>
                </pt>
                <pt idx="12">
                  <v>2.1807</v>
                </pt>
                <pt idx="13">
                  <v>2.1628</v>
                </pt>
                <pt idx="14">
                  <v>2.1974</v>
                </pt>
                <pt idx="15">
                  <v>2.2249</v>
                </pt>
                <pt idx="16">
                  <v>2.2461</v>
                </pt>
                <pt idx="17">
                  <v>2.183</v>
                </pt>
                <pt idx="18">
                  <v>2.204</v>
                </pt>
                <pt idx="19">
                  <v>2.2609</v>
                </pt>
                <pt idx="20">
                  <v>2.2693</v>
                </pt>
                <pt idx="21">
                  <v>2.1519</v>
                </pt>
                <pt idx="22">
                  <v>2.114</v>
                </pt>
                <pt idx="23">
                  <v>2.1467</v>
                </pt>
                <pt idx="24">
                  <v>2.1533</v>
                </pt>
                <pt idx="25">
                  <v>2.1598</v>
                </pt>
                <pt idx="26">
                  <v>2.1712</v>
                </pt>
                <pt idx="27">
                  <v>2.163</v>
                </pt>
                <pt idx="28">
                  <v>2.1953</v>
                </pt>
                <pt idx="29">
                  <v>2.1075</v>
                </pt>
                <pt idx="30">
                  <v>2.1561</v>
                </pt>
                <pt idx="31">
                  <v>2.177</v>
                </pt>
                <pt idx="32">
                  <v>2.2147</v>
                </pt>
                <pt idx="33">
                  <v>2.1702</v>
                </pt>
              </numCache>
            </numRef>
          </xVal>
          <yVal>
            <numRef>
              <f>Calculations!$F$6:$F$39</f>
              <numCache>
                <formatCode>General</formatCode>
                <ptCount val="34"/>
                <pt idx="0">
                  <v>3.268707256347029</v>
                </pt>
                <pt idx="1">
                  <v>2.52802430969877</v>
                </pt>
                <pt idx="2">
                  <v>2.624578218483487</v>
                </pt>
                <pt idx="3">
                  <v>5.037651720277981</v>
                </pt>
                <pt idx="4">
                  <v>4.878553223621296</v>
                </pt>
                <pt idx="5">
                  <v>2.090995634556087</v>
                </pt>
                <pt idx="6">
                  <v>3.753127737128525</v>
                </pt>
                <pt idx="7">
                  <v>5.156986652951097</v>
                </pt>
                <pt idx="8">
                  <v>1.583884932953675</v>
                </pt>
                <pt idx="9">
                  <v>0.3907539119921029</v>
                </pt>
                <pt idx="10">
                  <v>0.09499400636927698</v>
                </pt>
                <pt idx="11">
                  <v>4.036310709691617</v>
                </pt>
                <pt idx="12">
                  <v>4.644616660420967</v>
                </pt>
                <pt idx="13">
                  <v>5.067492820948098</v>
                </pt>
                <pt idx="14">
                  <v>4.074299617429437</v>
                </pt>
                <pt idx="15">
                  <v>2.957620750292248</v>
                </pt>
                <pt idx="16">
                  <v>2.114088439528095</v>
                </pt>
                <pt idx="17">
                  <v>4.574581028556372</v>
                </pt>
                <pt idx="18">
                  <v>3.817865875468315</v>
                </pt>
                <pt idx="19">
                  <v>1.597409732360477</v>
                </pt>
                <pt idx="20">
                  <v>1.339854563399387</v>
                </pt>
                <pt idx="21">
                  <v>5.201247717978886</v>
                </pt>
                <pt idx="22">
                  <v>4.856684451631845</v>
                </pt>
                <pt idx="23">
                  <v>5.22849839328306</v>
                </pt>
                <pt idx="24">
                  <v>5.189807822617614</v>
                </pt>
                <pt idx="25">
                  <v>5.114377280839402</v>
                </pt>
                <pt idx="26">
                  <v>4.897969431878423</v>
                </pt>
                <pt idx="27">
                  <v>5.064103657964468</v>
                </pt>
                <pt idx="28">
                  <v>4.152917424701918</v>
                </pt>
                <pt idx="29">
                  <v>4.682210002682343</v>
                </pt>
                <pt idx="30">
                  <v>5.161778119153908</v>
                </pt>
                <pt idx="31">
                  <v>4.750457297769208</v>
                </pt>
                <pt idx="32">
                  <v>3.381686702808075</v>
                </pt>
                <pt idx="33">
                  <v>4.920981716527185</v>
                </pt>
              </numCache>
            </numRef>
          </yVal>
          <smooth val="0"/>
        </ser>
        <ser>
          <idx val="2"/>
          <order val="2"/>
          <tx>
            <v>Target</v>
          </tx>
          <spPr>
            <a:ln xmlns:a="http://schemas.openxmlformats.org/drawingml/2006/main" w="25400" cap="rnd">
              <a:solidFill>
                <a:schemeClr val="accent6"/>
              </a:solidFill>
              <a:prstDash val="solid"/>
              <a:round/>
            </a:ln>
          </spPr>
          <marker>
            <symbol val="none"/>
            <spPr>
              <a:ln xmlns:a="http://schemas.openxmlformats.org/drawingml/2006/main">
                <a:prstDash val="solid"/>
              </a:ln>
            </spPr>
          </marker>
          <xVal>
            <numRef>
              <f>Calculations!$I$24:$I$45</f>
              <numCache>
                <formatCode>General</formatCode>
                <ptCount val="22"/>
                <pt idx="0">
                  <v>1.51256</v>
                </pt>
                <pt idx="1">
                  <v>1.51256</v>
                </pt>
                <pt idx="2">
                  <v>1.51256</v>
                </pt>
                <pt idx="3">
                  <v>1.51256</v>
                </pt>
                <pt idx="4">
                  <v>1.51256</v>
                </pt>
                <pt idx="5">
                  <v>1.51256</v>
                </pt>
                <pt idx="6">
                  <v>1.51256</v>
                </pt>
                <pt idx="7">
                  <v>1.51256</v>
                </pt>
                <pt idx="8">
                  <v>1.51256</v>
                </pt>
                <pt idx="9">
                  <v>1.51256</v>
                </pt>
                <pt idx="10">
                  <v>1.51256</v>
                </pt>
                <pt idx="11">
                  <v>1.51256</v>
                </pt>
                <pt idx="12">
                  <v>1.51256</v>
                </pt>
                <pt idx="13">
                  <v>1.51256</v>
                </pt>
                <pt idx="14">
                  <v>1.51256</v>
                </pt>
                <pt idx="15">
                  <v>1.51256</v>
                </pt>
                <pt idx="16">
                  <v>1.51256</v>
                </pt>
                <pt idx="17">
                  <v>1.51256</v>
                </pt>
                <pt idx="18">
                  <v>1.51256</v>
                </pt>
                <pt idx="19">
                  <v>1.51256</v>
                </pt>
                <pt idx="20">
                  <v>1.51256</v>
                </pt>
                <pt idx="21">
                  <v>1.51256</v>
                </pt>
              </numCache>
            </numRef>
          </xVal>
          <yVal>
            <numRef>
              <f>Calculations!$H$24:$H$45</f>
              <numCache>
                <formatCode>General</formatCode>
                <ptCount val="22"/>
                <pt idx="0">
                  <v>0</v>
                </pt>
                <pt idx="1">
                  <v>1</v>
                </pt>
                <pt idx="2">
                  <v>2</v>
                </pt>
                <pt idx="3">
                  <v>3</v>
                </pt>
                <pt idx="4">
                  <v>4</v>
                </pt>
                <pt idx="5">
                  <v>5</v>
                </pt>
                <pt idx="6">
                  <v>6</v>
                </pt>
                <pt idx="7">
                  <v>7</v>
                </pt>
                <pt idx="8">
                  <v>8</v>
                </pt>
                <pt idx="9">
                  <v>9</v>
                </pt>
                <pt idx="10">
                  <v>10</v>
                </pt>
                <pt idx="11">
                  <v>11</v>
                </pt>
                <pt idx="12">
                  <v>12</v>
                </pt>
                <pt idx="13">
                  <v>13</v>
                </pt>
                <pt idx="14">
                  <v>14</v>
                </pt>
                <pt idx="15">
                  <v>15</v>
                </pt>
                <pt idx="16">
                  <v>16</v>
                </pt>
                <pt idx="17">
                  <v>17</v>
                </pt>
                <pt idx="18">
                  <v>18</v>
                </pt>
                <pt idx="19">
                  <v>19</v>
                </pt>
                <pt idx="20">
                  <v>20</v>
                </pt>
                <pt idx="21">
                  <v>21</v>
                </pt>
              </numCache>
            </numRef>
          </yVal>
          <smooth val="0"/>
        </ser>
        <dLbls>
          <showLegendKey val="0"/>
          <showVal val="0"/>
          <showCatName val="0"/>
          <showSerName val="0"/>
          <showPercent val="0"/>
          <showBubbleSize val="0"/>
        </dLbls>
        <axId val="934036184"/>
        <axId val="934035824"/>
      </scatterChart>
      <valAx>
        <axId val="934036184"/>
        <scaling>
          <orientation val="minMax"/>
          <min val="1.85"/>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rPr lang="en-US">
                    <a:solidFill>
                      <a:schemeClr val="tx1"/>
                    </a:solidFill>
                  </a:rPr>
                  <a:t>CVS</a:t>
                </a:r>
                <a:r>
                  <a:rPr lang="en-US" baseline="0">
                    <a:solidFill>
                      <a:schemeClr val="tx1"/>
                    </a:solidFill>
                  </a:rPr>
                  <a:t xml:space="preserve"> concentration (ppbC)</a:t>
                </a:r>
                <a:endParaRPr lang="en-US">
                  <a:solidFill>
                    <a:schemeClr val="tx1"/>
                  </a:solidFill>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title>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solidFill>
                <a:latin typeface="+mn-lt"/>
                <a:ea typeface="+mn-ea"/>
                <a:cs typeface="+mn-cs"/>
              </a:defRPr>
            </a:pPr>
            <a:r>
              <a:t>None</a:t>
            </a:r>
            <a:endParaRPr lang="en-US"/>
          </a:p>
        </txPr>
        <crossAx val="934035824"/>
        <crosses val="autoZero"/>
        <crossBetween val="midCat"/>
      </valAx>
      <valAx>
        <axId val="934035824"/>
        <scaling>
          <orientation val="minMax"/>
          <max val="9"/>
        </scaling>
        <delete val="0"/>
        <axPos val="l"/>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crossAx val="934036184"/>
        <crosses val="autoZero"/>
        <crossBetween val="midCat"/>
      </valAx>
    </plotArea>
    <legend>
      <legendPos val="b"/>
      <layout>
        <manualLayout>
          <xMode val="edge"/>
          <yMode val="edge"/>
          <wMode val="factor"/>
          <hMode val="factor"/>
          <x val="0.2358223972003499"/>
          <y val="0.894096675415573"/>
          <w val="0.5198840769903762"/>
          <h val="0.07812554680664918"/>
        </manualLayout>
      </layout>
      <overlay val="0"/>
      <spPr>
        <a:noFill xmlns:a="http://schemas.openxmlformats.org/drawingml/2006/main"/>
        <a:ln xmlns:a="http://schemas.openxmlformats.org/drawingml/2006/main">
          <a:solidFill>
            <a:schemeClr val="tx1"/>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1</col>
      <colOff>38100</colOff>
      <row>0</row>
      <rowOff>0</rowOff>
    </from>
    <to>
      <col>7</col>
      <colOff>400050</colOff>
      <row>2</row>
      <rowOff>16528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00200" y="0"/>
          <a:ext cx="8201025" cy="1026178"/>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9</col>
      <colOff>635999</colOff>
      <row>25</row>
      <rowOff>10205</rowOff>
    </from>
    <to>
      <col>18</col>
      <colOff>336777</colOff>
      <row>37</row>
      <rowOff>70621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FFCCFFCC"/>
    <outlinePr summaryBelow="1" summaryRight="1"/>
    <pageSetUpPr fitToPage="1"/>
  </sheetPr>
  <dimension ref="A1:XFD156"/>
  <sheetViews>
    <sheetView view="pageBreakPreview" zoomScaleNormal="100" zoomScaleSheetLayoutView="100" workbookViewId="0">
      <selection activeCell="I39" sqref="I39:J39"/>
    </sheetView>
  </sheetViews>
  <sheetFormatPr baseColWidth="8" defaultRowHeight="15"/>
  <cols>
    <col width="13.42578125" customWidth="1" style="37" min="1" max="1"/>
    <col width="26.5703125" customWidth="1" min="2" max="2"/>
    <col width="39.140625" customWidth="1" min="3" max="3"/>
    <col width="15.85546875" customWidth="1" min="4" max="4"/>
    <col width="13.85546875" customWidth="1" min="5" max="5"/>
    <col width="8" bestFit="1" customWidth="1" min="6" max="6"/>
    <col width="14.140625" bestFit="1" customWidth="1" min="7" max="7"/>
    <col width="8" bestFit="1" customWidth="1" min="8" max="8"/>
    <col width="14.140625" bestFit="1" customWidth="1" min="9" max="9"/>
    <col width="7" bestFit="1" customWidth="1" min="10" max="10"/>
    <col width="15.5703125" customWidth="1" min="11" max="11"/>
    <col width="11.85546875" customWidth="1" min="12" max="12"/>
  </cols>
  <sheetData>
    <row r="1" ht="58.5" customHeight="1">
      <c r="A1" s="89" t="n"/>
      <c r="B1" s="89" t="n"/>
      <c r="C1" s="89" t="n"/>
      <c r="D1" s="89" t="n"/>
      <c r="E1" s="89" t="n"/>
      <c r="F1" s="89" t="n"/>
      <c r="G1" s="89" t="n"/>
      <c r="H1" s="90" t="n"/>
      <c r="I1" s="90" t="n"/>
      <c r="J1" s="90" t="n"/>
      <c r="K1" s="90" t="n"/>
      <c r="L1" s="90" t="n"/>
      <c r="M1" s="90" t="n"/>
    </row>
    <row r="2" ht="21" customHeight="1">
      <c r="A2" s="89" t="n"/>
      <c r="B2" s="89" t="n"/>
      <c r="C2" s="89" t="n"/>
      <c r="D2" s="89" t="n"/>
      <c r="E2" s="89" t="n"/>
      <c r="F2" s="89" t="n"/>
      <c r="G2" s="89" t="n"/>
      <c r="H2" s="90" t="n"/>
      <c r="I2" s="90" t="n"/>
      <c r="J2" s="90" t="n"/>
      <c r="K2" s="90" t="n"/>
      <c r="L2" s="90" t="n"/>
      <c r="M2" s="90" t="n"/>
    </row>
    <row r="4">
      <c r="A4" s="5" t="inlineStr">
        <is>
          <t>Site</t>
        </is>
      </c>
      <c r="B4" s="45" t="inlineStr">
        <is>
          <t>EQ - Utah Technical Center</t>
        </is>
      </c>
    </row>
    <row r="5">
      <c r="A5" s="5" t="inlineStr">
        <is>
          <t>Month/Year</t>
        </is>
      </c>
      <c r="B5" s="46" t="inlineStr">
        <is>
          <t>November 2025</t>
        </is>
      </c>
    </row>
    <row r="6">
      <c r="A6" s="5" t="inlineStr">
        <is>
          <t>Validator</t>
        </is>
      </c>
      <c r="B6" s="47" t="inlineStr">
        <is>
          <t>Aengstrom</t>
        </is>
      </c>
    </row>
    <row r="8">
      <c r="A8" s="267" t="inlineStr">
        <is>
          <t>Validation Prep:</t>
        </is>
      </c>
      <c r="B8" s="347" t="n"/>
      <c r="C8" s="347" t="n"/>
      <c r="D8" s="249" t="n"/>
      <c r="E8" s="267" t="inlineStr">
        <is>
          <t>Notes:</t>
        </is>
      </c>
      <c r="F8" s="347" t="n"/>
      <c r="G8" s="347" t="n"/>
      <c r="H8" s="347" t="n"/>
      <c r="I8" s="347" t="n"/>
      <c r="J8" s="347" t="n"/>
      <c r="K8" s="347" t="n"/>
      <c r="L8" s="347" t="n"/>
      <c r="M8" s="249" t="n"/>
    </row>
    <row r="9" ht="33.75" customHeight="1">
      <c r="A9" s="3" t="n"/>
      <c r="B9" s="255" t="inlineStr">
        <is>
          <t xml:space="preserve">Verify all Daily-ZIP folders are downloaded into U:\PLAN\AMC\GC-Agilent+Markes\Data\ORIGINAL\{YYYY}\{YYYYMM} </t>
        </is>
      </c>
      <c r="C9" s="347" t="n"/>
      <c r="D9" s="249" t="n"/>
      <c r="E9" s="255" t="n"/>
      <c r="F9" s="347" t="n"/>
      <c r="G9" s="347" t="n"/>
      <c r="H9" s="347" t="n"/>
      <c r="I9" s="347" t="n"/>
      <c r="J9" s="347" t="n"/>
      <c r="K9" s="347" t="n"/>
      <c r="L9" s="347" t="n"/>
      <c r="M9" s="249" t="n"/>
    </row>
    <row r="10" ht="33.75" customHeight="1">
      <c r="A10" s="3" t="n"/>
      <c r="B10" s="255" t="inlineStr">
        <is>
          <t>Verify Operator Reprocessed zip folders are downloaded into U:\PLAN\AMC\GC-Agilent+Markes\Data\ORIGINAL\{YYYY}\{YYYYMM}</t>
        </is>
      </c>
      <c r="C10" s="347" t="n"/>
      <c r="D10" s="249" t="n"/>
      <c r="E10" s="255" t="n"/>
      <c r="F10" s="347" t="n"/>
      <c r="G10" s="347" t="n"/>
      <c r="H10" s="347" t="n"/>
      <c r="I10" s="347" t="n"/>
      <c r="J10" s="347" t="n"/>
      <c r="K10" s="347" t="n"/>
      <c r="L10" s="347" t="n"/>
      <c r="M10" s="249" t="n"/>
    </row>
    <row r="11" ht="33.75" customHeight="1">
      <c r="A11" s="3" t="n"/>
      <c r="B11" s="255" t="inlineStr">
        <is>
          <t xml:space="preserve">Verify all data has been extracted to C:\Users\{Username}\Documents\AutoGC Data\{SiteID}\{YYYY}\{YYYYMM} </t>
        </is>
      </c>
      <c r="C11" s="347" t="n"/>
      <c r="D11" s="249" t="n"/>
      <c r="E11" s="255" t="n"/>
      <c r="F11" s="347" t="n"/>
      <c r="G11" s="347" t="n"/>
      <c r="H11" s="347" t="n"/>
      <c r="I11" s="347" t="n"/>
      <c r="J11" s="347" t="n"/>
      <c r="K11" s="347" t="n"/>
      <c r="L11" s="347" t="n"/>
      <c r="M11" s="249" t="n"/>
    </row>
    <row r="12" ht="30.75" customHeight="1">
      <c r="A12" s="3" t="n"/>
      <c r="B12" s="255" t="inlineStr">
        <is>
          <t>Ensure dates, times, and site names/numbers in files match up and are continuous. document any missing files on the Validation Notes.</t>
        </is>
      </c>
      <c r="C12" s="347" t="n"/>
      <c r="D12" s="249" t="n"/>
      <c r="E12" s="255" t="n"/>
      <c r="F12" s="347" t="n"/>
      <c r="G12" s="347" t="n"/>
      <c r="H12" s="347" t="n"/>
      <c r="I12" s="347" t="n"/>
      <c r="J12" s="347" t="n"/>
      <c r="K12" s="347" t="n"/>
      <c r="L12" s="347" t="n"/>
      <c r="M12" s="249" t="n"/>
    </row>
    <row r="13">
      <c r="A13" s="3" t="n"/>
      <c r="B13" s="277" t="inlineStr">
        <is>
          <t>Verify all Original TX1 files loaded into MAX</t>
        </is>
      </c>
      <c r="C13" s="347" t="n"/>
      <c r="D13" s="249" t="n"/>
      <c r="E13" s="255" t="n"/>
      <c r="F13" s="347" t="n"/>
      <c r="G13" s="347" t="n"/>
      <c r="H13" s="347" t="n"/>
      <c r="I13" s="347" t="n"/>
      <c r="J13" s="347" t="n"/>
      <c r="K13" s="347" t="n"/>
      <c r="L13" s="347" t="n"/>
      <c r="M13" s="249" t="n"/>
    </row>
    <row r="14">
      <c r="A14" s="3" t="n"/>
      <c r="B14" s="255" t="inlineStr">
        <is>
          <t>Check CVS, Blanks, and LCS Reports  and notate failures</t>
        </is>
      </c>
      <c r="C14" s="347" t="n"/>
      <c r="D14" s="249" t="n"/>
      <c r="E14" s="255" t="n"/>
      <c r="F14" s="347" t="n"/>
      <c r="G14" s="347" t="n"/>
      <c r="H14" s="347" t="n"/>
      <c r="I14" s="347" t="n"/>
      <c r="J14" s="347" t="n"/>
      <c r="K14" s="347" t="n"/>
      <c r="L14" s="347" t="n"/>
      <c r="M14" s="249" t="n"/>
    </row>
    <row r="15">
      <c r="A15" s="3" t="n"/>
      <c r="B15" s="255" t="inlineStr">
        <is>
          <t>Download Crosstab into MDVR folder pre changes</t>
        </is>
      </c>
      <c r="C15" s="347" t="n"/>
      <c r="D15" s="249" t="n"/>
      <c r="E15" s="255" t="n"/>
      <c r="F15" s="347" t="n"/>
      <c r="G15" s="347" t="n"/>
      <c r="H15" s="347" t="n"/>
      <c r="I15" s="347" t="n"/>
      <c r="J15" s="347" t="n"/>
      <c r="K15" s="347" t="n"/>
      <c r="L15" s="347" t="n"/>
      <c r="M15" s="249" t="n"/>
    </row>
    <row r="16">
      <c r="A16" s="79" t="n"/>
      <c r="B16" s="248" t="n"/>
      <c r="C16" s="347" t="n"/>
      <c r="D16" s="249" t="n"/>
      <c r="E16" s="255" t="n"/>
      <c r="F16" s="347" t="n"/>
      <c r="G16" s="347" t="n"/>
      <c r="H16" s="347" t="n"/>
      <c r="I16" s="347" t="n"/>
      <c r="J16" s="347" t="n"/>
      <c r="K16" s="347" t="n"/>
      <c r="L16" s="347" t="n"/>
      <c r="M16" s="249" t="n"/>
    </row>
    <row r="17">
      <c r="A17" s="268" t="inlineStr">
        <is>
          <t>Review Oplog:</t>
        </is>
      </c>
      <c r="B17" s="347" t="n"/>
      <c r="C17" s="347" t="n"/>
      <c r="D17" s="249" t="n"/>
      <c r="E17" s="267" t="n"/>
      <c r="F17" s="347" t="n"/>
      <c r="G17" s="347" t="n"/>
      <c r="H17" s="347" t="n"/>
      <c r="I17" s="347" t="n"/>
      <c r="J17" s="347" t="n"/>
      <c r="K17" s="347" t="n"/>
      <c r="L17" s="347" t="n"/>
      <c r="M17" s="249" t="n"/>
    </row>
    <row r="18" ht="90.75" customHeight="1">
      <c r="A18" s="3" t="n"/>
      <c r="B18" s="255" t="inlineStr">
        <is>
          <t xml:space="preserve">View and Print the Operator Log Book (Desktop), Op Log backup (D:\EZ\HW-meth), and Operator Checklist (Desktop) from the HW-GC computer with 72 hours on either side of the month.  Review and highlight major events in the operator log book such as optimizations, cylinder changes, major events (calibrations), major malfunctions (power failures, trap, oven door failures), etc.  Highlight hours for review during or around major events as necessary per operator log book. </t>
        </is>
      </c>
      <c r="C18" s="347" t="n"/>
      <c r="D18" s="249" t="n"/>
      <c r="E18" s="255" t="n"/>
      <c r="F18" s="347" t="n"/>
      <c r="G18" s="347" t="n"/>
      <c r="H18" s="347" t="n"/>
      <c r="I18" s="347" t="n"/>
      <c r="J18" s="347" t="n"/>
      <c r="K18" s="347" t="n"/>
      <c r="L18" s="347" t="n"/>
      <c r="M18" s="249" t="n"/>
    </row>
    <row r="19" ht="15" customHeight="1">
      <c r="A19" s="3" t="n"/>
      <c r="B19" s="269" t="inlineStr">
        <is>
          <t>Stock Cylinder Changes - Verify in MAX</t>
        </is>
      </c>
      <c r="C19" s="347" t="n"/>
      <c r="D19" s="249" t="n"/>
      <c r="E19" s="255" t="n"/>
      <c r="F19" s="347" t="n"/>
      <c r="G19" s="347" t="n"/>
      <c r="H19" s="347" t="n"/>
      <c r="I19" s="347" t="n"/>
      <c r="J19" s="347" t="n"/>
      <c r="K19" s="347" t="n"/>
      <c r="L19" s="347" t="n"/>
      <c r="M19" s="249" t="n"/>
    </row>
    <row r="20" ht="15" customHeight="1">
      <c r="A20" s="3" t="n"/>
      <c r="B20" s="255" t="inlineStr">
        <is>
          <t>Correct PE Audit Samples</t>
        </is>
      </c>
      <c r="C20" s="347" t="n"/>
      <c r="D20" s="249" t="n"/>
      <c r="E20" s="255" t="n"/>
      <c r="F20" s="347" t="n"/>
      <c r="G20" s="347" t="n"/>
      <c r="H20" s="347" t="n"/>
      <c r="I20" s="347" t="n"/>
      <c r="J20" s="347" t="n"/>
      <c r="K20" s="347" t="n"/>
      <c r="L20" s="347" t="n"/>
      <c r="M20" s="249" t="n"/>
    </row>
    <row r="21" ht="15" customHeight="1">
      <c r="A21" s="3" t="n"/>
      <c r="B21" s="270" t="inlineStr">
        <is>
          <t>Correct MDL Samples  - Create Spreadsheet</t>
        </is>
      </c>
      <c r="C21" s="347" t="n"/>
      <c r="D21" s="249" t="n"/>
      <c r="E21" s="255" t="n"/>
      <c r="F21" s="347" t="n"/>
      <c r="G21" s="347" t="n"/>
      <c r="H21" s="347" t="n"/>
      <c r="I21" s="347" t="n"/>
      <c r="J21" s="347" t="n"/>
      <c r="K21" s="347" t="n"/>
      <c r="L21" s="347" t="n"/>
      <c r="M21" s="249" t="n"/>
    </row>
    <row r="22">
      <c r="A22" s="3" t="n"/>
      <c r="B22" s="255" t="inlineStr">
        <is>
          <t>Annual PM</t>
        </is>
      </c>
      <c r="C22" s="347" t="n"/>
      <c r="D22" s="249" t="n"/>
      <c r="E22" s="255" t="n"/>
      <c r="F22" s="347" t="n"/>
      <c r="G22" s="347" t="n"/>
      <c r="H22" s="347" t="n"/>
      <c r="I22" s="347" t="n"/>
      <c r="J22" s="347" t="n"/>
      <c r="K22" s="347" t="n"/>
      <c r="L22" s="347" t="n"/>
      <c r="M22" s="249" t="n"/>
    </row>
    <row r="23" ht="15" customHeight="1">
      <c r="A23" s="3" t="n"/>
      <c r="B23" s="255" t="inlineStr">
        <is>
          <t>3pt Curve - Calculated RPD</t>
        </is>
      </c>
      <c r="C23" s="347" t="n"/>
      <c r="D23" s="249" t="n"/>
      <c r="E23" s="255" t="n"/>
      <c r="F23" s="347" t="n"/>
      <c r="G23" s="347" t="n"/>
      <c r="H23" s="347" t="n"/>
      <c r="I23" s="347" t="n"/>
      <c r="J23" s="347" t="n"/>
      <c r="K23" s="347" t="n"/>
      <c r="L23" s="347" t="n"/>
      <c r="M23" s="249" t="n"/>
    </row>
    <row r="24">
      <c r="A24" s="79" t="n"/>
      <c r="B24" s="348" t="n"/>
      <c r="D24" s="349" t="n"/>
      <c r="E24" s="255" t="n"/>
      <c r="F24" s="347" t="n"/>
      <c r="G24" s="347" t="n"/>
      <c r="H24" s="347" t="n"/>
      <c r="I24" s="347" t="n"/>
      <c r="J24" s="347" t="n"/>
      <c r="K24" s="347" t="n"/>
      <c r="L24" s="347" t="n"/>
      <c r="M24" s="249" t="n"/>
    </row>
    <row r="25">
      <c r="A25" s="268" t="inlineStr">
        <is>
          <t>Review Quicklooks:</t>
        </is>
      </c>
      <c r="B25" s="347" t="n"/>
      <c r="C25" s="347" t="n"/>
      <c r="D25" s="249" t="n"/>
      <c r="E25" s="267" t="n"/>
      <c r="F25" s="347" t="n"/>
      <c r="G25" s="347" t="n"/>
      <c r="H25" s="347" t="n"/>
      <c r="I25" s="347" t="n"/>
      <c r="J25" s="347" t="n"/>
      <c r="K25" s="347" t="n"/>
      <c r="L25" s="347" t="n"/>
      <c r="M25" s="249" t="n"/>
    </row>
    <row r="26">
      <c r="A26" s="3" t="n"/>
      <c r="B26" s="255" t="inlineStr">
        <is>
          <t>Dates (1-31) Hours (A-X)</t>
        </is>
      </c>
      <c r="C26" s="347" t="n"/>
      <c r="D26" s="249" t="n"/>
      <c r="E26" s="255" t="n"/>
      <c r="F26" s="347" t="n"/>
      <c r="G26" s="347" t="n"/>
      <c r="H26" s="347" t="n"/>
      <c r="I26" s="347" t="n"/>
      <c r="J26" s="347" t="n"/>
      <c r="K26" s="347" t="n"/>
      <c r="L26" s="347" t="n"/>
      <c r="M26" s="249" t="n"/>
    </row>
    <row r="27">
      <c r="A27" s="3" t="n"/>
      <c r="B27" s="255" t="inlineStr">
        <is>
          <t>Invalidate missing hours</t>
        </is>
      </c>
      <c r="C27" s="347" t="n"/>
      <c r="D27" s="249" t="n"/>
      <c r="E27" s="255" t="n"/>
      <c r="F27" s="347" t="n"/>
      <c r="G27" s="347" t="n"/>
      <c r="H27" s="347" t="n"/>
      <c r="I27" s="347" t="n"/>
      <c r="J27" s="347" t="n"/>
      <c r="K27" s="347" t="n"/>
      <c r="L27" s="347" t="n"/>
      <c r="M27" s="249" t="n"/>
    </row>
    <row r="28">
      <c r="A28" s="3" t="n"/>
      <c r="B28" s="255" t="inlineStr">
        <is>
          <t>Over-ranges - If valid: remove flag, recal &amp; store, update excel</t>
        </is>
      </c>
      <c r="C28" s="347" t="n"/>
      <c r="D28" s="249" t="n"/>
      <c r="E28" s="255" t="n"/>
      <c r="F28" s="347" t="n"/>
      <c r="G28" s="347" t="n"/>
      <c r="H28" s="347" t="n"/>
      <c r="I28" s="347" t="n"/>
      <c r="J28" s="347" t="n"/>
      <c r="K28" s="347" t="n"/>
      <c r="L28" s="347" t="n"/>
      <c r="M28" s="249" t="n"/>
    </row>
    <row r="29">
      <c r="A29" s="3" t="n"/>
      <c r="B29" s="255" t="inlineStr">
        <is>
          <t>Invalidate data collection errors</t>
        </is>
      </c>
      <c r="C29" s="347" t="n"/>
      <c r="D29" s="249" t="n"/>
      <c r="E29" s="255" t="n"/>
      <c r="F29" s="347" t="n"/>
      <c r="G29" s="347" t="n"/>
      <c r="H29" s="347" t="n"/>
      <c r="I29" s="347" t="n"/>
      <c r="J29" s="347" t="n"/>
      <c r="K29" s="347" t="n"/>
      <c r="L29" s="347" t="n"/>
      <c r="M29" s="249" t="n"/>
    </row>
    <row r="30">
      <c r="A30" s="3" t="n"/>
      <c r="B30" s="255" t="inlineStr">
        <is>
          <t>Pick hours to view (1st/last month, surrounding invalidations)</t>
        </is>
      </c>
      <c r="C30" s="347" t="n"/>
      <c r="D30" s="249" t="n"/>
      <c r="E30" s="255" t="n"/>
      <c r="F30" s="347" t="n"/>
      <c r="G30" s="347" t="n"/>
      <c r="H30" s="347" t="n"/>
      <c r="I30" s="347" t="n"/>
      <c r="J30" s="347" t="n"/>
      <c r="K30" s="347" t="n"/>
      <c r="L30" s="347" t="n"/>
      <c r="M30" s="249" t="n"/>
    </row>
    <row r="31" ht="44.25" customHeight="1">
      <c r="A31" s="3" t="n"/>
      <c r="B31" s="255" t="inlineStr">
        <is>
          <t>Highlight at least 3 hours to review daily on each column’s hourly grid page.  Ideally one hour will be reviewed for each of the following time span; Morning Commute (06-09), Afternoon (11-15); Night (0-4, or16-23). Try not to exceede 6hr.</t>
        </is>
      </c>
      <c r="C31" s="347" t="n"/>
      <c r="D31" s="249" t="n"/>
      <c r="E31" s="255" t="n"/>
      <c r="F31" s="347" t="n"/>
      <c r="G31" s="347" t="n"/>
      <c r="H31" s="347" t="n"/>
      <c r="I31" s="347" t="n"/>
      <c r="J31" s="347" t="n"/>
      <c r="K31" s="347" t="n"/>
      <c r="L31" s="347" t="n"/>
      <c r="M31" s="249" t="n"/>
    </row>
    <row r="32">
      <c r="A32" s="248" t="n"/>
      <c r="B32" s="248" t="n"/>
      <c r="C32" s="347" t="n"/>
      <c r="D32" s="249" t="n"/>
      <c r="E32" s="265" t="n"/>
    </row>
    <row r="33">
      <c r="A33" s="268" t="inlineStr">
        <is>
          <t>Review Chromatography:</t>
        </is>
      </c>
      <c r="B33" s="347" t="n"/>
      <c r="C33" s="347" t="n"/>
      <c r="D33" s="249" t="n"/>
      <c r="E33" s="104" t="inlineStr">
        <is>
          <t>CVS Std</t>
        </is>
      </c>
      <c r="F33" s="105" t="inlineStr">
        <is>
          <t>BR</t>
        </is>
      </c>
      <c r="G33" s="104" t="inlineStr">
        <is>
          <t>LCS Std</t>
        </is>
      </c>
      <c r="H33" s="105" t="inlineStr">
        <is>
          <t>DF</t>
        </is>
      </c>
      <c r="I33" s="104" t="inlineStr">
        <is>
          <t>RTS Std</t>
        </is>
      </c>
      <c r="J33" s="108" t="inlineStr">
        <is>
          <t>BR</t>
        </is>
      </c>
      <c r="K33" s="284" t="inlineStr">
        <is>
          <t xml:space="preserve">1) RSD (Plot) = </t>
        </is>
      </c>
      <c r="L33" s="7">
        <f>IF(G38="","",E38&amp;" + "&amp;G38)</f>
        <v/>
      </c>
      <c r="M33" s="285">
        <f>IF(G38="","",(ABS((E38-G38))/G38))</f>
        <v/>
      </c>
    </row>
    <row r="34" ht="15.75" customHeight="1">
      <c r="A34" s="3" t="n"/>
      <c r="B34" s="255" t="inlineStr">
        <is>
          <t>All QC samples have been viewed</t>
        </is>
      </c>
      <c r="C34" s="347" t="n"/>
      <c r="D34" s="249" t="n"/>
      <c r="E34" s="99" t="n"/>
      <c r="F34" s="100" t="n"/>
      <c r="G34" s="103" t="n"/>
      <c r="H34" s="100" t="n"/>
      <c r="I34" s="99" t="n"/>
      <c r="J34" s="106" t="n"/>
      <c r="K34" s="350" t="n"/>
      <c r="L34">
        <f>IF(G38="","",G38)</f>
        <v/>
      </c>
      <c r="M34" s="349" t="n"/>
    </row>
    <row r="35" ht="15.75" customHeight="1">
      <c r="A35" s="3" t="n"/>
      <c r="B35" s="255" t="inlineStr">
        <is>
          <t>All highlighted hours have been viewed</t>
        </is>
      </c>
      <c r="C35" s="347" t="n"/>
      <c r="D35" s="249" t="n"/>
      <c r="E35" s="101" t="n"/>
      <c r="F35" s="102" t="n"/>
      <c r="G35" s="101" t="n"/>
      <c r="H35" s="102" t="n"/>
      <c r="I35" s="101" t="n"/>
      <c r="J35" s="107" t="n"/>
      <c r="K35" s="280" t="inlineStr">
        <is>
          <t xml:space="preserve">1) RSD (BP) = </t>
        </is>
      </c>
      <c r="L35">
        <f>IF(H38="","",F38&amp;" + "&amp;H38)</f>
        <v/>
      </c>
      <c r="M35" s="281">
        <f>IF(H38="","",(ABS((F38-H38)/H38)))</f>
        <v/>
      </c>
    </row>
    <row r="36" ht="15.75" customFormat="1" customHeight="1" s="6">
      <c r="A36" s="3" t="n"/>
      <c r="B36" s="255" t="inlineStr">
        <is>
          <t>If reprocessed, viewed reprocessed QC/Ambient</t>
        </is>
      </c>
      <c r="C36" s="347" t="n"/>
      <c r="D36" s="249" t="n"/>
      <c r="E36" s="275" t="inlineStr">
        <is>
          <t>Starting RF</t>
        </is>
      </c>
      <c r="F36" s="276" t="n"/>
      <c r="G36" s="275" t="inlineStr">
        <is>
          <t>Ending RF</t>
        </is>
      </c>
      <c r="H36" s="276" t="n"/>
      <c r="I36" s="248" t="inlineStr">
        <is>
          <t>ReCal Date(s)</t>
        </is>
      </c>
      <c r="J36" s="249" t="n"/>
      <c r="K36" s="351" t="n"/>
      <c r="L36" s="91">
        <f>IF(H38="","",H38)</f>
        <v/>
      </c>
      <c r="M36" s="276" t="n"/>
    </row>
    <row r="37" ht="15.75" customFormat="1" customHeight="1" s="6">
      <c r="A37" s="3" t="n"/>
      <c r="B37" s="255" t="inlineStr">
        <is>
          <t>View hours before &amp; after reprocessed data</t>
        </is>
      </c>
      <c r="C37" s="347" t="n"/>
      <c r="D37" s="249" t="n"/>
      <c r="E37" s="248" t="inlineStr">
        <is>
          <t>PLOT</t>
        </is>
      </c>
      <c r="F37" s="248" t="inlineStr">
        <is>
          <t>BP1</t>
        </is>
      </c>
      <c r="G37" s="248" t="inlineStr">
        <is>
          <t>PLOT</t>
        </is>
      </c>
      <c r="H37" s="253" t="inlineStr">
        <is>
          <t>BP1</t>
        </is>
      </c>
      <c r="I37" s="248" t="inlineStr">
        <is>
          <t>ReCal Date(s)</t>
        </is>
      </c>
      <c r="J37" s="249" t="n"/>
      <c r="K37" s="271" t="inlineStr">
        <is>
          <t xml:space="preserve">2) RSD (Plot) = </t>
        </is>
      </c>
      <c r="L37">
        <f>IF(G39="","",E39&amp;" + "&amp;G39)</f>
        <v/>
      </c>
      <c r="M37" s="279">
        <f>IF(G39="","",(ABS((E39-G39))/G39))</f>
        <v/>
      </c>
    </row>
    <row r="38" ht="15.75" customFormat="1" customHeight="1" s="6">
      <c r="A38" s="3" t="n"/>
      <c r="B38" s="255" t="inlineStr">
        <is>
          <t>View hours before &amp; after invalidations</t>
        </is>
      </c>
      <c r="C38" s="347" t="n"/>
      <c r="D38" s="249" t="n"/>
      <c r="E38" s="115" t="n"/>
      <c r="F38" s="116" t="n"/>
      <c r="G38" s="115" t="n"/>
      <c r="H38" s="116" t="n"/>
      <c r="I38" s="352" t="n"/>
      <c r="J38" s="323" t="n"/>
      <c r="K38" s="350" t="n"/>
      <c r="L38">
        <f>IF(G39="","",G39)</f>
        <v/>
      </c>
      <c r="M38" s="349" t="n"/>
    </row>
    <row r="39" ht="15.75" customFormat="1" customHeight="1" s="6">
      <c r="A39" s="3" t="n"/>
      <c r="B39" s="255" t="inlineStr">
        <is>
          <t>Invalidate TMNHC/TC if invalidating 8+ compounds</t>
        </is>
      </c>
      <c r="C39" s="347" t="n"/>
      <c r="D39" s="249" t="n"/>
      <c r="E39" s="8" t="n"/>
      <c r="F39" s="8" t="n"/>
      <c r="G39" s="8" t="n"/>
      <c r="H39" s="9" t="n"/>
      <c r="I39" s="3" t="n"/>
      <c r="J39" s="323" t="n"/>
      <c r="K39" s="280" t="inlineStr">
        <is>
          <t xml:space="preserve">2) RSD (BP) = </t>
        </is>
      </c>
      <c r="L39">
        <f>IF(H39="","",F39&amp;" + "&amp;H39)</f>
        <v/>
      </c>
      <c r="M39" s="281">
        <f>IF(H39="","",(ABS((F39-H39)/H39)))</f>
        <v/>
      </c>
    </row>
    <row r="40" ht="15.75" customFormat="1" customHeight="1" s="6">
      <c r="A40" s="3" t="n"/>
      <c r="B40" s="255" t="inlineStr">
        <is>
          <t>&gt;336 hour, 14-days, of data loss; update Reprocess Plan</t>
        </is>
      </c>
      <c r="C40" s="347" t="n"/>
      <c r="D40" s="249" t="n"/>
      <c r="E40" s="277" t="inlineStr">
        <is>
          <t xml:space="preserve">EH = </t>
        </is>
      </c>
      <c r="F40" s="249" t="n"/>
      <c r="G40" s="4" t="n"/>
      <c r="H40" s="2" t="n"/>
      <c r="I40" s="248" t="n"/>
      <c r="J40" s="249" t="n"/>
      <c r="K40" s="351" t="n"/>
      <c r="L40" s="91">
        <f>IF(H39="","",H39)</f>
        <v/>
      </c>
      <c r="M40" s="276" t="n"/>
    </row>
    <row r="41" ht="30.75" customFormat="1" customHeight="1" s="6">
      <c r="A41" s="3" t="n"/>
      <c r="B41" s="255" t="inlineStr">
        <is>
          <t>Send necessary emails and save copy in the MDVR folder for general issues, 336-hr data losses, and ambient over-ranges.</t>
        </is>
      </c>
      <c r="C41" s="347" t="n"/>
      <c r="D41" s="249" t="n"/>
      <c r="E41" s="290" t="n"/>
      <c r="F41" s="7" t="n"/>
      <c r="G41" s="7" t="n"/>
      <c r="H41" s="7" t="n"/>
      <c r="I41" s="7" t="n"/>
      <c r="J41" s="7" t="n"/>
      <c r="K41" s="7" t="n"/>
      <c r="L41" s="7" t="n"/>
      <c r="M41" s="7" t="n"/>
    </row>
    <row r="42" ht="14.25" customFormat="1" customHeight="1" s="6">
      <c r="A42" s="66" t="n"/>
      <c r="B42" s="266" t="n"/>
      <c r="C42" s="266" t="n"/>
    </row>
    <row r="43" ht="15" customFormat="1" customHeight="1" s="6">
      <c r="D43" s="302" t="n"/>
    </row>
    <row r="44" ht="15" customFormat="1" customHeight="1" s="6">
      <c r="A44" s="69" t="inlineStr">
        <is>
          <t>Validator Notes</t>
        </is>
      </c>
      <c r="B44" s="69" t="n"/>
      <c r="C44" s="69" t="n"/>
      <c r="D44" s="302" t="n"/>
    </row>
    <row r="45" ht="15" customFormat="1" customHeight="1" s="6">
      <c r="A45" s="37" t="n"/>
      <c r="D45" s="302" t="n"/>
    </row>
    <row r="46" ht="15" customFormat="1" customHeight="1" s="6">
      <c r="A46" s="5" t="inlineStr">
        <is>
          <t>Site</t>
        </is>
      </c>
      <c r="B46" s="45">
        <f>B4</f>
        <v/>
      </c>
      <c r="C46" s="10" t="n"/>
    </row>
    <row r="47" ht="15" customFormat="1" customHeight="1" s="6">
      <c r="A47" s="5" t="inlineStr">
        <is>
          <t>Month/Year</t>
        </is>
      </c>
      <c r="B47" s="46">
        <f>B5</f>
        <v/>
      </c>
      <c r="C47" s="10" t="n"/>
    </row>
    <row r="48" ht="15" customFormat="1" customHeight="1" s="6">
      <c r="A48" s="5" t="inlineStr">
        <is>
          <t>Validator</t>
        </is>
      </c>
      <c r="B48" s="47">
        <f>B6</f>
        <v/>
      </c>
      <c r="C48" s="10" t="n"/>
    </row>
    <row r="49" ht="15" customFormat="1" customHeight="1" s="6">
      <c r="A49" s="70" t="n"/>
    </row>
    <row r="50" ht="15" customFormat="1" customHeight="1" s="6">
      <c r="A50" s="268" t="inlineStr">
        <is>
          <t>Review Reprocess Plan:</t>
        </is>
      </c>
      <c r="B50" s="347" t="n"/>
      <c r="C50" s="347" t="n"/>
      <c r="D50" s="249" t="n"/>
      <c r="E50" s="267" t="inlineStr">
        <is>
          <t>Notes:</t>
        </is>
      </c>
      <c r="F50" s="347" t="n"/>
      <c r="G50" s="347" t="n"/>
      <c r="H50" s="347" t="n"/>
      <c r="I50" s="347" t="n"/>
      <c r="J50" s="347" t="n"/>
      <c r="K50" s="347" t="n"/>
      <c r="L50" s="347" t="n"/>
      <c r="M50" s="249" t="n"/>
    </row>
    <row r="51" ht="15" customFormat="1" customHeight="1" s="6">
      <c r="A51" s="3" t="n"/>
      <c r="B51" s="255" t="inlineStr">
        <is>
          <t>Number of tx1s matches Reprocess Data</t>
        </is>
      </c>
      <c r="C51" s="347" t="n"/>
      <c r="D51" s="249" t="n"/>
      <c r="E51" s="255" t="n"/>
      <c r="F51" s="347" t="n"/>
      <c r="G51" s="347" t="n"/>
      <c r="H51" s="347" t="n"/>
      <c r="I51" s="347" t="n"/>
      <c r="J51" s="347" t="n"/>
      <c r="K51" s="347" t="n"/>
      <c r="L51" s="347" t="n"/>
      <c r="M51" s="249" t="n"/>
    </row>
    <row r="52" ht="15" customFormat="1" customHeight="1" s="6">
      <c r="A52" s="3" t="n"/>
      <c r="B52" s="255" t="inlineStr">
        <is>
          <t>Reprocessed Data matches Reprocess Plan</t>
        </is>
      </c>
      <c r="C52" s="347" t="n"/>
      <c r="D52" s="249" t="n"/>
      <c r="E52" s="255" t="n"/>
      <c r="F52" s="347" t="n"/>
      <c r="G52" s="347" t="n"/>
      <c r="H52" s="347" t="n"/>
      <c r="I52" s="347" t="n"/>
      <c r="J52" s="347" t="n"/>
      <c r="K52" s="347" t="n"/>
      <c r="L52" s="347" t="n"/>
      <c r="M52" s="249" t="n"/>
    </row>
    <row r="53" ht="15" customFormat="1" customHeight="1" s="6">
      <c r="A53" s="3" t="n"/>
      <c r="B53" s="255" t="inlineStr">
        <is>
          <t>All QC failures listed as Invalidations or Qualified</t>
        </is>
      </c>
      <c r="C53" s="347" t="n"/>
      <c r="D53" s="249" t="n"/>
      <c r="E53" s="255" t="n"/>
      <c r="F53" s="347" t="n"/>
      <c r="G53" s="347" t="n"/>
      <c r="H53" s="347" t="n"/>
      <c r="I53" s="347" t="n"/>
      <c r="J53" s="347" t="n"/>
      <c r="K53" s="347" t="n"/>
      <c r="L53" s="347" t="n"/>
      <c r="M53" s="249" t="n"/>
    </row>
    <row r="54" ht="15" customFormat="1" customHeight="1" s="6">
      <c r="A54" s="3" t="n"/>
      <c r="B54" s="255" t="inlineStr">
        <is>
          <t>All hourly invalidations recorded</t>
        </is>
      </c>
      <c r="C54" s="347" t="n"/>
      <c r="D54" s="249" t="n"/>
      <c r="E54" s="255" t="n"/>
      <c r="F54" s="347" t="n"/>
      <c r="G54" s="347" t="n"/>
      <c r="H54" s="347" t="n"/>
      <c r="I54" s="347" t="n"/>
      <c r="J54" s="347" t="n"/>
      <c r="K54" s="347" t="n"/>
      <c r="L54" s="347" t="n"/>
      <c r="M54" s="249" t="n"/>
    </row>
    <row r="55" ht="15" customFormat="1" customHeight="1" s="6">
      <c r="A55" s="3" t="n"/>
      <c r="B55" s="255" t="n"/>
      <c r="C55" s="347" t="n"/>
      <c r="D55" s="249" t="n"/>
      <c r="E55" s="255" t="n"/>
      <c r="F55" s="347" t="n"/>
      <c r="G55" s="347" t="n"/>
      <c r="H55" s="347" t="n"/>
      <c r="I55" s="347" t="n"/>
      <c r="J55" s="347" t="n"/>
      <c r="K55" s="347" t="n"/>
      <c r="L55" s="347" t="n"/>
      <c r="M55" s="249" t="n"/>
    </row>
    <row r="56" ht="15" customFormat="1" customHeight="1" s="6">
      <c r="A56" s="3" t="n"/>
      <c r="B56" s="255" t="n"/>
      <c r="C56" s="347" t="n"/>
      <c r="D56" s="249" t="n"/>
      <c r="E56" s="255" t="n"/>
      <c r="F56" s="347" t="n"/>
      <c r="G56" s="347" t="n"/>
      <c r="H56" s="347" t="n"/>
      <c r="I56" s="347" t="n"/>
      <c r="J56" s="347" t="n"/>
      <c r="K56" s="347" t="n"/>
      <c r="L56" s="347" t="n"/>
      <c r="M56" s="249" t="n"/>
    </row>
    <row r="57">
      <c r="A57" s="353" t="inlineStr">
        <is>
          <t>Validation:</t>
        </is>
      </c>
      <c r="B57" s="91" t="n"/>
      <c r="C57" s="91" t="n"/>
      <c r="D57" s="276" t="n"/>
      <c r="E57" s="255" t="n"/>
      <c r="F57" s="347" t="n"/>
      <c r="G57" s="347" t="n"/>
      <c r="H57" s="347" t="n"/>
      <c r="I57" s="347" t="n"/>
      <c r="J57" s="347" t="n"/>
      <c r="K57" s="347" t="n"/>
      <c r="L57" s="347" t="n"/>
      <c r="M57" s="249" t="n"/>
    </row>
    <row r="58" ht="15" customHeight="1">
      <c r="A58" s="3" t="n"/>
      <c r="B58" s="255" t="inlineStr">
        <is>
          <t>Load and Decode new TX1 files in MAX</t>
        </is>
      </c>
      <c r="C58" s="347" t="n"/>
      <c r="D58" s="249" t="n"/>
      <c r="E58" s="255" t="n"/>
      <c r="F58" s="347" t="n"/>
      <c r="G58" s="347" t="n"/>
      <c r="H58" s="347" t="n"/>
      <c r="I58" s="347" t="n"/>
      <c r="J58" s="347" t="n"/>
      <c r="K58" s="347" t="n"/>
      <c r="L58" s="347" t="n"/>
      <c r="M58" s="249" t="n"/>
    </row>
    <row r="59" ht="15" customHeight="1">
      <c r="A59" s="3" t="n"/>
      <c r="B59" s="255" t="inlineStr">
        <is>
          <t>Final QC report reviewed for addition invalidations</t>
        </is>
      </c>
      <c r="C59" s="347" t="n"/>
      <c r="D59" s="249" t="n"/>
      <c r="E59" s="255" t="n"/>
      <c r="F59" s="347" t="n"/>
      <c r="G59" s="347" t="n"/>
      <c r="H59" s="347" t="n"/>
      <c r="I59" s="347" t="n"/>
      <c r="J59" s="347" t="n"/>
      <c r="K59" s="347" t="n"/>
      <c r="L59" s="347" t="n"/>
      <c r="M59" s="249" t="n"/>
    </row>
    <row r="60" ht="15" customHeight="1">
      <c r="A60" s="3" t="n"/>
      <c r="B60" s="255" t="inlineStr">
        <is>
          <t>Review new Quicklooks &amp; compare with Reprocess Plan</t>
        </is>
      </c>
      <c r="C60" s="347" t="n"/>
      <c r="D60" s="249" t="n"/>
      <c r="E60" s="255" t="n"/>
      <c r="F60" s="347" t="n"/>
      <c r="G60" s="347" t="n"/>
      <c r="H60" s="347" t="n"/>
      <c r="I60" s="347" t="n"/>
      <c r="J60" s="347" t="n"/>
      <c r="K60" s="347" t="n"/>
      <c r="L60" s="347" t="n"/>
      <c r="M60" s="249" t="n"/>
    </row>
    <row r="61" ht="15" customHeight="1">
      <c r="A61" s="3" t="n"/>
      <c r="B61" s="255" t="inlineStr">
        <is>
          <t>Flag invalid hours, components</t>
        </is>
      </c>
      <c r="C61" s="347" t="n"/>
      <c r="D61" s="249" t="n"/>
      <c r="E61" s="255" t="n"/>
      <c r="F61" s="347" t="n"/>
      <c r="G61" s="347" t="n"/>
      <c r="H61" s="347" t="n"/>
      <c r="I61" s="347" t="n"/>
      <c r="J61" s="347" t="n"/>
      <c r="K61" s="347" t="n"/>
      <c r="L61" s="347" t="n"/>
      <c r="M61" s="249" t="n"/>
    </row>
    <row r="62">
      <c r="A62" s="3" t="n"/>
      <c r="B62" s="255" t="n"/>
      <c r="C62" s="347" t="n"/>
      <c r="D62" s="249" t="n"/>
      <c r="E62" s="255" t="n"/>
      <c r="F62" s="347" t="n"/>
      <c r="G62" s="347" t="n"/>
      <c r="H62" s="347" t="n"/>
      <c r="I62" s="347" t="n"/>
      <c r="J62" s="347" t="n"/>
      <c r="K62" s="347" t="n"/>
      <c r="L62" s="347" t="n"/>
      <c r="M62" s="249" t="n"/>
    </row>
    <row r="63">
      <c r="A63" s="3" t="n"/>
      <c r="B63" s="255" t="inlineStr">
        <is>
          <t>Validate &amp; Lock data in MAX</t>
        </is>
      </c>
      <c r="C63" s="347" t="n"/>
      <c r="D63" s="249" t="n"/>
      <c r="E63" s="255" t="n"/>
      <c r="F63" s="347" t="n"/>
      <c r="G63" s="347" t="n"/>
      <c r="H63" s="347" t="n"/>
      <c r="I63" s="347" t="n"/>
      <c r="J63" s="347" t="n"/>
      <c r="K63" s="347" t="n"/>
      <c r="L63" s="347" t="n"/>
      <c r="M63" s="249" t="n"/>
    </row>
    <row r="64" ht="32.25" customHeight="1">
      <c r="A64" s="3" t="n"/>
      <c r="B64" s="257" t="inlineStr">
        <is>
          <t>Create AQS file (targets!)  ( Include QA/QC, Include X Run, Do not  Include TNMTC (43000) or Show amount if nulled data)</t>
        </is>
      </c>
      <c r="C64" s="7" t="n"/>
      <c r="D64" s="354" t="n"/>
      <c r="E64" s="256" t="n"/>
      <c r="F64" s="7" t="n"/>
      <c r="G64" s="7" t="n"/>
      <c r="H64" s="7" t="n"/>
      <c r="I64" s="7" t="n"/>
      <c r="J64" s="7" t="n"/>
      <c r="K64" s="7" t="n"/>
      <c r="L64" s="7" t="n"/>
      <c r="M64" s="354" t="n"/>
    </row>
    <row r="65">
      <c r="A65" s="3" t="n"/>
      <c r="B65" s="255" t="inlineStr">
        <is>
          <t>Create AQS Blank file</t>
        </is>
      </c>
      <c r="C65" s="347" t="n"/>
      <c r="D65" s="249" t="n"/>
      <c r="E65" s="255" t="n"/>
      <c r="F65" s="347" t="n"/>
      <c r="G65" s="347" t="n"/>
      <c r="H65" s="347" t="n"/>
      <c r="I65" s="347" t="n"/>
      <c r="J65" s="347" t="n"/>
      <c r="K65" s="347" t="n"/>
      <c r="L65" s="347" t="n"/>
      <c r="M65" s="249" t="n"/>
      <c r="N65" s="124" t="n"/>
      <c r="O65" s="266" t="n"/>
      <c r="R65" s="297" t="n"/>
      <c r="AA65" s="124" t="n"/>
      <c r="AB65" s="266" t="n"/>
      <c r="AE65" s="297" t="n"/>
      <c r="AN65" s="124" t="n"/>
      <c r="AO65" s="266" t="n"/>
      <c r="AR65" s="297" t="n"/>
      <c r="BA65" s="124" t="n"/>
      <c r="BB65" s="266" t="n"/>
      <c r="BE65" s="297" t="n"/>
      <c r="BN65" s="124" t="n"/>
      <c r="BO65" s="266" t="n"/>
      <c r="BR65" s="297" t="n"/>
      <c r="CA65" s="124" t="n"/>
      <c r="CB65" s="266" t="n"/>
      <c r="CE65" s="297" t="n"/>
      <c r="CN65" s="124" t="n"/>
      <c r="CO65" s="266" t="n"/>
      <c r="CR65" s="297" t="n"/>
      <c r="DA65" s="124" t="n"/>
      <c r="DB65" s="266" t="n"/>
      <c r="DE65" s="297" t="n"/>
      <c r="DN65" s="124" t="n"/>
      <c r="DO65" s="266" t="n"/>
      <c r="DR65" s="297" t="n"/>
      <c r="EA65" s="124" t="n"/>
      <c r="EB65" s="266" t="n"/>
      <c r="EE65" s="297" t="n"/>
      <c r="EN65" s="124" t="n"/>
      <c r="EO65" s="266" t="n"/>
      <c r="ER65" s="297" t="n"/>
      <c r="FA65" s="124" t="n"/>
      <c r="FB65" s="266" t="n"/>
      <c r="FE65" s="297" t="n"/>
      <c r="FN65" s="124" t="n"/>
      <c r="FO65" s="266" t="n"/>
      <c r="FR65" s="297" t="n"/>
      <c r="GA65" s="124" t="n"/>
      <c r="GB65" s="266" t="n"/>
      <c r="GE65" s="297" t="n"/>
      <c r="GN65" s="124" t="n"/>
      <c r="GO65" s="266" t="n"/>
      <c r="GR65" s="297" t="n"/>
      <c r="HA65" s="124" t="n"/>
      <c r="HB65" s="266" t="n"/>
      <c r="HE65" s="297" t="n"/>
      <c r="HN65" s="124" t="n"/>
      <c r="HO65" s="266" t="n"/>
      <c r="HR65" s="297" t="n"/>
      <c r="IA65" s="124" t="n"/>
      <c r="IB65" s="266" t="n"/>
      <c r="IE65" s="297" t="n"/>
      <c r="IN65" s="124" t="n"/>
      <c r="IO65" s="266" t="n"/>
      <c r="IR65" s="297" t="n"/>
      <c r="JA65" s="124" t="n"/>
      <c r="JB65" s="266" t="n"/>
      <c r="JE65" s="297" t="n"/>
      <c r="JN65" s="124" t="n"/>
      <c r="JO65" s="266" t="n"/>
      <c r="JR65" s="297" t="n"/>
      <c r="KA65" s="124" t="n"/>
      <c r="KB65" s="266" t="n"/>
      <c r="KE65" s="297" t="n"/>
      <c r="KN65" s="124" t="n"/>
      <c r="KO65" s="266" t="n"/>
      <c r="KR65" s="297" t="n"/>
      <c r="LA65" s="124" t="n"/>
      <c r="LB65" s="266" t="n"/>
      <c r="LE65" s="297" t="n"/>
      <c r="LN65" s="124" t="n"/>
      <c r="LO65" s="266" t="n"/>
      <c r="LR65" s="297" t="n"/>
      <c r="MA65" s="124" t="n"/>
      <c r="MB65" s="266" t="n"/>
      <c r="ME65" s="297" t="n"/>
      <c r="MN65" s="124" t="n"/>
      <c r="MO65" s="266" t="n"/>
      <c r="MR65" s="297" t="n"/>
      <c r="NA65" s="124" t="n"/>
      <c r="NB65" s="266" t="n"/>
      <c r="NE65" s="297" t="n"/>
      <c r="NN65" s="124" t="n"/>
      <c r="NO65" s="266" t="n"/>
      <c r="NR65" s="297" t="n"/>
      <c r="OA65" s="124" t="n"/>
      <c r="OB65" s="266" t="n"/>
      <c r="OE65" s="297" t="n"/>
      <c r="ON65" s="124" t="n"/>
      <c r="OO65" s="266" t="n"/>
      <c r="OR65" s="297" t="n"/>
      <c r="PA65" s="124" t="n"/>
      <c r="PB65" s="266" t="n"/>
      <c r="PE65" s="297" t="n"/>
      <c r="PN65" s="124" t="n"/>
      <c r="PO65" s="266" t="n"/>
      <c r="PR65" s="297" t="n"/>
      <c r="QA65" s="124" t="n"/>
      <c r="QB65" s="266" t="n"/>
      <c r="QE65" s="297" t="n"/>
      <c r="QN65" s="124" t="n"/>
      <c r="QO65" s="266" t="n"/>
      <c r="QR65" s="297" t="n"/>
      <c r="RA65" s="124" t="n"/>
      <c r="RB65" s="266" t="n"/>
      <c r="RE65" s="297" t="n"/>
      <c r="RN65" s="124" t="n"/>
      <c r="RO65" s="266" t="n"/>
      <c r="RR65" s="297" t="n"/>
      <c r="SA65" s="124" t="n"/>
      <c r="SB65" s="266" t="n"/>
      <c r="SE65" s="297" t="n"/>
      <c r="SN65" s="124" t="n"/>
      <c r="SO65" s="266" t="n"/>
      <c r="SR65" s="297" t="n"/>
      <c r="TA65" s="124" t="n"/>
      <c r="TB65" s="266" t="n"/>
      <c r="TE65" s="297" t="n"/>
      <c r="TN65" s="124" t="n"/>
      <c r="TO65" s="266" t="n"/>
      <c r="TR65" s="297" t="n"/>
      <c r="UA65" s="124" t="n"/>
      <c r="UB65" s="266" t="n"/>
      <c r="UE65" s="297" t="n"/>
      <c r="UN65" s="124" t="n"/>
      <c r="UO65" s="266" t="n"/>
      <c r="UR65" s="297" t="n"/>
      <c r="VA65" s="124" t="n"/>
      <c r="VB65" s="266" t="n"/>
      <c r="VE65" s="297" t="n"/>
      <c r="VN65" s="124" t="n"/>
      <c r="VO65" s="266" t="n"/>
      <c r="VR65" s="297" t="n"/>
      <c r="WA65" s="124" t="n"/>
      <c r="WB65" s="266" t="n"/>
      <c r="WE65" s="297" t="n"/>
      <c r="WN65" s="124" t="n"/>
      <c r="WO65" s="266" t="n"/>
      <c r="WR65" s="297" t="n"/>
      <c r="XA65" s="124" t="n"/>
      <c r="XB65" s="266" t="n"/>
      <c r="XE65" s="297" t="n"/>
      <c r="XN65" s="124" t="n"/>
      <c r="XO65" s="266" t="n"/>
      <c r="XR65" s="297" t="n"/>
      <c r="YA65" s="124" t="n"/>
      <c r="YB65" s="266" t="n"/>
      <c r="YE65" s="297" t="n"/>
      <c r="YN65" s="124" t="n"/>
      <c r="YO65" s="266" t="n"/>
      <c r="YR65" s="297" t="n"/>
      <c r="ZA65" s="124" t="n"/>
      <c r="ZB65" s="266" t="n"/>
      <c r="ZE65" s="297" t="n"/>
      <c r="ZN65" s="124" t="n"/>
      <c r="ZO65" s="266" t="n"/>
      <c r="ZR65" s="297" t="n"/>
      <c r="AAA65" s="124" t="n"/>
      <c r="AAB65" s="266" t="n"/>
      <c r="AAE65" s="297" t="n"/>
      <c r="AAN65" s="124" t="n"/>
      <c r="AAO65" s="266" t="n"/>
      <c r="AAR65" s="297" t="n"/>
      <c r="ABA65" s="124" t="n"/>
      <c r="ABB65" s="266" t="n"/>
      <c r="ABE65" s="297" t="n"/>
      <c r="ABN65" s="124" t="n"/>
      <c r="ABO65" s="266" t="n"/>
      <c r="ABR65" s="297" t="n"/>
      <c r="ACA65" s="124" t="n"/>
      <c r="ACB65" s="266" t="n"/>
      <c r="ACE65" s="297" t="n"/>
      <c r="ACN65" s="124" t="n"/>
      <c r="ACO65" s="266" t="n"/>
      <c r="ACR65" s="297" t="n"/>
      <c r="ADA65" s="124" t="n"/>
      <c r="ADB65" s="266" t="n"/>
      <c r="ADE65" s="297" t="n"/>
      <c r="ADN65" s="124" t="n"/>
      <c r="ADO65" s="266" t="n"/>
      <c r="ADR65" s="297" t="n"/>
      <c r="AEA65" s="124" t="n"/>
      <c r="AEB65" s="266" t="n"/>
      <c r="AEE65" s="297" t="n"/>
      <c r="AEN65" s="124" t="n"/>
      <c r="AEO65" s="266" t="n"/>
      <c r="AER65" s="297" t="n"/>
      <c r="AFA65" s="124" t="n"/>
      <c r="AFB65" s="266" t="n"/>
      <c r="AFE65" s="297" t="n"/>
      <c r="AFN65" s="124" t="n"/>
      <c r="AFO65" s="266" t="n"/>
      <c r="AFR65" s="297" t="n"/>
      <c r="AGA65" s="124" t="n"/>
      <c r="AGB65" s="266" t="n"/>
      <c r="AGE65" s="297" t="n"/>
      <c r="AGN65" s="124" t="n"/>
      <c r="AGO65" s="266" t="n"/>
      <c r="AGR65" s="297" t="n"/>
      <c r="AHA65" s="124" t="n"/>
      <c r="AHB65" s="266" t="n"/>
      <c r="AHE65" s="297" t="n"/>
      <c r="AHN65" s="124" t="n"/>
      <c r="AHO65" s="266" t="n"/>
      <c r="AHR65" s="297" t="n"/>
      <c r="AIA65" s="124" t="n"/>
      <c r="AIB65" s="266" t="n"/>
      <c r="AIE65" s="297" t="n"/>
      <c r="AIN65" s="124" t="n"/>
      <c r="AIO65" s="266" t="n"/>
      <c r="AIR65" s="297" t="n"/>
      <c r="AJA65" s="124" t="n"/>
      <c r="AJB65" s="266" t="n"/>
      <c r="AJE65" s="297" t="n"/>
      <c r="AJN65" s="124" t="n"/>
      <c r="AJO65" s="266" t="n"/>
      <c r="AJR65" s="297" t="n"/>
      <c r="AKA65" s="124" t="n"/>
      <c r="AKB65" s="266" t="n"/>
      <c r="AKE65" s="297" t="n"/>
      <c r="AKN65" s="124" t="n"/>
      <c r="AKO65" s="266" t="n"/>
      <c r="AKR65" s="297" t="n"/>
      <c r="ALA65" s="124" t="n"/>
      <c r="ALB65" s="266" t="n"/>
      <c r="ALE65" s="297" t="n"/>
      <c r="ALN65" s="124" t="n"/>
      <c r="ALO65" s="266" t="n"/>
      <c r="ALR65" s="297" t="n"/>
      <c r="AMA65" s="124" t="n"/>
      <c r="AMB65" s="266" t="n"/>
      <c r="AME65" s="297" t="n"/>
      <c r="AMN65" s="124" t="n"/>
      <c r="AMO65" s="266" t="n"/>
      <c r="AMR65" s="297" t="n"/>
      <c r="ANA65" s="124" t="n"/>
      <c r="ANB65" s="266" t="n"/>
      <c r="ANE65" s="297" t="n"/>
      <c r="ANN65" s="124" t="n"/>
      <c r="ANO65" s="266" t="n"/>
      <c r="ANR65" s="297" t="n"/>
      <c r="AOA65" s="124" t="n"/>
      <c r="AOB65" s="266" t="n"/>
      <c r="AOE65" s="297" t="n"/>
      <c r="AON65" s="124" t="n"/>
      <c r="AOO65" s="266" t="n"/>
      <c r="AOR65" s="297" t="n"/>
      <c r="APA65" s="124" t="n"/>
      <c r="APB65" s="266" t="n"/>
      <c r="APE65" s="297" t="n"/>
      <c r="APN65" s="124" t="n"/>
      <c r="APO65" s="266" t="n"/>
      <c r="APR65" s="297" t="n"/>
      <c r="AQA65" s="124" t="n"/>
      <c r="AQB65" s="266" t="n"/>
      <c r="AQE65" s="297" t="n"/>
      <c r="AQN65" s="124" t="n"/>
      <c r="AQO65" s="266" t="n"/>
      <c r="AQR65" s="297" t="n"/>
      <c r="ARA65" s="124" t="n"/>
      <c r="ARB65" s="266" t="n"/>
      <c r="ARE65" s="297" t="n"/>
      <c r="ARN65" s="124" t="n"/>
      <c r="ARO65" s="266" t="n"/>
      <c r="ARR65" s="297" t="n"/>
      <c r="ASA65" s="124" t="n"/>
      <c r="ASB65" s="266" t="n"/>
      <c r="ASE65" s="297" t="n"/>
      <c r="ASN65" s="124" t="n"/>
      <c r="ASO65" s="266" t="n"/>
      <c r="ASR65" s="297" t="n"/>
      <c r="ATA65" s="124" t="n"/>
      <c r="ATB65" s="266" t="n"/>
      <c r="ATE65" s="297" t="n"/>
      <c r="ATN65" s="124" t="n"/>
      <c r="ATO65" s="266" t="n"/>
      <c r="ATR65" s="297" t="n"/>
      <c r="AUA65" s="124" t="n"/>
      <c r="AUB65" s="266" t="n"/>
      <c r="AUE65" s="297" t="n"/>
      <c r="AUN65" s="124" t="n"/>
      <c r="AUO65" s="266" t="n"/>
      <c r="AUR65" s="297" t="n"/>
      <c r="AVA65" s="124" t="n"/>
      <c r="AVB65" s="266" t="n"/>
      <c r="AVE65" s="297" t="n"/>
      <c r="AVN65" s="124" t="n"/>
      <c r="AVO65" s="266" t="n"/>
      <c r="AVR65" s="297" t="n"/>
      <c r="AWA65" s="124" t="n"/>
      <c r="AWB65" s="266" t="n"/>
      <c r="AWE65" s="297" t="n"/>
      <c r="AWN65" s="124" t="n"/>
      <c r="AWO65" s="266" t="n"/>
      <c r="AWR65" s="297" t="n"/>
      <c r="AXA65" s="124" t="n"/>
      <c r="AXB65" s="266" t="n"/>
      <c r="AXE65" s="297" t="n"/>
      <c r="AXN65" s="124" t="n"/>
      <c r="AXO65" s="266" t="n"/>
      <c r="AXR65" s="297" t="n"/>
      <c r="AYA65" s="124" t="n"/>
      <c r="AYB65" s="266" t="n"/>
      <c r="AYE65" s="297" t="n"/>
      <c r="AYN65" s="124" t="n"/>
      <c r="AYO65" s="266" t="n"/>
      <c r="AYR65" s="297" t="n"/>
      <c r="AZA65" s="124" t="n"/>
      <c r="AZB65" s="266" t="n"/>
      <c r="AZE65" s="297" t="n"/>
      <c r="AZN65" s="124" t="n"/>
      <c r="AZO65" s="266" t="n"/>
      <c r="AZR65" s="297" t="n"/>
      <c r="BAA65" s="124" t="n"/>
      <c r="BAB65" s="266" t="n"/>
      <c r="BAE65" s="297" t="n"/>
      <c r="BAN65" s="124" t="n"/>
      <c r="BAO65" s="266" t="n"/>
      <c r="BAR65" s="297" t="n"/>
      <c r="BBA65" s="124" t="n"/>
      <c r="BBB65" s="266" t="n"/>
      <c r="BBE65" s="297" t="n"/>
      <c r="BBN65" s="124" t="n"/>
      <c r="BBO65" s="266" t="n"/>
      <c r="BBR65" s="297" t="n"/>
      <c r="BCA65" s="124" t="n"/>
      <c r="BCB65" s="266" t="n"/>
      <c r="BCE65" s="297" t="n"/>
      <c r="BCN65" s="124" t="n"/>
      <c r="BCO65" s="266" t="n"/>
      <c r="BCR65" s="297" t="n"/>
      <c r="BDA65" s="124" t="n"/>
      <c r="BDB65" s="266" t="n"/>
      <c r="BDE65" s="297" t="n"/>
      <c r="BDN65" s="124" t="n"/>
      <c r="BDO65" s="266" t="n"/>
      <c r="BDR65" s="297" t="n"/>
      <c r="BEA65" s="124" t="n"/>
      <c r="BEB65" s="266" t="n"/>
      <c r="BEE65" s="297" t="n"/>
      <c r="BEN65" s="124" t="n"/>
      <c r="BEO65" s="266" t="n"/>
      <c r="BER65" s="297" t="n"/>
      <c r="BFA65" s="124" t="n"/>
      <c r="BFB65" s="266" t="n"/>
      <c r="BFE65" s="297" t="n"/>
      <c r="BFN65" s="124" t="n"/>
      <c r="BFO65" s="266" t="n"/>
      <c r="BFR65" s="297" t="n"/>
      <c r="BGA65" s="124" t="n"/>
      <c r="BGB65" s="266" t="n"/>
      <c r="BGE65" s="297" t="n"/>
      <c r="BGN65" s="124" t="n"/>
      <c r="BGO65" s="266" t="n"/>
      <c r="BGR65" s="297" t="n"/>
      <c r="BHA65" s="124" t="n"/>
      <c r="BHB65" s="266" t="n"/>
      <c r="BHE65" s="297" t="n"/>
      <c r="BHN65" s="124" t="n"/>
      <c r="BHO65" s="266" t="n"/>
      <c r="BHR65" s="297" t="n"/>
      <c r="BIA65" s="124" t="n"/>
      <c r="BIB65" s="266" t="n"/>
      <c r="BIE65" s="297" t="n"/>
      <c r="BIN65" s="124" t="n"/>
      <c r="BIO65" s="266" t="n"/>
      <c r="BIR65" s="297" t="n"/>
      <c r="BJA65" s="124" t="n"/>
      <c r="BJB65" s="266" t="n"/>
      <c r="BJE65" s="297" t="n"/>
      <c r="BJN65" s="124" t="n"/>
      <c r="BJO65" s="266" t="n"/>
      <c r="BJR65" s="297" t="n"/>
      <c r="BKA65" s="124" t="n"/>
      <c r="BKB65" s="266" t="n"/>
      <c r="BKE65" s="297" t="n"/>
      <c r="BKN65" s="124" t="n"/>
      <c r="BKO65" s="266" t="n"/>
      <c r="BKR65" s="297" t="n"/>
      <c r="BLA65" s="124" t="n"/>
      <c r="BLB65" s="266" t="n"/>
      <c r="BLE65" s="297" t="n"/>
      <c r="BLN65" s="124" t="n"/>
      <c r="BLO65" s="266" t="n"/>
      <c r="BLR65" s="297" t="n"/>
      <c r="BMA65" s="124" t="n"/>
      <c r="BMB65" s="266" t="n"/>
      <c r="BME65" s="297" t="n"/>
      <c r="BMN65" s="124" t="n"/>
      <c r="BMO65" s="266" t="n"/>
      <c r="BMR65" s="297" t="n"/>
      <c r="BNA65" s="124" t="n"/>
      <c r="BNB65" s="266" t="n"/>
      <c r="BNE65" s="297" t="n"/>
      <c r="BNN65" s="124" t="n"/>
      <c r="BNO65" s="266" t="n"/>
      <c r="BNR65" s="297" t="n"/>
      <c r="BOA65" s="124" t="n"/>
      <c r="BOB65" s="266" t="n"/>
      <c r="BOE65" s="297" t="n"/>
      <c r="BON65" s="124" t="n"/>
      <c r="BOO65" s="266" t="n"/>
      <c r="BOR65" s="297" t="n"/>
      <c r="BPA65" s="124" t="n"/>
      <c r="BPB65" s="266" t="n"/>
      <c r="BPE65" s="297" t="n"/>
      <c r="BPN65" s="124" t="n"/>
      <c r="BPO65" s="266" t="n"/>
      <c r="BPR65" s="297" t="n"/>
      <c r="BQA65" s="124" t="n"/>
      <c r="BQB65" s="266" t="n"/>
      <c r="BQE65" s="297" t="n"/>
      <c r="BQN65" s="124" t="n"/>
      <c r="BQO65" s="266" t="n"/>
      <c r="BQR65" s="297" t="n"/>
      <c r="BRA65" s="124" t="n"/>
      <c r="BRB65" s="266" t="n"/>
      <c r="BRE65" s="297" t="n"/>
      <c r="BRN65" s="124" t="n"/>
      <c r="BRO65" s="266" t="n"/>
      <c r="BRR65" s="297" t="n"/>
      <c r="BSA65" s="124" t="n"/>
      <c r="BSB65" s="266" t="n"/>
      <c r="BSE65" s="297" t="n"/>
      <c r="BSN65" s="124" t="n"/>
      <c r="BSO65" s="266" t="n"/>
      <c r="BSR65" s="297" t="n"/>
      <c r="BTA65" s="124" t="n"/>
      <c r="BTB65" s="266" t="n"/>
      <c r="BTE65" s="297" t="n"/>
      <c r="BTN65" s="124" t="n"/>
      <c r="BTO65" s="266" t="n"/>
      <c r="BTR65" s="297" t="n"/>
      <c r="BUA65" s="124" t="n"/>
      <c r="BUB65" s="266" t="n"/>
      <c r="BUE65" s="297" t="n"/>
      <c r="BUN65" s="124" t="n"/>
      <c r="BUO65" s="266" t="n"/>
      <c r="BUR65" s="297" t="n"/>
      <c r="BVA65" s="124" t="n"/>
      <c r="BVB65" s="266" t="n"/>
      <c r="BVE65" s="297" t="n"/>
      <c r="BVN65" s="124" t="n"/>
      <c r="BVO65" s="266" t="n"/>
      <c r="BVR65" s="297" t="n"/>
      <c r="BWA65" s="124" t="n"/>
      <c r="BWB65" s="266" t="n"/>
      <c r="BWE65" s="297" t="n"/>
      <c r="BWN65" s="124" t="n"/>
      <c r="BWO65" s="266" t="n"/>
      <c r="BWR65" s="297" t="n"/>
      <c r="BXA65" s="124" t="n"/>
      <c r="BXB65" s="266" t="n"/>
      <c r="BXE65" s="297" t="n"/>
      <c r="BXN65" s="124" t="n"/>
      <c r="BXO65" s="266" t="n"/>
      <c r="BXR65" s="297" t="n"/>
      <c r="BYA65" s="124" t="n"/>
      <c r="BYB65" s="266" t="n"/>
      <c r="BYE65" s="297" t="n"/>
      <c r="BYN65" s="124" t="n"/>
      <c r="BYO65" s="266" t="n"/>
      <c r="BYR65" s="297" t="n"/>
      <c r="BZA65" s="124" t="n"/>
      <c r="BZB65" s="266" t="n"/>
      <c r="BZE65" s="297" t="n"/>
      <c r="BZN65" s="124" t="n"/>
      <c r="BZO65" s="266" t="n"/>
      <c r="BZR65" s="297" t="n"/>
      <c r="CAA65" s="124" t="n"/>
      <c r="CAB65" s="266" t="n"/>
      <c r="CAE65" s="297" t="n"/>
      <c r="CAN65" s="124" t="n"/>
      <c r="CAO65" s="266" t="n"/>
      <c r="CAR65" s="297" t="n"/>
      <c r="CBA65" s="124" t="n"/>
      <c r="CBB65" s="266" t="n"/>
      <c r="CBE65" s="297" t="n"/>
      <c r="CBN65" s="124" t="n"/>
      <c r="CBO65" s="266" t="n"/>
      <c r="CBR65" s="297" t="n"/>
      <c r="CCA65" s="124" t="n"/>
      <c r="CCB65" s="266" t="n"/>
      <c r="CCE65" s="297" t="n"/>
      <c r="CCN65" s="124" t="n"/>
      <c r="CCO65" s="266" t="n"/>
      <c r="CCR65" s="297" t="n"/>
      <c r="CDA65" s="124" t="n"/>
      <c r="CDB65" s="266" t="n"/>
      <c r="CDE65" s="297" t="n"/>
      <c r="CDN65" s="124" t="n"/>
      <c r="CDO65" s="266" t="n"/>
      <c r="CDR65" s="297" t="n"/>
      <c r="CEA65" s="124" t="n"/>
      <c r="CEB65" s="266" t="n"/>
      <c r="CEE65" s="297" t="n"/>
      <c r="CEN65" s="124" t="n"/>
      <c r="CEO65" s="266" t="n"/>
      <c r="CER65" s="297" t="n"/>
      <c r="CFA65" s="124" t="n"/>
      <c r="CFB65" s="266" t="n"/>
      <c r="CFE65" s="297" t="n"/>
      <c r="CFN65" s="124" t="n"/>
      <c r="CFO65" s="266" t="n"/>
      <c r="CFR65" s="297" t="n"/>
      <c r="CGA65" s="124" t="n"/>
      <c r="CGB65" s="266" t="n"/>
      <c r="CGE65" s="297" t="n"/>
      <c r="CGN65" s="124" t="n"/>
      <c r="CGO65" s="266" t="n"/>
      <c r="CGR65" s="297" t="n"/>
      <c r="CHA65" s="124" t="n"/>
      <c r="CHB65" s="266" t="n"/>
      <c r="CHE65" s="297" t="n"/>
      <c r="CHN65" s="124" t="n"/>
      <c r="CHO65" s="266" t="n"/>
      <c r="CHR65" s="297" t="n"/>
      <c r="CIA65" s="124" t="n"/>
      <c r="CIB65" s="266" t="n"/>
      <c r="CIE65" s="297" t="n"/>
      <c r="CIN65" s="124" t="n"/>
      <c r="CIO65" s="266" t="n"/>
      <c r="CIR65" s="297" t="n"/>
      <c r="CJA65" s="124" t="n"/>
      <c r="CJB65" s="266" t="n"/>
      <c r="CJE65" s="297" t="n"/>
      <c r="CJN65" s="124" t="n"/>
      <c r="CJO65" s="266" t="n"/>
      <c r="CJR65" s="297" t="n"/>
      <c r="CKA65" s="124" t="n"/>
      <c r="CKB65" s="266" t="n"/>
      <c r="CKE65" s="297" t="n"/>
      <c r="CKN65" s="124" t="n"/>
      <c r="CKO65" s="266" t="n"/>
      <c r="CKR65" s="297" t="n"/>
      <c r="CLA65" s="124" t="n"/>
      <c r="CLB65" s="266" t="n"/>
      <c r="CLE65" s="297" t="n"/>
      <c r="CLN65" s="124" t="n"/>
      <c r="CLO65" s="266" t="n"/>
      <c r="CLR65" s="297" t="n"/>
      <c r="CMA65" s="124" t="n"/>
      <c r="CMB65" s="266" t="n"/>
      <c r="CME65" s="297" t="n"/>
      <c r="CMN65" s="124" t="n"/>
      <c r="CMO65" s="266" t="n"/>
      <c r="CMR65" s="297" t="n"/>
      <c r="CNA65" s="124" t="n"/>
      <c r="CNB65" s="266" t="n"/>
      <c r="CNE65" s="297" t="n"/>
      <c r="CNN65" s="124" t="n"/>
      <c r="CNO65" s="266" t="n"/>
      <c r="CNR65" s="297" t="n"/>
      <c r="COA65" s="124" t="n"/>
      <c r="COB65" s="266" t="n"/>
      <c r="COE65" s="297" t="n"/>
      <c r="CON65" s="124" t="n"/>
      <c r="COO65" s="266" t="n"/>
      <c r="COR65" s="297" t="n"/>
      <c r="CPA65" s="124" t="n"/>
      <c r="CPB65" s="266" t="n"/>
      <c r="CPE65" s="297" t="n"/>
      <c r="CPN65" s="124" t="n"/>
      <c r="CPO65" s="266" t="n"/>
      <c r="CPR65" s="297" t="n"/>
      <c r="CQA65" s="124" t="n"/>
      <c r="CQB65" s="266" t="n"/>
      <c r="CQE65" s="297" t="n"/>
      <c r="CQN65" s="124" t="n"/>
      <c r="CQO65" s="266" t="n"/>
      <c r="CQR65" s="297" t="n"/>
      <c r="CRA65" s="124" t="n"/>
      <c r="CRB65" s="266" t="n"/>
      <c r="CRE65" s="297" t="n"/>
      <c r="CRN65" s="124" t="n"/>
      <c r="CRO65" s="266" t="n"/>
      <c r="CRR65" s="297" t="n"/>
      <c r="CSA65" s="124" t="n"/>
      <c r="CSB65" s="266" t="n"/>
      <c r="CSE65" s="297" t="n"/>
      <c r="CSN65" s="124" t="n"/>
      <c r="CSO65" s="266" t="n"/>
      <c r="CSR65" s="297" t="n"/>
      <c r="CTA65" s="124" t="n"/>
      <c r="CTB65" s="266" t="n"/>
      <c r="CTE65" s="297" t="n"/>
      <c r="CTN65" s="124" t="n"/>
      <c r="CTO65" s="266" t="n"/>
      <c r="CTR65" s="297" t="n"/>
      <c r="CUA65" s="124" t="n"/>
      <c r="CUB65" s="266" t="n"/>
      <c r="CUE65" s="297" t="n"/>
      <c r="CUN65" s="124" t="n"/>
      <c r="CUO65" s="266" t="n"/>
      <c r="CUR65" s="297" t="n"/>
      <c r="CVA65" s="124" t="n"/>
      <c r="CVB65" s="266" t="n"/>
      <c r="CVE65" s="297" t="n"/>
      <c r="CVN65" s="124" t="n"/>
      <c r="CVO65" s="266" t="n"/>
      <c r="CVR65" s="297" t="n"/>
      <c r="CWA65" s="124" t="n"/>
      <c r="CWB65" s="266" t="n"/>
      <c r="CWE65" s="297" t="n"/>
      <c r="CWN65" s="124" t="n"/>
      <c r="CWO65" s="266" t="n"/>
      <c r="CWR65" s="297" t="n"/>
      <c r="CXA65" s="124" t="n"/>
      <c r="CXB65" s="266" t="n"/>
      <c r="CXE65" s="297" t="n"/>
      <c r="CXN65" s="124" t="n"/>
      <c r="CXO65" s="266" t="n"/>
      <c r="CXR65" s="297" t="n"/>
      <c r="CYA65" s="124" t="n"/>
      <c r="CYB65" s="266" t="n"/>
      <c r="CYE65" s="297" t="n"/>
      <c r="CYN65" s="124" t="n"/>
      <c r="CYO65" s="266" t="n"/>
      <c r="CYR65" s="297" t="n"/>
      <c r="CZA65" s="124" t="n"/>
      <c r="CZB65" s="266" t="n"/>
      <c r="CZE65" s="297" t="n"/>
      <c r="CZN65" s="124" t="n"/>
      <c r="CZO65" s="266" t="n"/>
      <c r="CZR65" s="297" t="n"/>
      <c r="DAA65" s="124" t="n"/>
      <c r="DAB65" s="266" t="n"/>
      <c r="DAE65" s="297" t="n"/>
      <c r="DAN65" s="124" t="n"/>
      <c r="DAO65" s="266" t="n"/>
      <c r="DAR65" s="297" t="n"/>
      <c r="DBA65" s="124" t="n"/>
      <c r="DBB65" s="266" t="n"/>
      <c r="DBE65" s="297" t="n"/>
      <c r="DBN65" s="124" t="n"/>
      <c r="DBO65" s="266" t="n"/>
      <c r="DBR65" s="297" t="n"/>
      <c r="DCA65" s="124" t="n"/>
      <c r="DCB65" s="266" t="n"/>
      <c r="DCE65" s="297" t="n"/>
      <c r="DCN65" s="124" t="n"/>
      <c r="DCO65" s="266" t="n"/>
      <c r="DCR65" s="297" t="n"/>
      <c r="DDA65" s="124" t="n"/>
      <c r="DDB65" s="266" t="n"/>
      <c r="DDE65" s="297" t="n"/>
      <c r="DDN65" s="124" t="n"/>
      <c r="DDO65" s="266" t="n"/>
      <c r="DDR65" s="297" t="n"/>
      <c r="DEA65" s="124" t="n"/>
      <c r="DEB65" s="266" t="n"/>
      <c r="DEE65" s="297" t="n"/>
      <c r="DEN65" s="124" t="n"/>
      <c r="DEO65" s="266" t="n"/>
      <c r="DER65" s="297" t="n"/>
      <c r="DFA65" s="124" t="n"/>
      <c r="DFB65" s="266" t="n"/>
      <c r="DFE65" s="297" t="n"/>
      <c r="DFN65" s="124" t="n"/>
      <c r="DFO65" s="266" t="n"/>
      <c r="DFR65" s="297" t="n"/>
      <c r="DGA65" s="124" t="n"/>
      <c r="DGB65" s="266" t="n"/>
      <c r="DGE65" s="297" t="n"/>
      <c r="DGN65" s="124" t="n"/>
      <c r="DGO65" s="266" t="n"/>
      <c r="DGR65" s="297" t="n"/>
      <c r="DHA65" s="124" t="n"/>
      <c r="DHB65" s="266" t="n"/>
      <c r="DHE65" s="297" t="n"/>
      <c r="DHN65" s="124" t="n"/>
      <c r="DHO65" s="266" t="n"/>
      <c r="DHR65" s="297" t="n"/>
      <c r="DIA65" s="124" t="n"/>
      <c r="DIB65" s="266" t="n"/>
      <c r="DIE65" s="297" t="n"/>
      <c r="DIN65" s="124" t="n"/>
      <c r="DIO65" s="266" t="n"/>
      <c r="DIR65" s="297" t="n"/>
      <c r="DJA65" s="124" t="n"/>
      <c r="DJB65" s="266" t="n"/>
      <c r="DJE65" s="297" t="n"/>
      <c r="DJN65" s="124" t="n"/>
      <c r="DJO65" s="266" t="n"/>
      <c r="DJR65" s="297" t="n"/>
      <c r="DKA65" s="124" t="n"/>
      <c r="DKB65" s="266" t="n"/>
      <c r="DKE65" s="297" t="n"/>
      <c r="DKN65" s="124" t="n"/>
      <c r="DKO65" s="266" t="n"/>
      <c r="DKR65" s="297" t="n"/>
      <c r="DLA65" s="124" t="n"/>
      <c r="DLB65" s="266" t="n"/>
      <c r="DLE65" s="297" t="n"/>
      <c r="DLN65" s="124" t="n"/>
      <c r="DLO65" s="266" t="n"/>
      <c r="DLR65" s="297" t="n"/>
      <c r="DMA65" s="124" t="n"/>
      <c r="DMB65" s="266" t="n"/>
      <c r="DME65" s="297" t="n"/>
      <c r="DMN65" s="124" t="n"/>
      <c r="DMO65" s="266" t="n"/>
      <c r="DMR65" s="297" t="n"/>
      <c r="DNA65" s="124" t="n"/>
      <c r="DNB65" s="266" t="n"/>
      <c r="DNE65" s="297" t="n"/>
      <c r="DNN65" s="124" t="n"/>
      <c r="DNO65" s="266" t="n"/>
      <c r="DNR65" s="297" t="n"/>
      <c r="DOA65" s="124" t="n"/>
      <c r="DOB65" s="266" t="n"/>
      <c r="DOE65" s="297" t="n"/>
      <c r="DON65" s="124" t="n"/>
      <c r="DOO65" s="266" t="n"/>
      <c r="DOR65" s="297" t="n"/>
      <c r="DPA65" s="124" t="n"/>
      <c r="DPB65" s="266" t="n"/>
      <c r="DPE65" s="297" t="n"/>
      <c r="DPN65" s="124" t="n"/>
      <c r="DPO65" s="266" t="n"/>
      <c r="DPR65" s="297" t="n"/>
      <c r="DQA65" s="124" t="n"/>
      <c r="DQB65" s="266" t="n"/>
      <c r="DQE65" s="297" t="n"/>
      <c r="DQN65" s="124" t="n"/>
      <c r="DQO65" s="266" t="n"/>
      <c r="DQR65" s="297" t="n"/>
      <c r="DRA65" s="124" t="n"/>
      <c r="DRB65" s="266" t="n"/>
      <c r="DRE65" s="297" t="n"/>
      <c r="DRN65" s="124" t="n"/>
      <c r="DRO65" s="266" t="n"/>
      <c r="DRR65" s="297" t="n"/>
      <c r="DSA65" s="124" t="n"/>
      <c r="DSB65" s="266" t="n"/>
      <c r="DSE65" s="297" t="n"/>
      <c r="DSN65" s="124" t="n"/>
      <c r="DSO65" s="266" t="n"/>
      <c r="DSR65" s="297" t="n"/>
      <c r="DTA65" s="124" t="n"/>
      <c r="DTB65" s="266" t="n"/>
      <c r="DTE65" s="297" t="n"/>
      <c r="DTN65" s="124" t="n"/>
      <c r="DTO65" s="266" t="n"/>
      <c r="DTR65" s="297" t="n"/>
      <c r="DUA65" s="124" t="n"/>
      <c r="DUB65" s="266" t="n"/>
      <c r="DUE65" s="297" t="n"/>
      <c r="DUN65" s="124" t="n"/>
      <c r="DUO65" s="266" t="n"/>
      <c r="DUR65" s="297" t="n"/>
      <c r="DVA65" s="124" t="n"/>
      <c r="DVB65" s="266" t="n"/>
      <c r="DVE65" s="297" t="n"/>
      <c r="DVN65" s="124" t="n"/>
      <c r="DVO65" s="266" t="n"/>
      <c r="DVR65" s="297" t="n"/>
      <c r="DWA65" s="124" t="n"/>
      <c r="DWB65" s="266" t="n"/>
      <c r="DWE65" s="297" t="n"/>
      <c r="DWN65" s="124" t="n"/>
      <c r="DWO65" s="266" t="n"/>
      <c r="DWR65" s="297" t="n"/>
      <c r="DXA65" s="124" t="n"/>
      <c r="DXB65" s="266" t="n"/>
      <c r="DXE65" s="297" t="n"/>
      <c r="DXN65" s="124" t="n"/>
      <c r="DXO65" s="266" t="n"/>
      <c r="DXR65" s="297" t="n"/>
      <c r="DYA65" s="124" t="n"/>
      <c r="DYB65" s="266" t="n"/>
      <c r="DYE65" s="297" t="n"/>
      <c r="DYN65" s="124" t="n"/>
      <c r="DYO65" s="266" t="n"/>
      <c r="DYR65" s="297" t="n"/>
      <c r="DZA65" s="124" t="n"/>
      <c r="DZB65" s="266" t="n"/>
      <c r="DZE65" s="297" t="n"/>
      <c r="DZN65" s="124" t="n"/>
      <c r="DZO65" s="266" t="n"/>
      <c r="DZR65" s="297" t="n"/>
      <c r="EAA65" s="124" t="n"/>
      <c r="EAB65" s="266" t="n"/>
      <c r="EAE65" s="297" t="n"/>
      <c r="EAN65" s="124" t="n"/>
      <c r="EAO65" s="266" t="n"/>
      <c r="EAR65" s="297" t="n"/>
      <c r="EBA65" s="124" t="n"/>
      <c r="EBB65" s="266" t="n"/>
      <c r="EBE65" s="297" t="n"/>
      <c r="EBN65" s="124" t="n"/>
      <c r="EBO65" s="266" t="n"/>
      <c r="EBR65" s="297" t="n"/>
      <c r="ECA65" s="124" t="n"/>
      <c r="ECB65" s="266" t="n"/>
      <c r="ECE65" s="297" t="n"/>
      <c r="ECN65" s="124" t="n"/>
      <c r="ECO65" s="266" t="n"/>
      <c r="ECR65" s="297" t="n"/>
      <c r="EDA65" s="124" t="n"/>
      <c r="EDB65" s="266" t="n"/>
      <c r="EDE65" s="297" t="n"/>
      <c r="EDN65" s="124" t="n"/>
      <c r="EDO65" s="266" t="n"/>
      <c r="EDR65" s="297" t="n"/>
      <c r="EEA65" s="124" t="n"/>
      <c r="EEB65" s="266" t="n"/>
      <c r="EEE65" s="297" t="n"/>
      <c r="EEN65" s="124" t="n"/>
      <c r="EEO65" s="266" t="n"/>
      <c r="EER65" s="297" t="n"/>
      <c r="EFA65" s="124" t="n"/>
      <c r="EFB65" s="266" t="n"/>
      <c r="EFE65" s="297" t="n"/>
      <c r="EFN65" s="124" t="n"/>
      <c r="EFO65" s="266" t="n"/>
      <c r="EFR65" s="297" t="n"/>
      <c r="EGA65" s="124" t="n"/>
      <c r="EGB65" s="266" t="n"/>
      <c r="EGE65" s="297" t="n"/>
      <c r="EGN65" s="124" t="n"/>
      <c r="EGO65" s="266" t="n"/>
      <c r="EGR65" s="297" t="n"/>
      <c r="EHA65" s="124" t="n"/>
      <c r="EHB65" s="266" t="n"/>
      <c r="EHE65" s="297" t="n"/>
      <c r="EHN65" s="124" t="n"/>
      <c r="EHO65" s="266" t="n"/>
      <c r="EHR65" s="297" t="n"/>
      <c r="EIA65" s="124" t="n"/>
      <c r="EIB65" s="266" t="n"/>
      <c r="EIE65" s="297" t="n"/>
      <c r="EIN65" s="124" t="n"/>
      <c r="EIO65" s="266" t="n"/>
      <c r="EIR65" s="297" t="n"/>
      <c r="EJA65" s="124" t="n"/>
      <c r="EJB65" s="266" t="n"/>
      <c r="EJE65" s="297" t="n"/>
      <c r="EJN65" s="124" t="n"/>
      <c r="EJO65" s="266" t="n"/>
      <c r="EJR65" s="297" t="n"/>
      <c r="EKA65" s="124" t="n"/>
      <c r="EKB65" s="266" t="n"/>
      <c r="EKE65" s="297" t="n"/>
      <c r="EKN65" s="124" t="n"/>
      <c r="EKO65" s="266" t="n"/>
      <c r="EKR65" s="297" t="n"/>
      <c r="ELA65" s="124" t="n"/>
      <c r="ELB65" s="266" t="n"/>
      <c r="ELE65" s="297" t="n"/>
      <c r="ELN65" s="124" t="n"/>
      <c r="ELO65" s="266" t="n"/>
      <c r="ELR65" s="297" t="n"/>
      <c r="EMA65" s="124" t="n"/>
      <c r="EMB65" s="266" t="n"/>
      <c r="EME65" s="297" t="n"/>
      <c r="EMN65" s="124" t="n"/>
      <c r="EMO65" s="266" t="n"/>
      <c r="EMR65" s="297" t="n"/>
      <c r="ENA65" s="124" t="n"/>
      <c r="ENB65" s="266" t="n"/>
      <c r="ENE65" s="297" t="n"/>
      <c r="ENN65" s="124" t="n"/>
      <c r="ENO65" s="266" t="n"/>
      <c r="ENR65" s="297" t="n"/>
      <c r="EOA65" s="124" t="n"/>
      <c r="EOB65" s="266" t="n"/>
      <c r="EOE65" s="297" t="n"/>
      <c r="EON65" s="124" t="n"/>
      <c r="EOO65" s="266" t="n"/>
      <c r="EOR65" s="297" t="n"/>
      <c r="EPA65" s="124" t="n"/>
      <c r="EPB65" s="266" t="n"/>
      <c r="EPE65" s="297" t="n"/>
      <c r="EPN65" s="124" t="n"/>
      <c r="EPO65" s="266" t="n"/>
      <c r="EPR65" s="297" t="n"/>
      <c r="EQA65" s="124" t="n"/>
      <c r="EQB65" s="266" t="n"/>
      <c r="EQE65" s="297" t="n"/>
      <c r="EQN65" s="124" t="n"/>
      <c r="EQO65" s="266" t="n"/>
      <c r="EQR65" s="297" t="n"/>
      <c r="ERA65" s="124" t="n"/>
      <c r="ERB65" s="266" t="n"/>
      <c r="ERE65" s="297" t="n"/>
      <c r="ERN65" s="124" t="n"/>
      <c r="ERO65" s="266" t="n"/>
      <c r="ERR65" s="297" t="n"/>
      <c r="ESA65" s="124" t="n"/>
      <c r="ESB65" s="266" t="n"/>
      <c r="ESE65" s="297" t="n"/>
      <c r="ESN65" s="124" t="n"/>
      <c r="ESO65" s="266" t="n"/>
      <c r="ESR65" s="297" t="n"/>
      <c r="ETA65" s="124" t="n"/>
      <c r="ETB65" s="266" t="n"/>
      <c r="ETE65" s="297" t="n"/>
      <c r="ETN65" s="124" t="n"/>
      <c r="ETO65" s="266" t="n"/>
      <c r="ETR65" s="297" t="n"/>
      <c r="EUA65" s="124" t="n"/>
      <c r="EUB65" s="266" t="n"/>
      <c r="EUE65" s="297" t="n"/>
      <c r="EUN65" s="124" t="n"/>
      <c r="EUO65" s="266" t="n"/>
      <c r="EUR65" s="297" t="n"/>
      <c r="EVA65" s="124" t="n"/>
      <c r="EVB65" s="266" t="n"/>
      <c r="EVE65" s="297" t="n"/>
      <c r="EVN65" s="124" t="n"/>
      <c r="EVO65" s="266" t="n"/>
      <c r="EVR65" s="297" t="n"/>
      <c r="EWA65" s="124" t="n"/>
      <c r="EWB65" s="266" t="n"/>
      <c r="EWE65" s="297" t="n"/>
      <c r="EWN65" s="124" t="n"/>
      <c r="EWO65" s="266" t="n"/>
      <c r="EWR65" s="297" t="n"/>
      <c r="EXA65" s="124" t="n"/>
      <c r="EXB65" s="266" t="n"/>
      <c r="EXE65" s="297" t="n"/>
      <c r="EXN65" s="124" t="n"/>
      <c r="EXO65" s="266" t="n"/>
      <c r="EXR65" s="297" t="n"/>
      <c r="EYA65" s="124" t="n"/>
      <c r="EYB65" s="266" t="n"/>
      <c r="EYE65" s="297" t="n"/>
      <c r="EYN65" s="124" t="n"/>
      <c r="EYO65" s="266" t="n"/>
      <c r="EYR65" s="297" t="n"/>
      <c r="EZA65" s="124" t="n"/>
      <c r="EZB65" s="266" t="n"/>
      <c r="EZE65" s="297" t="n"/>
      <c r="EZN65" s="124" t="n"/>
      <c r="EZO65" s="266" t="n"/>
      <c r="EZR65" s="297" t="n"/>
      <c r="FAA65" s="124" t="n"/>
      <c r="FAB65" s="266" t="n"/>
      <c r="FAE65" s="297" t="n"/>
      <c r="FAN65" s="124" t="n"/>
      <c r="FAO65" s="266" t="n"/>
      <c r="FAR65" s="297" t="n"/>
      <c r="FBA65" s="124" t="n"/>
      <c r="FBB65" s="266" t="n"/>
      <c r="FBE65" s="297" t="n"/>
      <c r="FBN65" s="124" t="n"/>
      <c r="FBO65" s="266" t="n"/>
      <c r="FBR65" s="297" t="n"/>
      <c r="FCA65" s="124" t="n"/>
      <c r="FCB65" s="266" t="n"/>
      <c r="FCE65" s="297" t="n"/>
      <c r="FCN65" s="124" t="n"/>
      <c r="FCO65" s="266" t="n"/>
      <c r="FCR65" s="297" t="n"/>
      <c r="FDA65" s="124" t="n"/>
      <c r="FDB65" s="266" t="n"/>
      <c r="FDE65" s="297" t="n"/>
      <c r="FDN65" s="124" t="n"/>
      <c r="FDO65" s="266" t="n"/>
      <c r="FDR65" s="297" t="n"/>
      <c r="FEA65" s="124" t="n"/>
      <c r="FEB65" s="266" t="n"/>
      <c r="FEE65" s="297" t="n"/>
      <c r="FEN65" s="124" t="n"/>
      <c r="FEO65" s="266" t="n"/>
      <c r="FER65" s="297" t="n"/>
      <c r="FFA65" s="124" t="n"/>
      <c r="FFB65" s="266" t="n"/>
      <c r="FFE65" s="297" t="n"/>
      <c r="FFN65" s="124" t="n"/>
      <c r="FFO65" s="266" t="n"/>
      <c r="FFR65" s="297" t="n"/>
      <c r="FGA65" s="124" t="n"/>
      <c r="FGB65" s="266" t="n"/>
      <c r="FGE65" s="297" t="n"/>
      <c r="FGN65" s="124" t="n"/>
      <c r="FGO65" s="266" t="n"/>
      <c r="FGR65" s="297" t="n"/>
      <c r="FHA65" s="124" t="n"/>
      <c r="FHB65" s="266" t="n"/>
      <c r="FHE65" s="297" t="n"/>
      <c r="FHN65" s="124" t="n"/>
      <c r="FHO65" s="266" t="n"/>
      <c r="FHR65" s="297" t="n"/>
      <c r="FIA65" s="124" t="n"/>
      <c r="FIB65" s="266" t="n"/>
      <c r="FIE65" s="297" t="n"/>
      <c r="FIN65" s="124" t="n"/>
      <c r="FIO65" s="266" t="n"/>
      <c r="FIR65" s="297" t="n"/>
      <c r="FJA65" s="124" t="n"/>
      <c r="FJB65" s="266" t="n"/>
      <c r="FJE65" s="297" t="n"/>
      <c r="FJN65" s="124" t="n"/>
      <c r="FJO65" s="266" t="n"/>
      <c r="FJR65" s="297" t="n"/>
      <c r="FKA65" s="124" t="n"/>
      <c r="FKB65" s="266" t="n"/>
      <c r="FKE65" s="297" t="n"/>
      <c r="FKN65" s="124" t="n"/>
      <c r="FKO65" s="266" t="n"/>
      <c r="FKR65" s="297" t="n"/>
      <c r="FLA65" s="124" t="n"/>
      <c r="FLB65" s="266" t="n"/>
      <c r="FLE65" s="297" t="n"/>
      <c r="FLN65" s="124" t="n"/>
      <c r="FLO65" s="266" t="n"/>
      <c r="FLR65" s="297" t="n"/>
      <c r="FMA65" s="124" t="n"/>
      <c r="FMB65" s="266" t="n"/>
      <c r="FME65" s="297" t="n"/>
      <c r="FMN65" s="124" t="n"/>
      <c r="FMO65" s="266" t="n"/>
      <c r="FMR65" s="297" t="n"/>
      <c r="FNA65" s="124" t="n"/>
      <c r="FNB65" s="266" t="n"/>
      <c r="FNE65" s="297" t="n"/>
      <c r="FNN65" s="124" t="n"/>
      <c r="FNO65" s="266" t="n"/>
      <c r="FNR65" s="297" t="n"/>
      <c r="FOA65" s="124" t="n"/>
      <c r="FOB65" s="266" t="n"/>
      <c r="FOE65" s="297" t="n"/>
      <c r="FON65" s="124" t="n"/>
      <c r="FOO65" s="266" t="n"/>
      <c r="FOR65" s="297" t="n"/>
      <c r="FPA65" s="124" t="n"/>
      <c r="FPB65" s="266" t="n"/>
      <c r="FPE65" s="297" t="n"/>
      <c r="FPN65" s="124" t="n"/>
      <c r="FPO65" s="266" t="n"/>
      <c r="FPR65" s="297" t="n"/>
      <c r="FQA65" s="124" t="n"/>
      <c r="FQB65" s="266" t="n"/>
      <c r="FQE65" s="297" t="n"/>
      <c r="FQN65" s="124" t="n"/>
      <c r="FQO65" s="266" t="n"/>
      <c r="FQR65" s="297" t="n"/>
      <c r="FRA65" s="124" t="n"/>
      <c r="FRB65" s="266" t="n"/>
      <c r="FRE65" s="297" t="n"/>
      <c r="FRN65" s="124" t="n"/>
      <c r="FRO65" s="266" t="n"/>
      <c r="FRR65" s="297" t="n"/>
      <c r="FSA65" s="124" t="n"/>
      <c r="FSB65" s="266" t="n"/>
      <c r="FSE65" s="297" t="n"/>
      <c r="FSN65" s="124" t="n"/>
      <c r="FSO65" s="266" t="n"/>
      <c r="FSR65" s="297" t="n"/>
      <c r="FTA65" s="124" t="n"/>
      <c r="FTB65" s="266" t="n"/>
      <c r="FTE65" s="297" t="n"/>
      <c r="FTN65" s="124" t="n"/>
      <c r="FTO65" s="266" t="n"/>
      <c r="FTR65" s="297" t="n"/>
      <c r="FUA65" s="124" t="n"/>
      <c r="FUB65" s="266" t="n"/>
      <c r="FUE65" s="297" t="n"/>
      <c r="FUN65" s="124" t="n"/>
      <c r="FUO65" s="266" t="n"/>
      <c r="FUR65" s="297" t="n"/>
      <c r="FVA65" s="124" t="n"/>
      <c r="FVB65" s="266" t="n"/>
      <c r="FVE65" s="297" t="n"/>
      <c r="FVN65" s="124" t="n"/>
      <c r="FVO65" s="266" t="n"/>
      <c r="FVR65" s="297" t="n"/>
      <c r="FWA65" s="124" t="n"/>
      <c r="FWB65" s="266" t="n"/>
      <c r="FWE65" s="297" t="n"/>
      <c r="FWN65" s="124" t="n"/>
      <c r="FWO65" s="266" t="n"/>
      <c r="FWR65" s="297" t="n"/>
      <c r="FXA65" s="124" t="n"/>
      <c r="FXB65" s="266" t="n"/>
      <c r="FXE65" s="297" t="n"/>
      <c r="FXN65" s="124" t="n"/>
      <c r="FXO65" s="266" t="n"/>
      <c r="FXR65" s="297" t="n"/>
      <c r="FYA65" s="124" t="n"/>
      <c r="FYB65" s="266" t="n"/>
      <c r="FYE65" s="297" t="n"/>
      <c r="FYN65" s="124" t="n"/>
      <c r="FYO65" s="266" t="n"/>
      <c r="FYR65" s="297" t="n"/>
      <c r="FZA65" s="124" t="n"/>
      <c r="FZB65" s="266" t="n"/>
      <c r="FZE65" s="297" t="n"/>
      <c r="FZN65" s="124" t="n"/>
      <c r="FZO65" s="266" t="n"/>
      <c r="FZR65" s="297" t="n"/>
      <c r="GAA65" s="124" t="n"/>
      <c r="GAB65" s="266" t="n"/>
      <c r="GAE65" s="297" t="n"/>
      <c r="GAN65" s="124" t="n"/>
      <c r="GAO65" s="266" t="n"/>
      <c r="GAR65" s="297" t="n"/>
      <c r="GBA65" s="124" t="n"/>
      <c r="GBB65" s="266" t="n"/>
      <c r="GBE65" s="297" t="n"/>
      <c r="GBN65" s="124" t="n"/>
      <c r="GBO65" s="266" t="n"/>
      <c r="GBR65" s="297" t="n"/>
      <c r="GCA65" s="124" t="n"/>
      <c r="GCB65" s="266" t="n"/>
      <c r="GCE65" s="297" t="n"/>
      <c r="GCN65" s="124" t="n"/>
      <c r="GCO65" s="266" t="n"/>
      <c r="GCR65" s="297" t="n"/>
      <c r="GDA65" s="124" t="n"/>
      <c r="GDB65" s="266" t="n"/>
      <c r="GDE65" s="297" t="n"/>
      <c r="GDN65" s="124" t="n"/>
      <c r="GDO65" s="266" t="n"/>
      <c r="GDR65" s="297" t="n"/>
      <c r="GEA65" s="124" t="n"/>
      <c r="GEB65" s="266" t="n"/>
      <c r="GEE65" s="297" t="n"/>
      <c r="GEN65" s="124" t="n"/>
      <c r="GEO65" s="266" t="n"/>
      <c r="GER65" s="297" t="n"/>
      <c r="GFA65" s="124" t="n"/>
      <c r="GFB65" s="266" t="n"/>
      <c r="GFE65" s="297" t="n"/>
      <c r="GFN65" s="124" t="n"/>
      <c r="GFO65" s="266" t="n"/>
      <c r="GFR65" s="297" t="n"/>
      <c r="GGA65" s="124" t="n"/>
      <c r="GGB65" s="266" t="n"/>
      <c r="GGE65" s="297" t="n"/>
      <c r="GGN65" s="124" t="n"/>
      <c r="GGO65" s="266" t="n"/>
      <c r="GGR65" s="297" t="n"/>
      <c r="GHA65" s="124" t="n"/>
      <c r="GHB65" s="266" t="n"/>
      <c r="GHE65" s="297" t="n"/>
      <c r="GHN65" s="124" t="n"/>
      <c r="GHO65" s="266" t="n"/>
      <c r="GHR65" s="297" t="n"/>
      <c r="GIA65" s="124" t="n"/>
      <c r="GIB65" s="266" t="n"/>
      <c r="GIE65" s="297" t="n"/>
      <c r="GIN65" s="124" t="n"/>
      <c r="GIO65" s="266" t="n"/>
      <c r="GIR65" s="297" t="n"/>
      <c r="GJA65" s="124" t="n"/>
      <c r="GJB65" s="266" t="n"/>
      <c r="GJE65" s="297" t="n"/>
      <c r="GJN65" s="124" t="n"/>
      <c r="GJO65" s="266" t="n"/>
      <c r="GJR65" s="297" t="n"/>
      <c r="GKA65" s="124" t="n"/>
      <c r="GKB65" s="266" t="n"/>
      <c r="GKE65" s="297" t="n"/>
      <c r="GKN65" s="124" t="n"/>
      <c r="GKO65" s="266" t="n"/>
      <c r="GKR65" s="297" t="n"/>
      <c r="GLA65" s="124" t="n"/>
      <c r="GLB65" s="266" t="n"/>
      <c r="GLE65" s="297" t="n"/>
      <c r="GLN65" s="124" t="n"/>
      <c r="GLO65" s="266" t="n"/>
      <c r="GLR65" s="297" t="n"/>
      <c r="GMA65" s="124" t="n"/>
      <c r="GMB65" s="266" t="n"/>
      <c r="GME65" s="297" t="n"/>
      <c r="GMN65" s="124" t="n"/>
      <c r="GMO65" s="266" t="n"/>
      <c r="GMR65" s="297" t="n"/>
      <c r="GNA65" s="124" t="n"/>
      <c r="GNB65" s="266" t="n"/>
      <c r="GNE65" s="297" t="n"/>
      <c r="GNN65" s="124" t="n"/>
      <c r="GNO65" s="266" t="n"/>
      <c r="GNR65" s="297" t="n"/>
      <c r="GOA65" s="124" t="n"/>
      <c r="GOB65" s="266" t="n"/>
      <c r="GOE65" s="297" t="n"/>
      <c r="GON65" s="124" t="n"/>
      <c r="GOO65" s="266" t="n"/>
      <c r="GOR65" s="297" t="n"/>
      <c r="GPA65" s="124" t="n"/>
      <c r="GPB65" s="266" t="n"/>
      <c r="GPE65" s="297" t="n"/>
      <c r="GPN65" s="124" t="n"/>
      <c r="GPO65" s="266" t="n"/>
      <c r="GPR65" s="297" t="n"/>
      <c r="GQA65" s="124" t="n"/>
      <c r="GQB65" s="266" t="n"/>
      <c r="GQE65" s="297" t="n"/>
      <c r="GQN65" s="124" t="n"/>
      <c r="GQO65" s="266" t="n"/>
      <c r="GQR65" s="297" t="n"/>
      <c r="GRA65" s="124" t="n"/>
      <c r="GRB65" s="266" t="n"/>
      <c r="GRE65" s="297" t="n"/>
      <c r="GRN65" s="124" t="n"/>
      <c r="GRO65" s="266" t="n"/>
      <c r="GRR65" s="297" t="n"/>
      <c r="GSA65" s="124" t="n"/>
      <c r="GSB65" s="266" t="n"/>
      <c r="GSE65" s="297" t="n"/>
      <c r="GSN65" s="124" t="n"/>
      <c r="GSO65" s="266" t="n"/>
      <c r="GSR65" s="297" t="n"/>
      <c r="GTA65" s="124" t="n"/>
      <c r="GTB65" s="266" t="n"/>
      <c r="GTE65" s="297" t="n"/>
      <c r="GTN65" s="124" t="n"/>
      <c r="GTO65" s="266" t="n"/>
      <c r="GTR65" s="297" t="n"/>
      <c r="GUA65" s="124" t="n"/>
      <c r="GUB65" s="266" t="n"/>
      <c r="GUE65" s="297" t="n"/>
      <c r="GUN65" s="124" t="n"/>
      <c r="GUO65" s="266" t="n"/>
      <c r="GUR65" s="297" t="n"/>
      <c r="GVA65" s="124" t="n"/>
      <c r="GVB65" s="266" t="n"/>
      <c r="GVE65" s="297" t="n"/>
      <c r="GVN65" s="124" t="n"/>
      <c r="GVO65" s="266" t="n"/>
      <c r="GVR65" s="297" t="n"/>
      <c r="GWA65" s="124" t="n"/>
      <c r="GWB65" s="266" t="n"/>
      <c r="GWE65" s="297" t="n"/>
      <c r="GWN65" s="124" t="n"/>
      <c r="GWO65" s="266" t="n"/>
      <c r="GWR65" s="297" t="n"/>
      <c r="GXA65" s="124" t="n"/>
      <c r="GXB65" s="266" t="n"/>
      <c r="GXE65" s="297" t="n"/>
      <c r="GXN65" s="124" t="n"/>
      <c r="GXO65" s="266" t="n"/>
      <c r="GXR65" s="297" t="n"/>
      <c r="GYA65" s="124" t="n"/>
      <c r="GYB65" s="266" t="n"/>
      <c r="GYE65" s="297" t="n"/>
      <c r="GYN65" s="124" t="n"/>
      <c r="GYO65" s="266" t="n"/>
      <c r="GYR65" s="297" t="n"/>
      <c r="GZA65" s="124" t="n"/>
      <c r="GZB65" s="266" t="n"/>
      <c r="GZE65" s="297" t="n"/>
      <c r="GZN65" s="124" t="n"/>
      <c r="GZO65" s="266" t="n"/>
      <c r="GZR65" s="297" t="n"/>
      <c r="HAA65" s="124" t="n"/>
      <c r="HAB65" s="266" t="n"/>
      <c r="HAE65" s="297" t="n"/>
      <c r="HAN65" s="124" t="n"/>
      <c r="HAO65" s="266" t="n"/>
      <c r="HAR65" s="297" t="n"/>
      <c r="HBA65" s="124" t="n"/>
      <c r="HBB65" s="266" t="n"/>
      <c r="HBE65" s="297" t="n"/>
      <c r="HBN65" s="124" t="n"/>
      <c r="HBO65" s="266" t="n"/>
      <c r="HBR65" s="297" t="n"/>
      <c r="HCA65" s="124" t="n"/>
      <c r="HCB65" s="266" t="n"/>
      <c r="HCE65" s="297" t="n"/>
      <c r="HCN65" s="124" t="n"/>
      <c r="HCO65" s="266" t="n"/>
      <c r="HCR65" s="297" t="n"/>
      <c r="HDA65" s="124" t="n"/>
      <c r="HDB65" s="266" t="n"/>
      <c r="HDE65" s="297" t="n"/>
      <c r="HDN65" s="124" t="n"/>
      <c r="HDO65" s="266" t="n"/>
      <c r="HDR65" s="297" t="n"/>
      <c r="HEA65" s="124" t="n"/>
      <c r="HEB65" s="266" t="n"/>
      <c r="HEE65" s="297" t="n"/>
      <c r="HEN65" s="124" t="n"/>
      <c r="HEO65" s="266" t="n"/>
      <c r="HER65" s="297" t="n"/>
      <c r="HFA65" s="124" t="n"/>
      <c r="HFB65" s="266" t="n"/>
      <c r="HFE65" s="297" t="n"/>
      <c r="HFN65" s="124" t="n"/>
      <c r="HFO65" s="266" t="n"/>
      <c r="HFR65" s="297" t="n"/>
      <c r="HGA65" s="124" t="n"/>
      <c r="HGB65" s="266" t="n"/>
      <c r="HGE65" s="297" t="n"/>
      <c r="HGN65" s="124" t="n"/>
      <c r="HGO65" s="266" t="n"/>
      <c r="HGR65" s="297" t="n"/>
      <c r="HHA65" s="124" t="n"/>
      <c r="HHB65" s="266" t="n"/>
      <c r="HHE65" s="297" t="n"/>
      <c r="HHN65" s="124" t="n"/>
      <c r="HHO65" s="266" t="n"/>
      <c r="HHR65" s="297" t="n"/>
      <c r="HIA65" s="124" t="n"/>
      <c r="HIB65" s="266" t="n"/>
      <c r="HIE65" s="297" t="n"/>
      <c r="HIN65" s="124" t="n"/>
      <c r="HIO65" s="266" t="n"/>
      <c r="HIR65" s="297" t="n"/>
      <c r="HJA65" s="124" t="n"/>
      <c r="HJB65" s="266" t="n"/>
      <c r="HJE65" s="297" t="n"/>
      <c r="HJN65" s="124" t="n"/>
      <c r="HJO65" s="266" t="n"/>
      <c r="HJR65" s="297" t="n"/>
      <c r="HKA65" s="124" t="n"/>
      <c r="HKB65" s="266" t="n"/>
      <c r="HKE65" s="297" t="n"/>
      <c r="HKN65" s="124" t="n"/>
      <c r="HKO65" s="266" t="n"/>
      <c r="HKR65" s="297" t="n"/>
      <c r="HLA65" s="124" t="n"/>
      <c r="HLB65" s="266" t="n"/>
      <c r="HLE65" s="297" t="n"/>
      <c r="HLN65" s="124" t="n"/>
      <c r="HLO65" s="266" t="n"/>
      <c r="HLR65" s="297" t="n"/>
      <c r="HMA65" s="124" t="n"/>
      <c r="HMB65" s="266" t="n"/>
      <c r="HME65" s="297" t="n"/>
      <c r="HMN65" s="124" t="n"/>
      <c r="HMO65" s="266" t="n"/>
      <c r="HMR65" s="297" t="n"/>
      <c r="HNA65" s="124" t="n"/>
      <c r="HNB65" s="266" t="n"/>
      <c r="HNE65" s="297" t="n"/>
      <c r="HNN65" s="124" t="n"/>
      <c r="HNO65" s="266" t="n"/>
      <c r="HNR65" s="297" t="n"/>
      <c r="HOA65" s="124" t="n"/>
      <c r="HOB65" s="266" t="n"/>
      <c r="HOE65" s="297" t="n"/>
      <c r="HON65" s="124" t="n"/>
      <c r="HOO65" s="266" t="n"/>
      <c r="HOR65" s="297" t="n"/>
      <c r="HPA65" s="124" t="n"/>
      <c r="HPB65" s="266" t="n"/>
      <c r="HPE65" s="297" t="n"/>
      <c r="HPN65" s="124" t="n"/>
      <c r="HPO65" s="266" t="n"/>
      <c r="HPR65" s="297" t="n"/>
      <c r="HQA65" s="124" t="n"/>
      <c r="HQB65" s="266" t="n"/>
      <c r="HQE65" s="297" t="n"/>
      <c r="HQN65" s="124" t="n"/>
      <c r="HQO65" s="266" t="n"/>
      <c r="HQR65" s="297" t="n"/>
      <c r="HRA65" s="124" t="n"/>
      <c r="HRB65" s="266" t="n"/>
      <c r="HRE65" s="297" t="n"/>
      <c r="HRN65" s="124" t="n"/>
      <c r="HRO65" s="266" t="n"/>
      <c r="HRR65" s="297" t="n"/>
      <c r="HSA65" s="124" t="n"/>
      <c r="HSB65" s="266" t="n"/>
      <c r="HSE65" s="297" t="n"/>
      <c r="HSN65" s="124" t="n"/>
      <c r="HSO65" s="266" t="n"/>
      <c r="HSR65" s="297" t="n"/>
      <c r="HTA65" s="124" t="n"/>
      <c r="HTB65" s="266" t="n"/>
      <c r="HTE65" s="297" t="n"/>
      <c r="HTN65" s="124" t="n"/>
      <c r="HTO65" s="266" t="n"/>
      <c r="HTR65" s="297" t="n"/>
      <c r="HUA65" s="124" t="n"/>
      <c r="HUB65" s="266" t="n"/>
      <c r="HUE65" s="297" t="n"/>
      <c r="HUN65" s="124" t="n"/>
      <c r="HUO65" s="266" t="n"/>
      <c r="HUR65" s="297" t="n"/>
      <c r="HVA65" s="124" t="n"/>
      <c r="HVB65" s="266" t="n"/>
      <c r="HVE65" s="297" t="n"/>
      <c r="HVN65" s="124" t="n"/>
      <c r="HVO65" s="266" t="n"/>
      <c r="HVR65" s="297" t="n"/>
      <c r="HWA65" s="124" t="n"/>
      <c r="HWB65" s="266" t="n"/>
      <c r="HWE65" s="297" t="n"/>
      <c r="HWN65" s="124" t="n"/>
      <c r="HWO65" s="266" t="n"/>
      <c r="HWR65" s="297" t="n"/>
      <c r="HXA65" s="124" t="n"/>
      <c r="HXB65" s="266" t="n"/>
      <c r="HXE65" s="297" t="n"/>
      <c r="HXN65" s="124" t="n"/>
      <c r="HXO65" s="266" t="n"/>
      <c r="HXR65" s="297" t="n"/>
      <c r="HYA65" s="124" t="n"/>
      <c r="HYB65" s="266" t="n"/>
      <c r="HYE65" s="297" t="n"/>
      <c r="HYN65" s="124" t="n"/>
      <c r="HYO65" s="266" t="n"/>
      <c r="HYR65" s="297" t="n"/>
      <c r="HZA65" s="124" t="n"/>
      <c r="HZB65" s="266" t="n"/>
      <c r="HZE65" s="297" t="n"/>
      <c r="HZN65" s="124" t="n"/>
      <c r="HZO65" s="266" t="n"/>
      <c r="HZR65" s="297" t="n"/>
      <c r="IAA65" s="124" t="n"/>
      <c r="IAB65" s="266" t="n"/>
      <c r="IAE65" s="297" t="n"/>
      <c r="IAN65" s="124" t="n"/>
      <c r="IAO65" s="266" t="n"/>
      <c r="IAR65" s="297" t="n"/>
      <c r="IBA65" s="124" t="n"/>
      <c r="IBB65" s="266" t="n"/>
      <c r="IBE65" s="297" t="n"/>
      <c r="IBN65" s="124" t="n"/>
      <c r="IBO65" s="266" t="n"/>
      <c r="IBR65" s="297" t="n"/>
      <c r="ICA65" s="124" t="n"/>
      <c r="ICB65" s="266" t="n"/>
      <c r="ICE65" s="297" t="n"/>
      <c r="ICN65" s="124" t="n"/>
      <c r="ICO65" s="266" t="n"/>
      <c r="ICR65" s="297" t="n"/>
      <c r="IDA65" s="124" t="n"/>
      <c r="IDB65" s="266" t="n"/>
      <c r="IDE65" s="297" t="n"/>
      <c r="IDN65" s="124" t="n"/>
      <c r="IDO65" s="266" t="n"/>
      <c r="IDR65" s="297" t="n"/>
      <c r="IEA65" s="124" t="n"/>
      <c r="IEB65" s="266" t="n"/>
      <c r="IEE65" s="297" t="n"/>
      <c r="IEN65" s="124" t="n"/>
      <c r="IEO65" s="266" t="n"/>
      <c r="IER65" s="297" t="n"/>
      <c r="IFA65" s="124" t="n"/>
      <c r="IFB65" s="266" t="n"/>
      <c r="IFE65" s="297" t="n"/>
      <c r="IFN65" s="124" t="n"/>
      <c r="IFO65" s="266" t="n"/>
      <c r="IFR65" s="297" t="n"/>
      <c r="IGA65" s="124" t="n"/>
      <c r="IGB65" s="266" t="n"/>
      <c r="IGE65" s="297" t="n"/>
      <c r="IGN65" s="124" t="n"/>
      <c r="IGO65" s="266" t="n"/>
      <c r="IGR65" s="297" t="n"/>
      <c r="IHA65" s="124" t="n"/>
      <c r="IHB65" s="266" t="n"/>
      <c r="IHE65" s="297" t="n"/>
      <c r="IHN65" s="124" t="n"/>
      <c r="IHO65" s="266" t="n"/>
      <c r="IHR65" s="297" t="n"/>
      <c r="IIA65" s="124" t="n"/>
      <c r="IIB65" s="266" t="n"/>
      <c r="IIE65" s="297" t="n"/>
      <c r="IIN65" s="124" t="n"/>
      <c r="IIO65" s="266" t="n"/>
      <c r="IIR65" s="297" t="n"/>
      <c r="IJA65" s="124" t="n"/>
      <c r="IJB65" s="266" t="n"/>
      <c r="IJE65" s="297" t="n"/>
      <c r="IJN65" s="124" t="n"/>
      <c r="IJO65" s="266" t="n"/>
      <c r="IJR65" s="297" t="n"/>
      <c r="IKA65" s="124" t="n"/>
      <c r="IKB65" s="266" t="n"/>
      <c r="IKE65" s="297" t="n"/>
      <c r="IKN65" s="124" t="n"/>
      <c r="IKO65" s="266" t="n"/>
      <c r="IKR65" s="297" t="n"/>
      <c r="ILA65" s="124" t="n"/>
      <c r="ILB65" s="266" t="n"/>
      <c r="ILE65" s="297" t="n"/>
      <c r="ILN65" s="124" t="n"/>
      <c r="ILO65" s="266" t="n"/>
      <c r="ILR65" s="297" t="n"/>
      <c r="IMA65" s="124" t="n"/>
      <c r="IMB65" s="266" t="n"/>
      <c r="IME65" s="297" t="n"/>
      <c r="IMN65" s="124" t="n"/>
      <c r="IMO65" s="266" t="n"/>
      <c r="IMR65" s="297" t="n"/>
      <c r="INA65" s="124" t="n"/>
      <c r="INB65" s="266" t="n"/>
      <c r="INE65" s="297" t="n"/>
      <c r="INN65" s="124" t="n"/>
      <c r="INO65" s="266" t="n"/>
      <c r="INR65" s="297" t="n"/>
      <c r="IOA65" s="124" t="n"/>
      <c r="IOB65" s="266" t="n"/>
      <c r="IOE65" s="297" t="n"/>
      <c r="ION65" s="124" t="n"/>
      <c r="IOO65" s="266" t="n"/>
      <c r="IOR65" s="297" t="n"/>
      <c r="IPA65" s="124" t="n"/>
      <c r="IPB65" s="266" t="n"/>
      <c r="IPE65" s="297" t="n"/>
      <c r="IPN65" s="124" t="n"/>
      <c r="IPO65" s="266" t="n"/>
      <c r="IPR65" s="297" t="n"/>
      <c r="IQA65" s="124" t="n"/>
      <c r="IQB65" s="266" t="n"/>
      <c r="IQE65" s="297" t="n"/>
      <c r="IQN65" s="124" t="n"/>
      <c r="IQO65" s="266" t="n"/>
      <c r="IQR65" s="297" t="n"/>
      <c r="IRA65" s="124" t="n"/>
      <c r="IRB65" s="266" t="n"/>
      <c r="IRE65" s="297" t="n"/>
      <c r="IRN65" s="124" t="n"/>
      <c r="IRO65" s="266" t="n"/>
      <c r="IRR65" s="297" t="n"/>
      <c r="ISA65" s="124" t="n"/>
      <c r="ISB65" s="266" t="n"/>
      <c r="ISE65" s="297" t="n"/>
      <c r="ISN65" s="124" t="n"/>
      <c r="ISO65" s="266" t="n"/>
      <c r="ISR65" s="297" t="n"/>
      <c r="ITA65" s="124" t="n"/>
      <c r="ITB65" s="266" t="n"/>
      <c r="ITE65" s="297" t="n"/>
      <c r="ITN65" s="124" t="n"/>
      <c r="ITO65" s="266" t="n"/>
      <c r="ITR65" s="297" t="n"/>
      <c r="IUA65" s="124" t="n"/>
      <c r="IUB65" s="266" t="n"/>
      <c r="IUE65" s="297" t="n"/>
      <c r="IUN65" s="124" t="n"/>
      <c r="IUO65" s="266" t="n"/>
      <c r="IUR65" s="297" t="n"/>
      <c r="IVA65" s="124" t="n"/>
      <c r="IVB65" s="266" t="n"/>
      <c r="IVE65" s="297" t="n"/>
      <c r="IVN65" s="124" t="n"/>
      <c r="IVO65" s="266" t="n"/>
      <c r="IVR65" s="297" t="n"/>
      <c r="IWA65" s="124" t="n"/>
      <c r="IWB65" s="266" t="n"/>
      <c r="IWE65" s="297" t="n"/>
      <c r="IWN65" s="124" t="n"/>
      <c r="IWO65" s="266" t="n"/>
      <c r="IWR65" s="297" t="n"/>
      <c r="IXA65" s="124" t="n"/>
      <c r="IXB65" s="266" t="n"/>
      <c r="IXE65" s="297" t="n"/>
      <c r="IXN65" s="124" t="n"/>
      <c r="IXO65" s="266" t="n"/>
      <c r="IXR65" s="297" t="n"/>
      <c r="IYA65" s="124" t="n"/>
      <c r="IYB65" s="266" t="n"/>
      <c r="IYE65" s="297" t="n"/>
      <c r="IYN65" s="124" t="n"/>
      <c r="IYO65" s="266" t="n"/>
      <c r="IYR65" s="297" t="n"/>
      <c r="IZA65" s="124" t="n"/>
      <c r="IZB65" s="266" t="n"/>
      <c r="IZE65" s="297" t="n"/>
      <c r="IZN65" s="124" t="n"/>
      <c r="IZO65" s="266" t="n"/>
      <c r="IZR65" s="297" t="n"/>
      <c r="JAA65" s="124" t="n"/>
      <c r="JAB65" s="266" t="n"/>
      <c r="JAE65" s="297" t="n"/>
      <c r="JAN65" s="124" t="n"/>
      <c r="JAO65" s="266" t="n"/>
      <c r="JAR65" s="297" t="n"/>
      <c r="JBA65" s="124" t="n"/>
      <c r="JBB65" s="266" t="n"/>
      <c r="JBE65" s="297" t="n"/>
      <c r="JBN65" s="124" t="n"/>
      <c r="JBO65" s="266" t="n"/>
      <c r="JBR65" s="297" t="n"/>
      <c r="JCA65" s="124" t="n"/>
      <c r="JCB65" s="266" t="n"/>
      <c r="JCE65" s="297" t="n"/>
      <c r="JCN65" s="124" t="n"/>
      <c r="JCO65" s="266" t="n"/>
      <c r="JCR65" s="297" t="n"/>
      <c r="JDA65" s="124" t="n"/>
      <c r="JDB65" s="266" t="n"/>
      <c r="JDE65" s="297" t="n"/>
      <c r="JDN65" s="124" t="n"/>
      <c r="JDO65" s="266" t="n"/>
      <c r="JDR65" s="297" t="n"/>
      <c r="JEA65" s="124" t="n"/>
      <c r="JEB65" s="266" t="n"/>
      <c r="JEE65" s="297" t="n"/>
      <c r="JEN65" s="124" t="n"/>
      <c r="JEO65" s="266" t="n"/>
      <c r="JER65" s="297" t="n"/>
      <c r="JFA65" s="124" t="n"/>
      <c r="JFB65" s="266" t="n"/>
      <c r="JFE65" s="297" t="n"/>
      <c r="JFN65" s="124" t="n"/>
      <c r="JFO65" s="266" t="n"/>
      <c r="JFR65" s="297" t="n"/>
      <c r="JGA65" s="124" t="n"/>
      <c r="JGB65" s="266" t="n"/>
      <c r="JGE65" s="297" t="n"/>
      <c r="JGN65" s="124" t="n"/>
      <c r="JGO65" s="266" t="n"/>
      <c r="JGR65" s="297" t="n"/>
      <c r="JHA65" s="124" t="n"/>
      <c r="JHB65" s="266" t="n"/>
      <c r="JHE65" s="297" t="n"/>
      <c r="JHN65" s="124" t="n"/>
      <c r="JHO65" s="266" t="n"/>
      <c r="JHR65" s="297" t="n"/>
      <c r="JIA65" s="124" t="n"/>
      <c r="JIB65" s="266" t="n"/>
      <c r="JIE65" s="297" t="n"/>
      <c r="JIN65" s="124" t="n"/>
      <c r="JIO65" s="266" t="n"/>
      <c r="JIR65" s="297" t="n"/>
      <c r="JJA65" s="124" t="n"/>
      <c r="JJB65" s="266" t="n"/>
      <c r="JJE65" s="297" t="n"/>
      <c r="JJN65" s="124" t="n"/>
      <c r="JJO65" s="266" t="n"/>
      <c r="JJR65" s="297" t="n"/>
      <c r="JKA65" s="124" t="n"/>
      <c r="JKB65" s="266" t="n"/>
      <c r="JKE65" s="297" t="n"/>
      <c r="JKN65" s="124" t="n"/>
      <c r="JKO65" s="266" t="n"/>
      <c r="JKR65" s="297" t="n"/>
      <c r="JLA65" s="124" t="n"/>
      <c r="JLB65" s="266" t="n"/>
      <c r="JLE65" s="297" t="n"/>
      <c r="JLN65" s="124" t="n"/>
      <c r="JLO65" s="266" t="n"/>
      <c r="JLR65" s="297" t="n"/>
      <c r="JMA65" s="124" t="n"/>
      <c r="JMB65" s="266" t="n"/>
      <c r="JME65" s="297" t="n"/>
      <c r="JMN65" s="124" t="n"/>
      <c r="JMO65" s="266" t="n"/>
      <c r="JMR65" s="297" t="n"/>
      <c r="JNA65" s="124" t="n"/>
      <c r="JNB65" s="266" t="n"/>
      <c r="JNE65" s="297" t="n"/>
      <c r="JNN65" s="124" t="n"/>
      <c r="JNO65" s="266" t="n"/>
      <c r="JNR65" s="297" t="n"/>
      <c r="JOA65" s="124" t="n"/>
      <c r="JOB65" s="266" t="n"/>
      <c r="JOE65" s="297" t="n"/>
      <c r="JON65" s="124" t="n"/>
      <c r="JOO65" s="266" t="n"/>
      <c r="JOR65" s="297" t="n"/>
      <c r="JPA65" s="124" t="n"/>
      <c r="JPB65" s="266" t="n"/>
      <c r="JPE65" s="297" t="n"/>
      <c r="JPN65" s="124" t="n"/>
      <c r="JPO65" s="266" t="n"/>
      <c r="JPR65" s="297" t="n"/>
      <c r="JQA65" s="124" t="n"/>
      <c r="JQB65" s="266" t="n"/>
      <c r="JQE65" s="297" t="n"/>
      <c r="JQN65" s="124" t="n"/>
      <c r="JQO65" s="266" t="n"/>
      <c r="JQR65" s="297" t="n"/>
      <c r="JRA65" s="124" t="n"/>
      <c r="JRB65" s="266" t="n"/>
      <c r="JRE65" s="297" t="n"/>
      <c r="JRN65" s="124" t="n"/>
      <c r="JRO65" s="266" t="n"/>
      <c r="JRR65" s="297" t="n"/>
      <c r="JSA65" s="124" t="n"/>
      <c r="JSB65" s="266" t="n"/>
      <c r="JSE65" s="297" t="n"/>
      <c r="JSN65" s="124" t="n"/>
      <c r="JSO65" s="266" t="n"/>
      <c r="JSR65" s="297" t="n"/>
      <c r="JTA65" s="124" t="n"/>
      <c r="JTB65" s="266" t="n"/>
      <c r="JTE65" s="297" t="n"/>
      <c r="JTN65" s="124" t="n"/>
      <c r="JTO65" s="266" t="n"/>
      <c r="JTR65" s="297" t="n"/>
      <c r="JUA65" s="124" t="n"/>
      <c r="JUB65" s="266" t="n"/>
      <c r="JUE65" s="297" t="n"/>
      <c r="JUN65" s="124" t="n"/>
      <c r="JUO65" s="266" t="n"/>
      <c r="JUR65" s="297" t="n"/>
      <c r="JVA65" s="124" t="n"/>
      <c r="JVB65" s="266" t="n"/>
      <c r="JVE65" s="297" t="n"/>
      <c r="JVN65" s="124" t="n"/>
      <c r="JVO65" s="266" t="n"/>
      <c r="JVR65" s="297" t="n"/>
      <c r="JWA65" s="124" t="n"/>
      <c r="JWB65" s="266" t="n"/>
      <c r="JWE65" s="297" t="n"/>
      <c r="JWN65" s="124" t="n"/>
      <c r="JWO65" s="266" t="n"/>
      <c r="JWR65" s="297" t="n"/>
      <c r="JXA65" s="124" t="n"/>
      <c r="JXB65" s="266" t="n"/>
      <c r="JXE65" s="297" t="n"/>
      <c r="JXN65" s="124" t="n"/>
      <c r="JXO65" s="266" t="n"/>
      <c r="JXR65" s="297" t="n"/>
      <c r="JYA65" s="124" t="n"/>
      <c r="JYB65" s="266" t="n"/>
      <c r="JYE65" s="297" t="n"/>
      <c r="JYN65" s="124" t="n"/>
      <c r="JYO65" s="266" t="n"/>
      <c r="JYR65" s="297" t="n"/>
      <c r="JZA65" s="124" t="n"/>
      <c r="JZB65" s="266" t="n"/>
      <c r="JZE65" s="297" t="n"/>
      <c r="JZN65" s="124" t="n"/>
      <c r="JZO65" s="266" t="n"/>
      <c r="JZR65" s="297" t="n"/>
      <c r="KAA65" s="124" t="n"/>
      <c r="KAB65" s="266" t="n"/>
      <c r="KAE65" s="297" t="n"/>
      <c r="KAN65" s="124" t="n"/>
      <c r="KAO65" s="266" t="n"/>
      <c r="KAR65" s="297" t="n"/>
      <c r="KBA65" s="124" t="n"/>
      <c r="KBB65" s="266" t="n"/>
      <c r="KBE65" s="297" t="n"/>
      <c r="KBN65" s="124" t="n"/>
      <c r="KBO65" s="266" t="n"/>
      <c r="KBR65" s="297" t="n"/>
      <c r="KCA65" s="124" t="n"/>
      <c r="KCB65" s="266" t="n"/>
      <c r="KCE65" s="297" t="n"/>
      <c r="KCN65" s="124" t="n"/>
      <c r="KCO65" s="266" t="n"/>
      <c r="KCR65" s="297" t="n"/>
      <c r="KDA65" s="124" t="n"/>
      <c r="KDB65" s="266" t="n"/>
      <c r="KDE65" s="297" t="n"/>
      <c r="KDN65" s="124" t="n"/>
      <c r="KDO65" s="266" t="n"/>
      <c r="KDR65" s="297" t="n"/>
      <c r="KEA65" s="124" t="n"/>
      <c r="KEB65" s="266" t="n"/>
      <c r="KEE65" s="297" t="n"/>
      <c r="KEN65" s="124" t="n"/>
      <c r="KEO65" s="266" t="n"/>
      <c r="KER65" s="297" t="n"/>
      <c r="KFA65" s="124" t="n"/>
      <c r="KFB65" s="266" t="n"/>
      <c r="KFE65" s="297" t="n"/>
      <c r="KFN65" s="124" t="n"/>
      <c r="KFO65" s="266" t="n"/>
      <c r="KFR65" s="297" t="n"/>
      <c r="KGA65" s="124" t="n"/>
      <c r="KGB65" s="266" t="n"/>
      <c r="KGE65" s="297" t="n"/>
      <c r="KGN65" s="124" t="n"/>
      <c r="KGO65" s="266" t="n"/>
      <c r="KGR65" s="297" t="n"/>
      <c r="KHA65" s="124" t="n"/>
      <c r="KHB65" s="266" t="n"/>
      <c r="KHE65" s="297" t="n"/>
      <c r="KHN65" s="124" t="n"/>
      <c r="KHO65" s="266" t="n"/>
      <c r="KHR65" s="297" t="n"/>
      <c r="KIA65" s="124" t="n"/>
      <c r="KIB65" s="266" t="n"/>
      <c r="KIE65" s="297" t="n"/>
      <c r="KIN65" s="124" t="n"/>
      <c r="KIO65" s="266" t="n"/>
      <c r="KIR65" s="297" t="n"/>
      <c r="KJA65" s="124" t="n"/>
      <c r="KJB65" s="266" t="n"/>
      <c r="KJE65" s="297" t="n"/>
      <c r="KJN65" s="124" t="n"/>
      <c r="KJO65" s="266" t="n"/>
      <c r="KJR65" s="297" t="n"/>
      <c r="KKA65" s="124" t="n"/>
      <c r="KKB65" s="266" t="n"/>
      <c r="KKE65" s="297" t="n"/>
      <c r="KKN65" s="124" t="n"/>
      <c r="KKO65" s="266" t="n"/>
      <c r="KKR65" s="297" t="n"/>
      <c r="KLA65" s="124" t="n"/>
      <c r="KLB65" s="266" t="n"/>
      <c r="KLE65" s="297" t="n"/>
      <c r="KLN65" s="124" t="n"/>
      <c r="KLO65" s="266" t="n"/>
      <c r="KLR65" s="297" t="n"/>
      <c r="KMA65" s="124" t="n"/>
      <c r="KMB65" s="266" t="n"/>
      <c r="KME65" s="297" t="n"/>
      <c r="KMN65" s="124" t="n"/>
      <c r="KMO65" s="266" t="n"/>
      <c r="KMR65" s="297" t="n"/>
      <c r="KNA65" s="124" t="n"/>
      <c r="KNB65" s="266" t="n"/>
      <c r="KNE65" s="297" t="n"/>
      <c r="KNN65" s="124" t="n"/>
      <c r="KNO65" s="266" t="n"/>
      <c r="KNR65" s="297" t="n"/>
      <c r="KOA65" s="124" t="n"/>
      <c r="KOB65" s="266" t="n"/>
      <c r="KOE65" s="297" t="n"/>
      <c r="KON65" s="124" t="n"/>
      <c r="KOO65" s="266" t="n"/>
      <c r="KOR65" s="297" t="n"/>
      <c r="KPA65" s="124" t="n"/>
      <c r="KPB65" s="266" t="n"/>
      <c r="KPE65" s="297" t="n"/>
      <c r="KPN65" s="124" t="n"/>
      <c r="KPO65" s="266" t="n"/>
      <c r="KPR65" s="297" t="n"/>
      <c r="KQA65" s="124" t="n"/>
      <c r="KQB65" s="266" t="n"/>
      <c r="KQE65" s="297" t="n"/>
      <c r="KQN65" s="124" t="n"/>
      <c r="KQO65" s="266" t="n"/>
      <c r="KQR65" s="297" t="n"/>
      <c r="KRA65" s="124" t="n"/>
      <c r="KRB65" s="266" t="n"/>
      <c r="KRE65" s="297" t="n"/>
      <c r="KRN65" s="124" t="n"/>
      <c r="KRO65" s="266" t="n"/>
      <c r="KRR65" s="297" t="n"/>
      <c r="KSA65" s="124" t="n"/>
      <c r="KSB65" s="266" t="n"/>
      <c r="KSE65" s="297" t="n"/>
      <c r="KSN65" s="124" t="n"/>
      <c r="KSO65" s="266" t="n"/>
      <c r="KSR65" s="297" t="n"/>
      <c r="KTA65" s="124" t="n"/>
      <c r="KTB65" s="266" t="n"/>
      <c r="KTE65" s="297" t="n"/>
      <c r="KTN65" s="124" t="n"/>
      <c r="KTO65" s="266" t="n"/>
      <c r="KTR65" s="297" t="n"/>
      <c r="KUA65" s="124" t="n"/>
      <c r="KUB65" s="266" t="n"/>
      <c r="KUE65" s="297" t="n"/>
      <c r="KUN65" s="124" t="n"/>
      <c r="KUO65" s="266" t="n"/>
      <c r="KUR65" s="297" t="n"/>
      <c r="KVA65" s="124" t="n"/>
      <c r="KVB65" s="266" t="n"/>
      <c r="KVE65" s="297" t="n"/>
      <c r="KVN65" s="124" t="n"/>
      <c r="KVO65" s="266" t="n"/>
      <c r="KVR65" s="297" t="n"/>
      <c r="KWA65" s="124" t="n"/>
      <c r="KWB65" s="266" t="n"/>
      <c r="KWE65" s="297" t="n"/>
      <c r="KWN65" s="124" t="n"/>
      <c r="KWO65" s="266" t="n"/>
      <c r="KWR65" s="297" t="n"/>
      <c r="KXA65" s="124" t="n"/>
      <c r="KXB65" s="266" t="n"/>
      <c r="KXE65" s="297" t="n"/>
      <c r="KXN65" s="124" t="n"/>
      <c r="KXO65" s="266" t="n"/>
      <c r="KXR65" s="297" t="n"/>
      <c r="KYA65" s="124" t="n"/>
      <c r="KYB65" s="266" t="n"/>
      <c r="KYE65" s="297" t="n"/>
      <c r="KYN65" s="124" t="n"/>
      <c r="KYO65" s="266" t="n"/>
      <c r="KYR65" s="297" t="n"/>
      <c r="KZA65" s="124" t="n"/>
      <c r="KZB65" s="266" t="n"/>
      <c r="KZE65" s="297" t="n"/>
      <c r="KZN65" s="124" t="n"/>
      <c r="KZO65" s="266" t="n"/>
      <c r="KZR65" s="297" t="n"/>
      <c r="LAA65" s="124" t="n"/>
      <c r="LAB65" s="266" t="n"/>
      <c r="LAE65" s="297" t="n"/>
      <c r="LAN65" s="124" t="n"/>
      <c r="LAO65" s="266" t="n"/>
      <c r="LAR65" s="297" t="n"/>
      <c r="LBA65" s="124" t="n"/>
      <c r="LBB65" s="266" t="n"/>
      <c r="LBE65" s="297" t="n"/>
      <c r="LBN65" s="124" t="n"/>
      <c r="LBO65" s="266" t="n"/>
      <c r="LBR65" s="297" t="n"/>
      <c r="LCA65" s="124" t="n"/>
      <c r="LCB65" s="266" t="n"/>
      <c r="LCE65" s="297" t="n"/>
      <c r="LCN65" s="124" t="n"/>
      <c r="LCO65" s="266" t="n"/>
      <c r="LCR65" s="297" t="n"/>
      <c r="LDA65" s="124" t="n"/>
      <c r="LDB65" s="266" t="n"/>
      <c r="LDE65" s="297" t="n"/>
      <c r="LDN65" s="124" t="n"/>
      <c r="LDO65" s="266" t="n"/>
      <c r="LDR65" s="297" t="n"/>
      <c r="LEA65" s="124" t="n"/>
      <c r="LEB65" s="266" t="n"/>
      <c r="LEE65" s="297" t="n"/>
      <c r="LEN65" s="124" t="n"/>
      <c r="LEO65" s="266" t="n"/>
      <c r="LER65" s="297" t="n"/>
      <c r="LFA65" s="124" t="n"/>
      <c r="LFB65" s="266" t="n"/>
      <c r="LFE65" s="297" t="n"/>
      <c r="LFN65" s="124" t="n"/>
      <c r="LFO65" s="266" t="n"/>
      <c r="LFR65" s="297" t="n"/>
      <c r="LGA65" s="124" t="n"/>
      <c r="LGB65" s="266" t="n"/>
      <c r="LGE65" s="297" t="n"/>
      <c r="LGN65" s="124" t="n"/>
      <c r="LGO65" s="266" t="n"/>
      <c r="LGR65" s="297" t="n"/>
      <c r="LHA65" s="124" t="n"/>
      <c r="LHB65" s="266" t="n"/>
      <c r="LHE65" s="297" t="n"/>
      <c r="LHN65" s="124" t="n"/>
      <c r="LHO65" s="266" t="n"/>
      <c r="LHR65" s="297" t="n"/>
      <c r="LIA65" s="124" t="n"/>
      <c r="LIB65" s="266" t="n"/>
      <c r="LIE65" s="297" t="n"/>
      <c r="LIN65" s="124" t="n"/>
      <c r="LIO65" s="266" t="n"/>
      <c r="LIR65" s="297" t="n"/>
      <c r="LJA65" s="124" t="n"/>
      <c r="LJB65" s="266" t="n"/>
      <c r="LJE65" s="297" t="n"/>
      <c r="LJN65" s="124" t="n"/>
      <c r="LJO65" s="266" t="n"/>
      <c r="LJR65" s="297" t="n"/>
      <c r="LKA65" s="124" t="n"/>
      <c r="LKB65" s="266" t="n"/>
      <c r="LKE65" s="297" t="n"/>
      <c r="LKN65" s="124" t="n"/>
      <c r="LKO65" s="266" t="n"/>
      <c r="LKR65" s="297" t="n"/>
      <c r="LLA65" s="124" t="n"/>
      <c r="LLB65" s="266" t="n"/>
      <c r="LLE65" s="297" t="n"/>
      <c r="LLN65" s="124" t="n"/>
      <c r="LLO65" s="266" t="n"/>
      <c r="LLR65" s="297" t="n"/>
      <c r="LMA65" s="124" t="n"/>
      <c r="LMB65" s="266" t="n"/>
      <c r="LME65" s="297" t="n"/>
      <c r="LMN65" s="124" t="n"/>
      <c r="LMO65" s="266" t="n"/>
      <c r="LMR65" s="297" t="n"/>
      <c r="LNA65" s="124" t="n"/>
      <c r="LNB65" s="266" t="n"/>
      <c r="LNE65" s="297" t="n"/>
      <c r="LNN65" s="124" t="n"/>
      <c r="LNO65" s="266" t="n"/>
      <c r="LNR65" s="297" t="n"/>
      <c r="LOA65" s="124" t="n"/>
      <c r="LOB65" s="266" t="n"/>
      <c r="LOE65" s="297" t="n"/>
      <c r="LON65" s="124" t="n"/>
      <c r="LOO65" s="266" t="n"/>
      <c r="LOR65" s="297" t="n"/>
      <c r="LPA65" s="124" t="n"/>
      <c r="LPB65" s="266" t="n"/>
      <c r="LPE65" s="297" t="n"/>
      <c r="LPN65" s="124" t="n"/>
      <c r="LPO65" s="266" t="n"/>
      <c r="LPR65" s="297" t="n"/>
      <c r="LQA65" s="124" t="n"/>
      <c r="LQB65" s="266" t="n"/>
      <c r="LQE65" s="297" t="n"/>
      <c r="LQN65" s="124" t="n"/>
      <c r="LQO65" s="266" t="n"/>
      <c r="LQR65" s="297" t="n"/>
      <c r="LRA65" s="124" t="n"/>
      <c r="LRB65" s="266" t="n"/>
      <c r="LRE65" s="297" t="n"/>
      <c r="LRN65" s="124" t="n"/>
      <c r="LRO65" s="266" t="n"/>
      <c r="LRR65" s="297" t="n"/>
      <c r="LSA65" s="124" t="n"/>
      <c r="LSB65" s="266" t="n"/>
      <c r="LSE65" s="297" t="n"/>
      <c r="LSN65" s="124" t="n"/>
      <c r="LSO65" s="266" t="n"/>
      <c r="LSR65" s="297" t="n"/>
      <c r="LTA65" s="124" t="n"/>
      <c r="LTB65" s="266" t="n"/>
      <c r="LTE65" s="297" t="n"/>
      <c r="LTN65" s="124" t="n"/>
      <c r="LTO65" s="266" t="n"/>
      <c r="LTR65" s="297" t="n"/>
      <c r="LUA65" s="124" t="n"/>
      <c r="LUB65" s="266" t="n"/>
      <c r="LUE65" s="297" t="n"/>
      <c r="LUN65" s="124" t="n"/>
      <c r="LUO65" s="266" t="n"/>
      <c r="LUR65" s="297" t="n"/>
      <c r="LVA65" s="124" t="n"/>
      <c r="LVB65" s="266" t="n"/>
      <c r="LVE65" s="297" t="n"/>
      <c r="LVN65" s="124" t="n"/>
      <c r="LVO65" s="266" t="n"/>
      <c r="LVR65" s="297" t="n"/>
      <c r="LWA65" s="124" t="n"/>
      <c r="LWB65" s="266" t="n"/>
      <c r="LWE65" s="297" t="n"/>
      <c r="LWN65" s="124" t="n"/>
      <c r="LWO65" s="266" t="n"/>
      <c r="LWR65" s="297" t="n"/>
      <c r="LXA65" s="124" t="n"/>
      <c r="LXB65" s="266" t="n"/>
      <c r="LXE65" s="297" t="n"/>
      <c r="LXN65" s="124" t="n"/>
      <c r="LXO65" s="266" t="n"/>
      <c r="LXR65" s="297" t="n"/>
      <c r="LYA65" s="124" t="n"/>
      <c r="LYB65" s="266" t="n"/>
      <c r="LYE65" s="297" t="n"/>
      <c r="LYN65" s="124" t="n"/>
      <c r="LYO65" s="266" t="n"/>
      <c r="LYR65" s="297" t="n"/>
      <c r="LZA65" s="124" t="n"/>
      <c r="LZB65" s="266" t="n"/>
      <c r="LZE65" s="297" t="n"/>
      <c r="LZN65" s="124" t="n"/>
      <c r="LZO65" s="266" t="n"/>
      <c r="LZR65" s="297" t="n"/>
      <c r="MAA65" s="124" t="n"/>
      <c r="MAB65" s="266" t="n"/>
      <c r="MAE65" s="297" t="n"/>
      <c r="MAN65" s="124" t="n"/>
      <c r="MAO65" s="266" t="n"/>
      <c r="MAR65" s="297" t="n"/>
      <c r="MBA65" s="124" t="n"/>
      <c r="MBB65" s="266" t="n"/>
      <c r="MBE65" s="297" t="n"/>
      <c r="MBN65" s="124" t="n"/>
      <c r="MBO65" s="266" t="n"/>
      <c r="MBR65" s="297" t="n"/>
      <c r="MCA65" s="124" t="n"/>
      <c r="MCB65" s="266" t="n"/>
      <c r="MCE65" s="297" t="n"/>
      <c r="MCN65" s="124" t="n"/>
      <c r="MCO65" s="266" t="n"/>
      <c r="MCR65" s="297" t="n"/>
      <c r="MDA65" s="124" t="n"/>
      <c r="MDB65" s="266" t="n"/>
      <c r="MDE65" s="297" t="n"/>
      <c r="MDN65" s="124" t="n"/>
      <c r="MDO65" s="266" t="n"/>
      <c r="MDR65" s="297" t="n"/>
      <c r="MEA65" s="124" t="n"/>
      <c r="MEB65" s="266" t="n"/>
      <c r="MEE65" s="297" t="n"/>
      <c r="MEN65" s="124" t="n"/>
      <c r="MEO65" s="266" t="n"/>
      <c r="MER65" s="297" t="n"/>
      <c r="MFA65" s="124" t="n"/>
      <c r="MFB65" s="266" t="n"/>
      <c r="MFE65" s="297" t="n"/>
      <c r="MFN65" s="124" t="n"/>
      <c r="MFO65" s="266" t="n"/>
      <c r="MFR65" s="297" t="n"/>
      <c r="MGA65" s="124" t="n"/>
      <c r="MGB65" s="266" t="n"/>
      <c r="MGE65" s="297" t="n"/>
      <c r="MGN65" s="124" t="n"/>
      <c r="MGO65" s="266" t="n"/>
      <c r="MGR65" s="297" t="n"/>
      <c r="MHA65" s="124" t="n"/>
      <c r="MHB65" s="266" t="n"/>
      <c r="MHE65" s="297" t="n"/>
      <c r="MHN65" s="124" t="n"/>
      <c r="MHO65" s="266" t="n"/>
      <c r="MHR65" s="297" t="n"/>
      <c r="MIA65" s="124" t="n"/>
      <c r="MIB65" s="266" t="n"/>
      <c r="MIE65" s="297" t="n"/>
      <c r="MIN65" s="124" t="n"/>
      <c r="MIO65" s="266" t="n"/>
      <c r="MIR65" s="297" t="n"/>
      <c r="MJA65" s="124" t="n"/>
      <c r="MJB65" s="266" t="n"/>
      <c r="MJE65" s="297" t="n"/>
      <c r="MJN65" s="124" t="n"/>
      <c r="MJO65" s="266" t="n"/>
      <c r="MJR65" s="297" t="n"/>
      <c r="MKA65" s="124" t="n"/>
      <c r="MKB65" s="266" t="n"/>
      <c r="MKE65" s="297" t="n"/>
      <c r="MKN65" s="124" t="n"/>
      <c r="MKO65" s="266" t="n"/>
      <c r="MKR65" s="297" t="n"/>
      <c r="MLA65" s="124" t="n"/>
      <c r="MLB65" s="266" t="n"/>
      <c r="MLE65" s="297" t="n"/>
      <c r="MLN65" s="124" t="n"/>
      <c r="MLO65" s="266" t="n"/>
      <c r="MLR65" s="297" t="n"/>
      <c r="MMA65" s="124" t="n"/>
      <c r="MMB65" s="266" t="n"/>
      <c r="MME65" s="297" t="n"/>
      <c r="MMN65" s="124" t="n"/>
      <c r="MMO65" s="266" t="n"/>
      <c r="MMR65" s="297" t="n"/>
      <c r="MNA65" s="124" t="n"/>
      <c r="MNB65" s="266" t="n"/>
      <c r="MNE65" s="297" t="n"/>
      <c r="MNN65" s="124" t="n"/>
      <c r="MNO65" s="266" t="n"/>
      <c r="MNR65" s="297" t="n"/>
      <c r="MOA65" s="124" t="n"/>
      <c r="MOB65" s="266" t="n"/>
      <c r="MOE65" s="297" t="n"/>
      <c r="MON65" s="124" t="n"/>
      <c r="MOO65" s="266" t="n"/>
      <c r="MOR65" s="297" t="n"/>
      <c r="MPA65" s="124" t="n"/>
      <c r="MPB65" s="266" t="n"/>
      <c r="MPE65" s="297" t="n"/>
      <c r="MPN65" s="124" t="n"/>
      <c r="MPO65" s="266" t="n"/>
      <c r="MPR65" s="297" t="n"/>
      <c r="MQA65" s="124" t="n"/>
      <c r="MQB65" s="266" t="n"/>
      <c r="MQE65" s="297" t="n"/>
      <c r="MQN65" s="124" t="n"/>
      <c r="MQO65" s="266" t="n"/>
      <c r="MQR65" s="297" t="n"/>
      <c r="MRA65" s="124" t="n"/>
      <c r="MRB65" s="266" t="n"/>
      <c r="MRE65" s="297" t="n"/>
      <c r="MRN65" s="124" t="n"/>
      <c r="MRO65" s="266" t="n"/>
      <c r="MRR65" s="297" t="n"/>
      <c r="MSA65" s="124" t="n"/>
      <c r="MSB65" s="266" t="n"/>
      <c r="MSE65" s="297" t="n"/>
      <c r="MSN65" s="124" t="n"/>
      <c r="MSO65" s="266" t="n"/>
      <c r="MSR65" s="297" t="n"/>
      <c r="MTA65" s="124" t="n"/>
      <c r="MTB65" s="266" t="n"/>
      <c r="MTE65" s="297" t="n"/>
      <c r="MTN65" s="124" t="n"/>
      <c r="MTO65" s="266" t="n"/>
      <c r="MTR65" s="297" t="n"/>
      <c r="MUA65" s="124" t="n"/>
      <c r="MUB65" s="266" t="n"/>
      <c r="MUE65" s="297" t="n"/>
      <c r="MUN65" s="124" t="n"/>
      <c r="MUO65" s="266" t="n"/>
      <c r="MUR65" s="297" t="n"/>
      <c r="MVA65" s="124" t="n"/>
      <c r="MVB65" s="266" t="n"/>
      <c r="MVE65" s="297" t="n"/>
      <c r="MVN65" s="124" t="n"/>
      <c r="MVO65" s="266" t="n"/>
      <c r="MVR65" s="297" t="n"/>
      <c r="MWA65" s="124" t="n"/>
      <c r="MWB65" s="266" t="n"/>
      <c r="MWE65" s="297" t="n"/>
      <c r="MWN65" s="124" t="n"/>
      <c r="MWO65" s="266" t="n"/>
      <c r="MWR65" s="297" t="n"/>
      <c r="MXA65" s="124" t="n"/>
      <c r="MXB65" s="266" t="n"/>
      <c r="MXE65" s="297" t="n"/>
      <c r="MXN65" s="124" t="n"/>
      <c r="MXO65" s="266" t="n"/>
      <c r="MXR65" s="297" t="n"/>
      <c r="MYA65" s="124" t="n"/>
      <c r="MYB65" s="266" t="n"/>
      <c r="MYE65" s="297" t="n"/>
      <c r="MYN65" s="124" t="n"/>
      <c r="MYO65" s="266" t="n"/>
      <c r="MYR65" s="297" t="n"/>
      <c r="MZA65" s="124" t="n"/>
      <c r="MZB65" s="266" t="n"/>
      <c r="MZE65" s="297" t="n"/>
      <c r="MZN65" s="124" t="n"/>
      <c r="MZO65" s="266" t="n"/>
      <c r="MZR65" s="297" t="n"/>
      <c r="NAA65" s="124" t="n"/>
      <c r="NAB65" s="266" t="n"/>
      <c r="NAE65" s="297" t="n"/>
      <c r="NAN65" s="124" t="n"/>
      <c r="NAO65" s="266" t="n"/>
      <c r="NAR65" s="297" t="n"/>
      <c r="NBA65" s="124" t="n"/>
      <c r="NBB65" s="266" t="n"/>
      <c r="NBE65" s="297" t="n"/>
      <c r="NBN65" s="124" t="n"/>
      <c r="NBO65" s="266" t="n"/>
      <c r="NBR65" s="297" t="n"/>
      <c r="NCA65" s="124" t="n"/>
      <c r="NCB65" s="266" t="n"/>
      <c r="NCE65" s="297" t="n"/>
      <c r="NCN65" s="124" t="n"/>
      <c r="NCO65" s="266" t="n"/>
      <c r="NCR65" s="297" t="n"/>
      <c r="NDA65" s="124" t="n"/>
      <c r="NDB65" s="266" t="n"/>
      <c r="NDE65" s="297" t="n"/>
      <c r="NDN65" s="124" t="n"/>
      <c r="NDO65" s="266" t="n"/>
      <c r="NDR65" s="297" t="n"/>
      <c r="NEA65" s="124" t="n"/>
      <c r="NEB65" s="266" t="n"/>
      <c r="NEE65" s="297" t="n"/>
      <c r="NEN65" s="124" t="n"/>
      <c r="NEO65" s="266" t="n"/>
      <c r="NER65" s="297" t="n"/>
      <c r="NFA65" s="124" t="n"/>
      <c r="NFB65" s="266" t="n"/>
      <c r="NFE65" s="297" t="n"/>
      <c r="NFN65" s="124" t="n"/>
      <c r="NFO65" s="266" t="n"/>
      <c r="NFR65" s="297" t="n"/>
      <c r="NGA65" s="124" t="n"/>
      <c r="NGB65" s="266" t="n"/>
      <c r="NGE65" s="297" t="n"/>
      <c r="NGN65" s="124" t="n"/>
      <c r="NGO65" s="266" t="n"/>
      <c r="NGR65" s="297" t="n"/>
      <c r="NHA65" s="124" t="n"/>
      <c r="NHB65" s="266" t="n"/>
      <c r="NHE65" s="297" t="n"/>
      <c r="NHN65" s="124" t="n"/>
      <c r="NHO65" s="266" t="n"/>
      <c r="NHR65" s="297" t="n"/>
      <c r="NIA65" s="124" t="n"/>
      <c r="NIB65" s="266" t="n"/>
      <c r="NIE65" s="297" t="n"/>
      <c r="NIN65" s="124" t="n"/>
      <c r="NIO65" s="266" t="n"/>
      <c r="NIR65" s="297" t="n"/>
      <c r="NJA65" s="124" t="n"/>
      <c r="NJB65" s="266" t="n"/>
      <c r="NJE65" s="297" t="n"/>
      <c r="NJN65" s="124" t="n"/>
      <c r="NJO65" s="266" t="n"/>
      <c r="NJR65" s="297" t="n"/>
      <c r="NKA65" s="124" t="n"/>
      <c r="NKB65" s="266" t="n"/>
      <c r="NKE65" s="297" t="n"/>
      <c r="NKN65" s="124" t="n"/>
      <c r="NKO65" s="266" t="n"/>
      <c r="NKR65" s="297" t="n"/>
      <c r="NLA65" s="124" t="n"/>
      <c r="NLB65" s="266" t="n"/>
      <c r="NLE65" s="297" t="n"/>
      <c r="NLN65" s="124" t="n"/>
      <c r="NLO65" s="266" t="n"/>
      <c r="NLR65" s="297" t="n"/>
      <c r="NMA65" s="124" t="n"/>
      <c r="NMB65" s="266" t="n"/>
      <c r="NME65" s="297" t="n"/>
      <c r="NMN65" s="124" t="n"/>
      <c r="NMO65" s="266" t="n"/>
      <c r="NMR65" s="297" t="n"/>
      <c r="NNA65" s="124" t="n"/>
      <c r="NNB65" s="266" t="n"/>
      <c r="NNE65" s="297" t="n"/>
      <c r="NNN65" s="124" t="n"/>
      <c r="NNO65" s="266" t="n"/>
      <c r="NNR65" s="297" t="n"/>
      <c r="NOA65" s="124" t="n"/>
      <c r="NOB65" s="266" t="n"/>
      <c r="NOE65" s="297" t="n"/>
      <c r="NON65" s="124" t="n"/>
      <c r="NOO65" s="266" t="n"/>
      <c r="NOR65" s="297" t="n"/>
      <c r="NPA65" s="124" t="n"/>
      <c r="NPB65" s="266" t="n"/>
      <c r="NPE65" s="297" t="n"/>
      <c r="NPN65" s="124" t="n"/>
      <c r="NPO65" s="266" t="n"/>
      <c r="NPR65" s="297" t="n"/>
      <c r="NQA65" s="124" t="n"/>
      <c r="NQB65" s="266" t="n"/>
      <c r="NQE65" s="297" t="n"/>
      <c r="NQN65" s="124" t="n"/>
      <c r="NQO65" s="266" t="n"/>
      <c r="NQR65" s="297" t="n"/>
      <c r="NRA65" s="124" t="n"/>
      <c r="NRB65" s="266" t="n"/>
      <c r="NRE65" s="297" t="n"/>
      <c r="NRN65" s="124" t="n"/>
      <c r="NRO65" s="266" t="n"/>
      <c r="NRR65" s="297" t="n"/>
      <c r="NSA65" s="124" t="n"/>
      <c r="NSB65" s="266" t="n"/>
      <c r="NSE65" s="297" t="n"/>
      <c r="NSN65" s="124" t="n"/>
      <c r="NSO65" s="266" t="n"/>
      <c r="NSR65" s="297" t="n"/>
      <c r="NTA65" s="124" t="n"/>
      <c r="NTB65" s="266" t="n"/>
      <c r="NTE65" s="297" t="n"/>
      <c r="NTN65" s="124" t="n"/>
      <c r="NTO65" s="266" t="n"/>
      <c r="NTR65" s="297" t="n"/>
      <c r="NUA65" s="124" t="n"/>
      <c r="NUB65" s="266" t="n"/>
      <c r="NUE65" s="297" t="n"/>
      <c r="NUN65" s="124" t="n"/>
      <c r="NUO65" s="266" t="n"/>
      <c r="NUR65" s="297" t="n"/>
      <c r="NVA65" s="124" t="n"/>
      <c r="NVB65" s="266" t="n"/>
      <c r="NVE65" s="297" t="n"/>
      <c r="NVN65" s="124" t="n"/>
      <c r="NVO65" s="266" t="n"/>
      <c r="NVR65" s="297" t="n"/>
      <c r="NWA65" s="124" t="n"/>
      <c r="NWB65" s="266" t="n"/>
      <c r="NWE65" s="297" t="n"/>
      <c r="NWN65" s="124" t="n"/>
      <c r="NWO65" s="266" t="n"/>
      <c r="NWR65" s="297" t="n"/>
      <c r="NXA65" s="124" t="n"/>
      <c r="NXB65" s="266" t="n"/>
      <c r="NXE65" s="297" t="n"/>
      <c r="NXN65" s="124" t="n"/>
      <c r="NXO65" s="266" t="n"/>
      <c r="NXR65" s="297" t="n"/>
      <c r="NYA65" s="124" t="n"/>
      <c r="NYB65" s="266" t="n"/>
      <c r="NYE65" s="297" t="n"/>
      <c r="NYN65" s="124" t="n"/>
      <c r="NYO65" s="266" t="n"/>
      <c r="NYR65" s="297" t="n"/>
      <c r="NZA65" s="124" t="n"/>
      <c r="NZB65" s="266" t="n"/>
      <c r="NZE65" s="297" t="n"/>
      <c r="NZN65" s="124" t="n"/>
      <c r="NZO65" s="266" t="n"/>
      <c r="NZR65" s="297" t="n"/>
      <c r="OAA65" s="124" t="n"/>
      <c r="OAB65" s="266" t="n"/>
      <c r="OAE65" s="297" t="n"/>
      <c r="OAN65" s="124" t="n"/>
      <c r="OAO65" s="266" t="n"/>
      <c r="OAR65" s="297" t="n"/>
      <c r="OBA65" s="124" t="n"/>
      <c r="OBB65" s="266" t="n"/>
      <c r="OBE65" s="297" t="n"/>
      <c r="OBN65" s="124" t="n"/>
      <c r="OBO65" s="266" t="n"/>
      <c r="OBR65" s="297" t="n"/>
      <c r="OCA65" s="124" t="n"/>
      <c r="OCB65" s="266" t="n"/>
      <c r="OCE65" s="297" t="n"/>
      <c r="OCN65" s="124" t="n"/>
      <c r="OCO65" s="266" t="n"/>
      <c r="OCR65" s="297" t="n"/>
      <c r="ODA65" s="124" t="n"/>
      <c r="ODB65" s="266" t="n"/>
      <c r="ODE65" s="297" t="n"/>
      <c r="ODN65" s="124" t="n"/>
      <c r="ODO65" s="266" t="n"/>
      <c r="ODR65" s="297" t="n"/>
      <c r="OEA65" s="124" t="n"/>
      <c r="OEB65" s="266" t="n"/>
      <c r="OEE65" s="297" t="n"/>
      <c r="OEN65" s="124" t="n"/>
      <c r="OEO65" s="266" t="n"/>
      <c r="OER65" s="297" t="n"/>
      <c r="OFA65" s="124" t="n"/>
      <c r="OFB65" s="266" t="n"/>
      <c r="OFE65" s="297" t="n"/>
      <c r="OFN65" s="124" t="n"/>
      <c r="OFO65" s="266" t="n"/>
      <c r="OFR65" s="297" t="n"/>
      <c r="OGA65" s="124" t="n"/>
      <c r="OGB65" s="266" t="n"/>
      <c r="OGE65" s="297" t="n"/>
      <c r="OGN65" s="124" t="n"/>
      <c r="OGO65" s="266" t="n"/>
      <c r="OGR65" s="297" t="n"/>
      <c r="OHA65" s="124" t="n"/>
      <c r="OHB65" s="266" t="n"/>
      <c r="OHE65" s="297" t="n"/>
      <c r="OHN65" s="124" t="n"/>
      <c r="OHO65" s="266" t="n"/>
      <c r="OHR65" s="297" t="n"/>
      <c r="OIA65" s="124" t="n"/>
      <c r="OIB65" s="266" t="n"/>
      <c r="OIE65" s="297" t="n"/>
      <c r="OIN65" s="124" t="n"/>
      <c r="OIO65" s="266" t="n"/>
      <c r="OIR65" s="297" t="n"/>
      <c r="OJA65" s="124" t="n"/>
      <c r="OJB65" s="266" t="n"/>
      <c r="OJE65" s="297" t="n"/>
      <c r="OJN65" s="124" t="n"/>
      <c r="OJO65" s="266" t="n"/>
      <c r="OJR65" s="297" t="n"/>
      <c r="OKA65" s="124" t="n"/>
      <c r="OKB65" s="266" t="n"/>
      <c r="OKE65" s="297" t="n"/>
      <c r="OKN65" s="124" t="n"/>
      <c r="OKO65" s="266" t="n"/>
      <c r="OKR65" s="297" t="n"/>
      <c r="OLA65" s="124" t="n"/>
      <c r="OLB65" s="266" t="n"/>
      <c r="OLE65" s="297" t="n"/>
      <c r="OLN65" s="124" t="n"/>
      <c r="OLO65" s="266" t="n"/>
      <c r="OLR65" s="297" t="n"/>
      <c r="OMA65" s="124" t="n"/>
      <c r="OMB65" s="266" t="n"/>
      <c r="OME65" s="297" t="n"/>
      <c r="OMN65" s="124" t="n"/>
      <c r="OMO65" s="266" t="n"/>
      <c r="OMR65" s="297" t="n"/>
      <c r="ONA65" s="124" t="n"/>
      <c r="ONB65" s="266" t="n"/>
      <c r="ONE65" s="297" t="n"/>
      <c r="ONN65" s="124" t="n"/>
      <c r="ONO65" s="266" t="n"/>
      <c r="ONR65" s="297" t="n"/>
      <c r="OOA65" s="124" t="n"/>
      <c r="OOB65" s="266" t="n"/>
      <c r="OOE65" s="297" t="n"/>
      <c r="OON65" s="124" t="n"/>
      <c r="OOO65" s="266" t="n"/>
      <c r="OOR65" s="297" t="n"/>
      <c r="OPA65" s="124" t="n"/>
      <c r="OPB65" s="266" t="n"/>
      <c r="OPE65" s="297" t="n"/>
      <c r="OPN65" s="124" t="n"/>
      <c r="OPO65" s="266" t="n"/>
      <c r="OPR65" s="297" t="n"/>
      <c r="OQA65" s="124" t="n"/>
      <c r="OQB65" s="266" t="n"/>
      <c r="OQE65" s="297" t="n"/>
      <c r="OQN65" s="124" t="n"/>
      <c r="OQO65" s="266" t="n"/>
      <c r="OQR65" s="297" t="n"/>
      <c r="ORA65" s="124" t="n"/>
      <c r="ORB65" s="266" t="n"/>
      <c r="ORE65" s="297" t="n"/>
      <c r="ORN65" s="124" t="n"/>
      <c r="ORO65" s="266" t="n"/>
      <c r="ORR65" s="297" t="n"/>
      <c r="OSA65" s="124" t="n"/>
      <c r="OSB65" s="266" t="n"/>
      <c r="OSE65" s="297" t="n"/>
      <c r="OSN65" s="124" t="n"/>
      <c r="OSO65" s="266" t="n"/>
      <c r="OSR65" s="297" t="n"/>
      <c r="OTA65" s="124" t="n"/>
      <c r="OTB65" s="266" t="n"/>
      <c r="OTE65" s="297" t="n"/>
      <c r="OTN65" s="124" t="n"/>
      <c r="OTO65" s="266" t="n"/>
      <c r="OTR65" s="297" t="n"/>
      <c r="OUA65" s="124" t="n"/>
      <c r="OUB65" s="266" t="n"/>
      <c r="OUE65" s="297" t="n"/>
      <c r="OUN65" s="124" t="n"/>
      <c r="OUO65" s="266" t="n"/>
      <c r="OUR65" s="297" t="n"/>
      <c r="OVA65" s="124" t="n"/>
      <c r="OVB65" s="266" t="n"/>
      <c r="OVE65" s="297" t="n"/>
      <c r="OVN65" s="124" t="n"/>
      <c r="OVO65" s="266" t="n"/>
      <c r="OVR65" s="297" t="n"/>
      <c r="OWA65" s="124" t="n"/>
      <c r="OWB65" s="266" t="n"/>
      <c r="OWE65" s="297" t="n"/>
      <c r="OWN65" s="124" t="n"/>
      <c r="OWO65" s="266" t="n"/>
      <c r="OWR65" s="297" t="n"/>
      <c r="OXA65" s="124" t="n"/>
      <c r="OXB65" s="266" t="n"/>
      <c r="OXE65" s="297" t="n"/>
      <c r="OXN65" s="124" t="n"/>
      <c r="OXO65" s="266" t="n"/>
      <c r="OXR65" s="297" t="n"/>
      <c r="OYA65" s="124" t="n"/>
      <c r="OYB65" s="266" t="n"/>
      <c r="OYE65" s="297" t="n"/>
      <c r="OYN65" s="124" t="n"/>
      <c r="OYO65" s="266" t="n"/>
      <c r="OYR65" s="297" t="n"/>
      <c r="OZA65" s="124" t="n"/>
      <c r="OZB65" s="266" t="n"/>
      <c r="OZE65" s="297" t="n"/>
      <c r="OZN65" s="124" t="n"/>
      <c r="OZO65" s="266" t="n"/>
      <c r="OZR65" s="297" t="n"/>
      <c r="PAA65" s="124" t="n"/>
      <c r="PAB65" s="266" t="n"/>
      <c r="PAE65" s="297" t="n"/>
      <c r="PAN65" s="124" t="n"/>
      <c r="PAO65" s="266" t="n"/>
      <c r="PAR65" s="297" t="n"/>
      <c r="PBA65" s="124" t="n"/>
      <c r="PBB65" s="266" t="n"/>
      <c r="PBE65" s="297" t="n"/>
      <c r="PBN65" s="124" t="n"/>
      <c r="PBO65" s="266" t="n"/>
      <c r="PBR65" s="297" t="n"/>
      <c r="PCA65" s="124" t="n"/>
      <c r="PCB65" s="266" t="n"/>
      <c r="PCE65" s="297" t="n"/>
      <c r="PCN65" s="124" t="n"/>
      <c r="PCO65" s="266" t="n"/>
      <c r="PCR65" s="297" t="n"/>
      <c r="PDA65" s="124" t="n"/>
      <c r="PDB65" s="266" t="n"/>
      <c r="PDE65" s="297" t="n"/>
      <c r="PDN65" s="124" t="n"/>
      <c r="PDO65" s="266" t="n"/>
      <c r="PDR65" s="297" t="n"/>
      <c r="PEA65" s="124" t="n"/>
      <c r="PEB65" s="266" t="n"/>
      <c r="PEE65" s="297" t="n"/>
      <c r="PEN65" s="124" t="n"/>
      <c r="PEO65" s="266" t="n"/>
      <c r="PER65" s="297" t="n"/>
      <c r="PFA65" s="124" t="n"/>
      <c r="PFB65" s="266" t="n"/>
      <c r="PFE65" s="297" t="n"/>
      <c r="PFN65" s="124" t="n"/>
      <c r="PFO65" s="266" t="n"/>
      <c r="PFR65" s="297" t="n"/>
      <c r="PGA65" s="124" t="n"/>
      <c r="PGB65" s="266" t="n"/>
      <c r="PGE65" s="297" t="n"/>
      <c r="PGN65" s="124" t="n"/>
      <c r="PGO65" s="266" t="n"/>
      <c r="PGR65" s="297" t="n"/>
      <c r="PHA65" s="124" t="n"/>
      <c r="PHB65" s="266" t="n"/>
      <c r="PHE65" s="297" t="n"/>
      <c r="PHN65" s="124" t="n"/>
      <c r="PHO65" s="266" t="n"/>
      <c r="PHR65" s="297" t="n"/>
      <c r="PIA65" s="124" t="n"/>
      <c r="PIB65" s="266" t="n"/>
      <c r="PIE65" s="297" t="n"/>
      <c r="PIN65" s="124" t="n"/>
      <c r="PIO65" s="266" t="n"/>
      <c r="PIR65" s="297" t="n"/>
      <c r="PJA65" s="124" t="n"/>
      <c r="PJB65" s="266" t="n"/>
      <c r="PJE65" s="297" t="n"/>
      <c r="PJN65" s="124" t="n"/>
      <c r="PJO65" s="266" t="n"/>
      <c r="PJR65" s="297" t="n"/>
      <c r="PKA65" s="124" t="n"/>
      <c r="PKB65" s="266" t="n"/>
      <c r="PKE65" s="297" t="n"/>
      <c r="PKN65" s="124" t="n"/>
      <c r="PKO65" s="266" t="n"/>
      <c r="PKR65" s="297" t="n"/>
      <c r="PLA65" s="124" t="n"/>
      <c r="PLB65" s="266" t="n"/>
      <c r="PLE65" s="297" t="n"/>
      <c r="PLN65" s="124" t="n"/>
      <c r="PLO65" s="266" t="n"/>
      <c r="PLR65" s="297" t="n"/>
      <c r="PMA65" s="124" t="n"/>
      <c r="PMB65" s="266" t="n"/>
      <c r="PME65" s="297" t="n"/>
      <c r="PMN65" s="124" t="n"/>
      <c r="PMO65" s="266" t="n"/>
      <c r="PMR65" s="297" t="n"/>
      <c r="PNA65" s="124" t="n"/>
      <c r="PNB65" s="266" t="n"/>
      <c r="PNE65" s="297" t="n"/>
      <c r="PNN65" s="124" t="n"/>
      <c r="PNO65" s="266" t="n"/>
      <c r="PNR65" s="297" t="n"/>
      <c r="POA65" s="124" t="n"/>
      <c r="POB65" s="266" t="n"/>
      <c r="POE65" s="297" t="n"/>
      <c r="PON65" s="124" t="n"/>
      <c r="POO65" s="266" t="n"/>
      <c r="POR65" s="297" t="n"/>
      <c r="PPA65" s="124" t="n"/>
      <c r="PPB65" s="266" t="n"/>
      <c r="PPE65" s="297" t="n"/>
      <c r="PPN65" s="124" t="n"/>
      <c r="PPO65" s="266" t="n"/>
      <c r="PPR65" s="297" t="n"/>
      <c r="PQA65" s="124" t="n"/>
      <c r="PQB65" s="266" t="n"/>
      <c r="PQE65" s="297" t="n"/>
      <c r="PQN65" s="124" t="n"/>
      <c r="PQO65" s="266" t="n"/>
      <c r="PQR65" s="297" t="n"/>
      <c r="PRA65" s="124" t="n"/>
      <c r="PRB65" s="266" t="n"/>
      <c r="PRE65" s="297" t="n"/>
      <c r="PRN65" s="124" t="n"/>
      <c r="PRO65" s="266" t="n"/>
      <c r="PRR65" s="297" t="n"/>
      <c r="PSA65" s="124" t="n"/>
      <c r="PSB65" s="266" t="n"/>
      <c r="PSE65" s="297" t="n"/>
      <c r="PSN65" s="124" t="n"/>
      <c r="PSO65" s="266" t="n"/>
      <c r="PSR65" s="297" t="n"/>
      <c r="PTA65" s="124" t="n"/>
      <c r="PTB65" s="266" t="n"/>
      <c r="PTE65" s="297" t="n"/>
      <c r="PTN65" s="124" t="n"/>
      <c r="PTO65" s="266" t="n"/>
      <c r="PTR65" s="297" t="n"/>
      <c r="PUA65" s="124" t="n"/>
      <c r="PUB65" s="266" t="n"/>
      <c r="PUE65" s="297" t="n"/>
      <c r="PUN65" s="124" t="n"/>
      <c r="PUO65" s="266" t="n"/>
      <c r="PUR65" s="297" t="n"/>
      <c r="PVA65" s="124" t="n"/>
      <c r="PVB65" s="266" t="n"/>
      <c r="PVE65" s="297" t="n"/>
      <c r="PVN65" s="124" t="n"/>
      <c r="PVO65" s="266" t="n"/>
      <c r="PVR65" s="297" t="n"/>
      <c r="PWA65" s="124" t="n"/>
      <c r="PWB65" s="266" t="n"/>
      <c r="PWE65" s="297" t="n"/>
      <c r="PWN65" s="124" t="n"/>
      <c r="PWO65" s="266" t="n"/>
      <c r="PWR65" s="297" t="n"/>
      <c r="PXA65" s="124" t="n"/>
      <c r="PXB65" s="266" t="n"/>
      <c r="PXE65" s="297" t="n"/>
      <c r="PXN65" s="124" t="n"/>
      <c r="PXO65" s="266" t="n"/>
      <c r="PXR65" s="297" t="n"/>
      <c r="PYA65" s="124" t="n"/>
      <c r="PYB65" s="266" t="n"/>
      <c r="PYE65" s="297" t="n"/>
      <c r="PYN65" s="124" t="n"/>
      <c r="PYO65" s="266" t="n"/>
      <c r="PYR65" s="297" t="n"/>
      <c r="PZA65" s="124" t="n"/>
      <c r="PZB65" s="266" t="n"/>
      <c r="PZE65" s="297" t="n"/>
      <c r="PZN65" s="124" t="n"/>
      <c r="PZO65" s="266" t="n"/>
      <c r="PZR65" s="297" t="n"/>
      <c r="QAA65" s="124" t="n"/>
      <c r="QAB65" s="266" t="n"/>
      <c r="QAE65" s="297" t="n"/>
      <c r="QAN65" s="124" t="n"/>
      <c r="QAO65" s="266" t="n"/>
      <c r="QAR65" s="297" t="n"/>
      <c r="QBA65" s="124" t="n"/>
      <c r="QBB65" s="266" t="n"/>
      <c r="QBE65" s="297" t="n"/>
      <c r="QBN65" s="124" t="n"/>
      <c r="QBO65" s="266" t="n"/>
      <c r="QBR65" s="297" t="n"/>
      <c r="QCA65" s="124" t="n"/>
      <c r="QCB65" s="266" t="n"/>
      <c r="QCE65" s="297" t="n"/>
      <c r="QCN65" s="124" t="n"/>
      <c r="QCO65" s="266" t="n"/>
      <c r="QCR65" s="297" t="n"/>
      <c r="QDA65" s="124" t="n"/>
      <c r="QDB65" s="266" t="n"/>
      <c r="QDE65" s="297" t="n"/>
      <c r="QDN65" s="124" t="n"/>
      <c r="QDO65" s="266" t="n"/>
      <c r="QDR65" s="297" t="n"/>
      <c r="QEA65" s="124" t="n"/>
      <c r="QEB65" s="266" t="n"/>
      <c r="QEE65" s="297" t="n"/>
      <c r="QEN65" s="124" t="n"/>
      <c r="QEO65" s="266" t="n"/>
      <c r="QER65" s="297" t="n"/>
      <c r="QFA65" s="124" t="n"/>
      <c r="QFB65" s="266" t="n"/>
      <c r="QFE65" s="297" t="n"/>
      <c r="QFN65" s="124" t="n"/>
      <c r="QFO65" s="266" t="n"/>
      <c r="QFR65" s="297" t="n"/>
      <c r="QGA65" s="124" t="n"/>
      <c r="QGB65" s="266" t="n"/>
      <c r="QGE65" s="297" t="n"/>
      <c r="QGN65" s="124" t="n"/>
      <c r="QGO65" s="266" t="n"/>
      <c r="QGR65" s="297" t="n"/>
      <c r="QHA65" s="124" t="n"/>
      <c r="QHB65" s="266" t="n"/>
      <c r="QHE65" s="297" t="n"/>
      <c r="QHN65" s="124" t="n"/>
      <c r="QHO65" s="266" t="n"/>
      <c r="QHR65" s="297" t="n"/>
      <c r="QIA65" s="124" t="n"/>
      <c r="QIB65" s="266" t="n"/>
      <c r="QIE65" s="297" t="n"/>
      <c r="QIN65" s="124" t="n"/>
      <c r="QIO65" s="266" t="n"/>
      <c r="QIR65" s="297" t="n"/>
      <c r="QJA65" s="124" t="n"/>
      <c r="QJB65" s="266" t="n"/>
      <c r="QJE65" s="297" t="n"/>
      <c r="QJN65" s="124" t="n"/>
      <c r="QJO65" s="266" t="n"/>
      <c r="QJR65" s="297" t="n"/>
      <c r="QKA65" s="124" t="n"/>
      <c r="QKB65" s="266" t="n"/>
      <c r="QKE65" s="297" t="n"/>
      <c r="QKN65" s="124" t="n"/>
      <c r="QKO65" s="266" t="n"/>
      <c r="QKR65" s="297" t="n"/>
      <c r="QLA65" s="124" t="n"/>
      <c r="QLB65" s="266" t="n"/>
      <c r="QLE65" s="297" t="n"/>
      <c r="QLN65" s="124" t="n"/>
      <c r="QLO65" s="266" t="n"/>
      <c r="QLR65" s="297" t="n"/>
      <c r="QMA65" s="124" t="n"/>
      <c r="QMB65" s="266" t="n"/>
      <c r="QME65" s="297" t="n"/>
      <c r="QMN65" s="124" t="n"/>
      <c r="QMO65" s="266" t="n"/>
      <c r="QMR65" s="297" t="n"/>
      <c r="QNA65" s="124" t="n"/>
      <c r="QNB65" s="266" t="n"/>
      <c r="QNE65" s="297" t="n"/>
      <c r="QNN65" s="124" t="n"/>
      <c r="QNO65" s="266" t="n"/>
      <c r="QNR65" s="297" t="n"/>
      <c r="QOA65" s="124" t="n"/>
      <c r="QOB65" s="266" t="n"/>
      <c r="QOE65" s="297" t="n"/>
      <c r="QON65" s="124" t="n"/>
      <c r="QOO65" s="266" t="n"/>
      <c r="QOR65" s="297" t="n"/>
      <c r="QPA65" s="124" t="n"/>
      <c r="QPB65" s="266" t="n"/>
      <c r="QPE65" s="297" t="n"/>
      <c r="QPN65" s="124" t="n"/>
      <c r="QPO65" s="266" t="n"/>
      <c r="QPR65" s="297" t="n"/>
      <c r="QQA65" s="124" t="n"/>
      <c r="QQB65" s="266" t="n"/>
      <c r="QQE65" s="297" t="n"/>
      <c r="QQN65" s="124" t="n"/>
      <c r="QQO65" s="266" t="n"/>
      <c r="QQR65" s="297" t="n"/>
      <c r="QRA65" s="124" t="n"/>
      <c r="QRB65" s="266" t="n"/>
      <c r="QRE65" s="297" t="n"/>
      <c r="QRN65" s="124" t="n"/>
      <c r="QRO65" s="266" t="n"/>
      <c r="QRR65" s="297" t="n"/>
      <c r="QSA65" s="124" t="n"/>
      <c r="QSB65" s="266" t="n"/>
      <c r="QSE65" s="297" t="n"/>
      <c r="QSN65" s="124" t="n"/>
      <c r="QSO65" s="266" t="n"/>
      <c r="QSR65" s="297" t="n"/>
      <c r="QTA65" s="124" t="n"/>
      <c r="QTB65" s="266" t="n"/>
      <c r="QTE65" s="297" t="n"/>
      <c r="QTN65" s="124" t="n"/>
      <c r="QTO65" s="266" t="n"/>
      <c r="QTR65" s="297" t="n"/>
      <c r="QUA65" s="124" t="n"/>
      <c r="QUB65" s="266" t="n"/>
      <c r="QUE65" s="297" t="n"/>
      <c r="QUN65" s="124" t="n"/>
      <c r="QUO65" s="266" t="n"/>
      <c r="QUR65" s="297" t="n"/>
      <c r="QVA65" s="124" t="n"/>
      <c r="QVB65" s="266" t="n"/>
      <c r="QVE65" s="297" t="n"/>
      <c r="QVN65" s="124" t="n"/>
      <c r="QVO65" s="266" t="n"/>
      <c r="QVR65" s="297" t="n"/>
      <c r="QWA65" s="124" t="n"/>
      <c r="QWB65" s="266" t="n"/>
      <c r="QWE65" s="297" t="n"/>
      <c r="QWN65" s="124" t="n"/>
      <c r="QWO65" s="266" t="n"/>
      <c r="QWR65" s="297" t="n"/>
      <c r="QXA65" s="124" t="n"/>
      <c r="QXB65" s="266" t="n"/>
      <c r="QXE65" s="297" t="n"/>
      <c r="QXN65" s="124" t="n"/>
      <c r="QXO65" s="266" t="n"/>
      <c r="QXR65" s="297" t="n"/>
      <c r="QYA65" s="124" t="n"/>
      <c r="QYB65" s="266" t="n"/>
      <c r="QYE65" s="297" t="n"/>
      <c r="QYN65" s="124" t="n"/>
      <c r="QYO65" s="266" t="n"/>
      <c r="QYR65" s="297" t="n"/>
      <c r="QZA65" s="124" t="n"/>
      <c r="QZB65" s="266" t="n"/>
      <c r="QZE65" s="297" t="n"/>
      <c r="QZN65" s="124" t="n"/>
      <c r="QZO65" s="266" t="n"/>
      <c r="QZR65" s="297" t="n"/>
      <c r="RAA65" s="124" t="n"/>
      <c r="RAB65" s="266" t="n"/>
      <c r="RAE65" s="297" t="n"/>
      <c r="RAN65" s="124" t="n"/>
      <c r="RAO65" s="266" t="n"/>
      <c r="RAR65" s="297" t="n"/>
      <c r="RBA65" s="124" t="n"/>
      <c r="RBB65" s="266" t="n"/>
      <c r="RBE65" s="297" t="n"/>
      <c r="RBN65" s="124" t="n"/>
      <c r="RBO65" s="266" t="n"/>
      <c r="RBR65" s="297" t="n"/>
      <c r="RCA65" s="124" t="n"/>
      <c r="RCB65" s="266" t="n"/>
      <c r="RCE65" s="297" t="n"/>
      <c r="RCN65" s="124" t="n"/>
      <c r="RCO65" s="266" t="n"/>
      <c r="RCR65" s="297" t="n"/>
      <c r="RDA65" s="124" t="n"/>
      <c r="RDB65" s="266" t="n"/>
      <c r="RDE65" s="297" t="n"/>
      <c r="RDN65" s="124" t="n"/>
      <c r="RDO65" s="266" t="n"/>
      <c r="RDR65" s="297" t="n"/>
      <c r="REA65" s="124" t="n"/>
      <c r="REB65" s="266" t="n"/>
      <c r="REE65" s="297" t="n"/>
      <c r="REN65" s="124" t="n"/>
      <c r="REO65" s="266" t="n"/>
      <c r="RER65" s="297" t="n"/>
      <c r="RFA65" s="124" t="n"/>
      <c r="RFB65" s="266" t="n"/>
      <c r="RFE65" s="297" t="n"/>
      <c r="RFN65" s="124" t="n"/>
      <c r="RFO65" s="266" t="n"/>
      <c r="RFR65" s="297" t="n"/>
      <c r="RGA65" s="124" t="n"/>
      <c r="RGB65" s="266" t="n"/>
      <c r="RGE65" s="297" t="n"/>
      <c r="RGN65" s="124" t="n"/>
      <c r="RGO65" s="266" t="n"/>
      <c r="RGR65" s="297" t="n"/>
      <c r="RHA65" s="124" t="n"/>
      <c r="RHB65" s="266" t="n"/>
      <c r="RHE65" s="297" t="n"/>
      <c r="RHN65" s="124" t="n"/>
      <c r="RHO65" s="266" t="n"/>
      <c r="RHR65" s="297" t="n"/>
      <c r="RIA65" s="124" t="n"/>
      <c r="RIB65" s="266" t="n"/>
      <c r="RIE65" s="297" t="n"/>
      <c r="RIN65" s="124" t="n"/>
      <c r="RIO65" s="266" t="n"/>
      <c r="RIR65" s="297" t="n"/>
      <c r="RJA65" s="124" t="n"/>
      <c r="RJB65" s="266" t="n"/>
      <c r="RJE65" s="297" t="n"/>
      <c r="RJN65" s="124" t="n"/>
      <c r="RJO65" s="266" t="n"/>
      <c r="RJR65" s="297" t="n"/>
      <c r="RKA65" s="124" t="n"/>
      <c r="RKB65" s="266" t="n"/>
      <c r="RKE65" s="297" t="n"/>
      <c r="RKN65" s="124" t="n"/>
      <c r="RKO65" s="266" t="n"/>
      <c r="RKR65" s="297" t="n"/>
      <c r="RLA65" s="124" t="n"/>
      <c r="RLB65" s="266" t="n"/>
      <c r="RLE65" s="297" t="n"/>
      <c r="RLN65" s="124" t="n"/>
      <c r="RLO65" s="266" t="n"/>
      <c r="RLR65" s="297" t="n"/>
      <c r="RMA65" s="124" t="n"/>
      <c r="RMB65" s="266" t="n"/>
      <c r="RME65" s="297" t="n"/>
      <c r="RMN65" s="124" t="n"/>
      <c r="RMO65" s="266" t="n"/>
      <c r="RMR65" s="297" t="n"/>
      <c r="RNA65" s="124" t="n"/>
      <c r="RNB65" s="266" t="n"/>
      <c r="RNE65" s="297" t="n"/>
      <c r="RNN65" s="124" t="n"/>
      <c r="RNO65" s="266" t="n"/>
      <c r="RNR65" s="297" t="n"/>
      <c r="ROA65" s="124" t="n"/>
      <c r="ROB65" s="266" t="n"/>
      <c r="ROE65" s="297" t="n"/>
      <c r="RON65" s="124" t="n"/>
      <c r="ROO65" s="266" t="n"/>
      <c r="ROR65" s="297" t="n"/>
      <c r="RPA65" s="124" t="n"/>
      <c r="RPB65" s="266" t="n"/>
      <c r="RPE65" s="297" t="n"/>
      <c r="RPN65" s="124" t="n"/>
      <c r="RPO65" s="266" t="n"/>
      <c r="RPR65" s="297" t="n"/>
      <c r="RQA65" s="124" t="n"/>
      <c r="RQB65" s="266" t="n"/>
      <c r="RQE65" s="297" t="n"/>
      <c r="RQN65" s="124" t="n"/>
      <c r="RQO65" s="266" t="n"/>
      <c r="RQR65" s="297" t="n"/>
      <c r="RRA65" s="124" t="n"/>
      <c r="RRB65" s="266" t="n"/>
      <c r="RRE65" s="297" t="n"/>
      <c r="RRN65" s="124" t="n"/>
      <c r="RRO65" s="266" t="n"/>
      <c r="RRR65" s="297" t="n"/>
      <c r="RSA65" s="124" t="n"/>
      <c r="RSB65" s="266" t="n"/>
      <c r="RSE65" s="297" t="n"/>
      <c r="RSN65" s="124" t="n"/>
      <c r="RSO65" s="266" t="n"/>
      <c r="RSR65" s="297" t="n"/>
      <c r="RTA65" s="124" t="n"/>
      <c r="RTB65" s="266" t="n"/>
      <c r="RTE65" s="297" t="n"/>
      <c r="RTN65" s="124" t="n"/>
      <c r="RTO65" s="266" t="n"/>
      <c r="RTR65" s="297" t="n"/>
      <c r="RUA65" s="124" t="n"/>
      <c r="RUB65" s="266" t="n"/>
      <c r="RUE65" s="297" t="n"/>
      <c r="RUN65" s="124" t="n"/>
      <c r="RUO65" s="266" t="n"/>
      <c r="RUR65" s="297" t="n"/>
      <c r="RVA65" s="124" t="n"/>
      <c r="RVB65" s="266" t="n"/>
      <c r="RVE65" s="297" t="n"/>
      <c r="RVN65" s="124" t="n"/>
      <c r="RVO65" s="266" t="n"/>
      <c r="RVR65" s="297" t="n"/>
      <c r="RWA65" s="124" t="n"/>
      <c r="RWB65" s="266" t="n"/>
      <c r="RWE65" s="297" t="n"/>
      <c r="RWN65" s="124" t="n"/>
      <c r="RWO65" s="266" t="n"/>
      <c r="RWR65" s="297" t="n"/>
      <c r="RXA65" s="124" t="n"/>
      <c r="RXB65" s="266" t="n"/>
      <c r="RXE65" s="297" t="n"/>
      <c r="RXN65" s="124" t="n"/>
      <c r="RXO65" s="266" t="n"/>
      <c r="RXR65" s="297" t="n"/>
      <c r="RYA65" s="124" t="n"/>
      <c r="RYB65" s="266" t="n"/>
      <c r="RYE65" s="297" t="n"/>
      <c r="RYN65" s="124" t="n"/>
      <c r="RYO65" s="266" t="n"/>
      <c r="RYR65" s="297" t="n"/>
      <c r="RZA65" s="124" t="n"/>
      <c r="RZB65" s="266" t="n"/>
      <c r="RZE65" s="297" t="n"/>
      <c r="RZN65" s="124" t="n"/>
      <c r="RZO65" s="266" t="n"/>
      <c r="RZR65" s="297" t="n"/>
      <c r="SAA65" s="124" t="n"/>
      <c r="SAB65" s="266" t="n"/>
      <c r="SAE65" s="297" t="n"/>
      <c r="SAN65" s="124" t="n"/>
      <c r="SAO65" s="266" t="n"/>
      <c r="SAR65" s="297" t="n"/>
      <c r="SBA65" s="124" t="n"/>
      <c r="SBB65" s="266" t="n"/>
      <c r="SBE65" s="297" t="n"/>
      <c r="SBN65" s="124" t="n"/>
      <c r="SBO65" s="266" t="n"/>
      <c r="SBR65" s="297" t="n"/>
      <c r="SCA65" s="124" t="n"/>
      <c r="SCB65" s="266" t="n"/>
      <c r="SCE65" s="297" t="n"/>
      <c r="SCN65" s="124" t="n"/>
      <c r="SCO65" s="266" t="n"/>
      <c r="SCR65" s="297" t="n"/>
      <c r="SDA65" s="124" t="n"/>
      <c r="SDB65" s="266" t="n"/>
      <c r="SDE65" s="297" t="n"/>
      <c r="SDN65" s="124" t="n"/>
      <c r="SDO65" s="266" t="n"/>
      <c r="SDR65" s="297" t="n"/>
      <c r="SEA65" s="124" t="n"/>
      <c r="SEB65" s="266" t="n"/>
      <c r="SEE65" s="297" t="n"/>
      <c r="SEN65" s="124" t="n"/>
      <c r="SEO65" s="266" t="n"/>
      <c r="SER65" s="297" t="n"/>
      <c r="SFA65" s="124" t="n"/>
      <c r="SFB65" s="266" t="n"/>
      <c r="SFE65" s="297" t="n"/>
      <c r="SFN65" s="124" t="n"/>
      <c r="SFO65" s="266" t="n"/>
      <c r="SFR65" s="297" t="n"/>
      <c r="SGA65" s="124" t="n"/>
      <c r="SGB65" s="266" t="n"/>
      <c r="SGE65" s="297" t="n"/>
      <c r="SGN65" s="124" t="n"/>
      <c r="SGO65" s="266" t="n"/>
      <c r="SGR65" s="297" t="n"/>
      <c r="SHA65" s="124" t="n"/>
      <c r="SHB65" s="266" t="n"/>
      <c r="SHE65" s="297" t="n"/>
      <c r="SHN65" s="124" t="n"/>
      <c r="SHO65" s="266" t="n"/>
      <c r="SHR65" s="297" t="n"/>
      <c r="SIA65" s="124" t="n"/>
      <c r="SIB65" s="266" t="n"/>
      <c r="SIE65" s="297" t="n"/>
      <c r="SIN65" s="124" t="n"/>
      <c r="SIO65" s="266" t="n"/>
      <c r="SIR65" s="297" t="n"/>
      <c r="SJA65" s="124" t="n"/>
      <c r="SJB65" s="266" t="n"/>
      <c r="SJE65" s="297" t="n"/>
      <c r="SJN65" s="124" t="n"/>
      <c r="SJO65" s="266" t="n"/>
      <c r="SJR65" s="297" t="n"/>
      <c r="SKA65" s="124" t="n"/>
      <c r="SKB65" s="266" t="n"/>
      <c r="SKE65" s="297" t="n"/>
      <c r="SKN65" s="124" t="n"/>
      <c r="SKO65" s="266" t="n"/>
      <c r="SKR65" s="297" t="n"/>
      <c r="SLA65" s="124" t="n"/>
      <c r="SLB65" s="266" t="n"/>
      <c r="SLE65" s="297" t="n"/>
      <c r="SLN65" s="124" t="n"/>
      <c r="SLO65" s="266" t="n"/>
      <c r="SLR65" s="297" t="n"/>
      <c r="SMA65" s="124" t="n"/>
      <c r="SMB65" s="266" t="n"/>
      <c r="SME65" s="297" t="n"/>
      <c r="SMN65" s="124" t="n"/>
      <c r="SMO65" s="266" t="n"/>
      <c r="SMR65" s="297" t="n"/>
      <c r="SNA65" s="124" t="n"/>
      <c r="SNB65" s="266" t="n"/>
      <c r="SNE65" s="297" t="n"/>
      <c r="SNN65" s="124" t="n"/>
      <c r="SNO65" s="266" t="n"/>
      <c r="SNR65" s="297" t="n"/>
      <c r="SOA65" s="124" t="n"/>
      <c r="SOB65" s="266" t="n"/>
      <c r="SOE65" s="297" t="n"/>
      <c r="SON65" s="124" t="n"/>
      <c r="SOO65" s="266" t="n"/>
      <c r="SOR65" s="297" t="n"/>
      <c r="SPA65" s="124" t="n"/>
      <c r="SPB65" s="266" t="n"/>
      <c r="SPE65" s="297" t="n"/>
      <c r="SPN65" s="124" t="n"/>
      <c r="SPO65" s="266" t="n"/>
      <c r="SPR65" s="297" t="n"/>
      <c r="SQA65" s="124" t="n"/>
      <c r="SQB65" s="266" t="n"/>
      <c r="SQE65" s="297" t="n"/>
      <c r="SQN65" s="124" t="n"/>
      <c r="SQO65" s="266" t="n"/>
      <c r="SQR65" s="297" t="n"/>
      <c r="SRA65" s="124" t="n"/>
      <c r="SRB65" s="266" t="n"/>
      <c r="SRE65" s="297" t="n"/>
      <c r="SRN65" s="124" t="n"/>
      <c r="SRO65" s="266" t="n"/>
      <c r="SRR65" s="297" t="n"/>
      <c r="SSA65" s="124" t="n"/>
      <c r="SSB65" s="266" t="n"/>
      <c r="SSE65" s="297" t="n"/>
      <c r="SSN65" s="124" t="n"/>
      <c r="SSO65" s="266" t="n"/>
      <c r="SSR65" s="297" t="n"/>
      <c r="STA65" s="124" t="n"/>
      <c r="STB65" s="266" t="n"/>
      <c r="STE65" s="297" t="n"/>
      <c r="STN65" s="124" t="n"/>
      <c r="STO65" s="266" t="n"/>
      <c r="STR65" s="297" t="n"/>
      <c r="SUA65" s="124" t="n"/>
      <c r="SUB65" s="266" t="n"/>
      <c r="SUE65" s="297" t="n"/>
      <c r="SUN65" s="124" t="n"/>
      <c r="SUO65" s="266" t="n"/>
      <c r="SUR65" s="297" t="n"/>
      <c r="SVA65" s="124" t="n"/>
      <c r="SVB65" s="266" t="n"/>
      <c r="SVE65" s="297" t="n"/>
      <c r="SVN65" s="124" t="n"/>
      <c r="SVO65" s="266" t="n"/>
      <c r="SVR65" s="297" t="n"/>
      <c r="SWA65" s="124" t="n"/>
      <c r="SWB65" s="266" t="n"/>
      <c r="SWE65" s="297" t="n"/>
      <c r="SWN65" s="124" t="n"/>
      <c r="SWO65" s="266" t="n"/>
      <c r="SWR65" s="297" t="n"/>
      <c r="SXA65" s="124" t="n"/>
      <c r="SXB65" s="266" t="n"/>
      <c r="SXE65" s="297" t="n"/>
      <c r="SXN65" s="124" t="n"/>
      <c r="SXO65" s="266" t="n"/>
      <c r="SXR65" s="297" t="n"/>
      <c r="SYA65" s="124" t="n"/>
      <c r="SYB65" s="266" t="n"/>
      <c r="SYE65" s="297" t="n"/>
      <c r="SYN65" s="124" t="n"/>
      <c r="SYO65" s="266" t="n"/>
      <c r="SYR65" s="297" t="n"/>
      <c r="SZA65" s="124" t="n"/>
      <c r="SZB65" s="266" t="n"/>
      <c r="SZE65" s="297" t="n"/>
      <c r="SZN65" s="124" t="n"/>
      <c r="SZO65" s="266" t="n"/>
      <c r="SZR65" s="297" t="n"/>
      <c r="TAA65" s="124" t="n"/>
      <c r="TAB65" s="266" t="n"/>
      <c r="TAE65" s="297" t="n"/>
      <c r="TAN65" s="124" t="n"/>
      <c r="TAO65" s="266" t="n"/>
      <c r="TAR65" s="297" t="n"/>
      <c r="TBA65" s="124" t="n"/>
      <c r="TBB65" s="266" t="n"/>
      <c r="TBE65" s="297" t="n"/>
      <c r="TBN65" s="124" t="n"/>
      <c r="TBO65" s="266" t="n"/>
      <c r="TBR65" s="297" t="n"/>
      <c r="TCA65" s="124" t="n"/>
      <c r="TCB65" s="266" t="n"/>
      <c r="TCE65" s="297" t="n"/>
      <c r="TCN65" s="124" t="n"/>
      <c r="TCO65" s="266" t="n"/>
      <c r="TCR65" s="297" t="n"/>
      <c r="TDA65" s="124" t="n"/>
      <c r="TDB65" s="266" t="n"/>
      <c r="TDE65" s="297" t="n"/>
      <c r="TDN65" s="124" t="n"/>
      <c r="TDO65" s="266" t="n"/>
      <c r="TDR65" s="297" t="n"/>
      <c r="TEA65" s="124" t="n"/>
      <c r="TEB65" s="266" t="n"/>
      <c r="TEE65" s="297" t="n"/>
      <c r="TEN65" s="124" t="n"/>
      <c r="TEO65" s="266" t="n"/>
      <c r="TER65" s="297" t="n"/>
      <c r="TFA65" s="124" t="n"/>
      <c r="TFB65" s="266" t="n"/>
      <c r="TFE65" s="297" t="n"/>
      <c r="TFN65" s="124" t="n"/>
      <c r="TFO65" s="266" t="n"/>
      <c r="TFR65" s="297" t="n"/>
      <c r="TGA65" s="124" t="n"/>
      <c r="TGB65" s="266" t="n"/>
      <c r="TGE65" s="297" t="n"/>
      <c r="TGN65" s="124" t="n"/>
      <c r="TGO65" s="266" t="n"/>
      <c r="TGR65" s="297" t="n"/>
      <c r="THA65" s="124" t="n"/>
      <c r="THB65" s="266" t="n"/>
      <c r="THE65" s="297" t="n"/>
      <c r="THN65" s="124" t="n"/>
      <c r="THO65" s="266" t="n"/>
      <c r="THR65" s="297" t="n"/>
      <c r="TIA65" s="124" t="n"/>
      <c r="TIB65" s="266" t="n"/>
      <c r="TIE65" s="297" t="n"/>
      <c r="TIN65" s="124" t="n"/>
      <c r="TIO65" s="266" t="n"/>
      <c r="TIR65" s="297" t="n"/>
      <c r="TJA65" s="124" t="n"/>
      <c r="TJB65" s="266" t="n"/>
      <c r="TJE65" s="297" t="n"/>
      <c r="TJN65" s="124" t="n"/>
      <c r="TJO65" s="266" t="n"/>
      <c r="TJR65" s="297" t="n"/>
      <c r="TKA65" s="124" t="n"/>
      <c r="TKB65" s="266" t="n"/>
      <c r="TKE65" s="297" t="n"/>
      <c r="TKN65" s="124" t="n"/>
      <c r="TKO65" s="266" t="n"/>
      <c r="TKR65" s="297" t="n"/>
      <c r="TLA65" s="124" t="n"/>
      <c r="TLB65" s="266" t="n"/>
      <c r="TLE65" s="297" t="n"/>
      <c r="TLN65" s="124" t="n"/>
      <c r="TLO65" s="266" t="n"/>
      <c r="TLR65" s="297" t="n"/>
      <c r="TMA65" s="124" t="n"/>
      <c r="TMB65" s="266" t="n"/>
      <c r="TME65" s="297" t="n"/>
      <c r="TMN65" s="124" t="n"/>
      <c r="TMO65" s="266" t="n"/>
      <c r="TMR65" s="297" t="n"/>
      <c r="TNA65" s="124" t="n"/>
      <c r="TNB65" s="266" t="n"/>
      <c r="TNE65" s="297" t="n"/>
      <c r="TNN65" s="124" t="n"/>
      <c r="TNO65" s="266" t="n"/>
      <c r="TNR65" s="297" t="n"/>
      <c r="TOA65" s="124" t="n"/>
      <c r="TOB65" s="266" t="n"/>
      <c r="TOE65" s="297" t="n"/>
      <c r="TON65" s="124" t="n"/>
      <c r="TOO65" s="266" t="n"/>
      <c r="TOR65" s="297" t="n"/>
      <c r="TPA65" s="124" t="n"/>
      <c r="TPB65" s="266" t="n"/>
      <c r="TPE65" s="297" t="n"/>
      <c r="TPN65" s="124" t="n"/>
      <c r="TPO65" s="266" t="n"/>
      <c r="TPR65" s="297" t="n"/>
      <c r="TQA65" s="124" t="n"/>
      <c r="TQB65" s="266" t="n"/>
      <c r="TQE65" s="297" t="n"/>
      <c r="TQN65" s="124" t="n"/>
      <c r="TQO65" s="266" t="n"/>
      <c r="TQR65" s="297" t="n"/>
      <c r="TRA65" s="124" t="n"/>
      <c r="TRB65" s="266" t="n"/>
      <c r="TRE65" s="297" t="n"/>
      <c r="TRN65" s="124" t="n"/>
      <c r="TRO65" s="266" t="n"/>
      <c r="TRR65" s="297" t="n"/>
      <c r="TSA65" s="124" t="n"/>
      <c r="TSB65" s="266" t="n"/>
      <c r="TSE65" s="297" t="n"/>
      <c r="TSN65" s="124" t="n"/>
      <c r="TSO65" s="266" t="n"/>
      <c r="TSR65" s="297" t="n"/>
      <c r="TTA65" s="124" t="n"/>
      <c r="TTB65" s="266" t="n"/>
      <c r="TTE65" s="297" t="n"/>
      <c r="TTN65" s="124" t="n"/>
      <c r="TTO65" s="266" t="n"/>
      <c r="TTR65" s="297" t="n"/>
      <c r="TUA65" s="124" t="n"/>
      <c r="TUB65" s="266" t="n"/>
      <c r="TUE65" s="297" t="n"/>
      <c r="TUN65" s="124" t="n"/>
      <c r="TUO65" s="266" t="n"/>
      <c r="TUR65" s="297" t="n"/>
      <c r="TVA65" s="124" t="n"/>
      <c r="TVB65" s="266" t="n"/>
      <c r="TVE65" s="297" t="n"/>
      <c r="TVN65" s="124" t="n"/>
      <c r="TVO65" s="266" t="n"/>
      <c r="TVR65" s="297" t="n"/>
      <c r="TWA65" s="124" t="n"/>
      <c r="TWB65" s="266" t="n"/>
      <c r="TWE65" s="297" t="n"/>
      <c r="TWN65" s="124" t="n"/>
      <c r="TWO65" s="266" t="n"/>
      <c r="TWR65" s="297" t="n"/>
      <c r="TXA65" s="124" t="n"/>
      <c r="TXB65" s="266" t="n"/>
      <c r="TXE65" s="297" t="n"/>
      <c r="TXN65" s="124" t="n"/>
      <c r="TXO65" s="266" t="n"/>
      <c r="TXR65" s="297" t="n"/>
      <c r="TYA65" s="124" t="n"/>
      <c r="TYB65" s="266" t="n"/>
      <c r="TYE65" s="297" t="n"/>
      <c r="TYN65" s="124" t="n"/>
      <c r="TYO65" s="266" t="n"/>
      <c r="TYR65" s="297" t="n"/>
      <c r="TZA65" s="124" t="n"/>
      <c r="TZB65" s="266" t="n"/>
      <c r="TZE65" s="297" t="n"/>
      <c r="TZN65" s="124" t="n"/>
      <c r="TZO65" s="266" t="n"/>
      <c r="TZR65" s="297" t="n"/>
      <c r="UAA65" s="124" t="n"/>
      <c r="UAB65" s="266" t="n"/>
      <c r="UAE65" s="297" t="n"/>
      <c r="UAN65" s="124" t="n"/>
      <c r="UAO65" s="266" t="n"/>
      <c r="UAR65" s="297" t="n"/>
      <c r="UBA65" s="124" t="n"/>
      <c r="UBB65" s="266" t="n"/>
      <c r="UBE65" s="297" t="n"/>
      <c r="UBN65" s="124" t="n"/>
      <c r="UBO65" s="266" t="n"/>
      <c r="UBR65" s="297" t="n"/>
      <c r="UCA65" s="124" t="n"/>
      <c r="UCB65" s="266" t="n"/>
      <c r="UCE65" s="297" t="n"/>
      <c r="UCN65" s="124" t="n"/>
      <c r="UCO65" s="266" t="n"/>
      <c r="UCR65" s="297" t="n"/>
      <c r="UDA65" s="124" t="n"/>
      <c r="UDB65" s="266" t="n"/>
      <c r="UDE65" s="297" t="n"/>
      <c r="UDN65" s="124" t="n"/>
      <c r="UDO65" s="266" t="n"/>
      <c r="UDR65" s="297" t="n"/>
      <c r="UEA65" s="124" t="n"/>
      <c r="UEB65" s="266" t="n"/>
      <c r="UEE65" s="297" t="n"/>
      <c r="UEN65" s="124" t="n"/>
      <c r="UEO65" s="266" t="n"/>
      <c r="UER65" s="297" t="n"/>
      <c r="UFA65" s="124" t="n"/>
      <c r="UFB65" s="266" t="n"/>
      <c r="UFE65" s="297" t="n"/>
      <c r="UFN65" s="124" t="n"/>
      <c r="UFO65" s="266" t="n"/>
      <c r="UFR65" s="297" t="n"/>
      <c r="UGA65" s="124" t="n"/>
      <c r="UGB65" s="266" t="n"/>
      <c r="UGE65" s="297" t="n"/>
      <c r="UGN65" s="124" t="n"/>
      <c r="UGO65" s="266" t="n"/>
      <c r="UGR65" s="297" t="n"/>
      <c r="UHA65" s="124" t="n"/>
      <c r="UHB65" s="266" t="n"/>
      <c r="UHE65" s="297" t="n"/>
      <c r="UHN65" s="124" t="n"/>
      <c r="UHO65" s="266" t="n"/>
      <c r="UHR65" s="297" t="n"/>
      <c r="UIA65" s="124" t="n"/>
      <c r="UIB65" s="266" t="n"/>
      <c r="UIE65" s="297" t="n"/>
      <c r="UIN65" s="124" t="n"/>
      <c r="UIO65" s="266" t="n"/>
      <c r="UIR65" s="297" t="n"/>
      <c r="UJA65" s="124" t="n"/>
      <c r="UJB65" s="266" t="n"/>
      <c r="UJE65" s="297" t="n"/>
      <c r="UJN65" s="124" t="n"/>
      <c r="UJO65" s="266" t="n"/>
      <c r="UJR65" s="297" t="n"/>
      <c r="UKA65" s="124" t="n"/>
      <c r="UKB65" s="266" t="n"/>
      <c r="UKE65" s="297" t="n"/>
      <c r="UKN65" s="124" t="n"/>
      <c r="UKO65" s="266" t="n"/>
      <c r="UKR65" s="297" t="n"/>
      <c r="ULA65" s="124" t="n"/>
      <c r="ULB65" s="266" t="n"/>
      <c r="ULE65" s="297" t="n"/>
      <c r="ULN65" s="124" t="n"/>
      <c r="ULO65" s="266" t="n"/>
      <c r="ULR65" s="297" t="n"/>
      <c r="UMA65" s="124" t="n"/>
      <c r="UMB65" s="266" t="n"/>
      <c r="UME65" s="297" t="n"/>
      <c r="UMN65" s="124" t="n"/>
      <c r="UMO65" s="266" t="n"/>
      <c r="UMR65" s="297" t="n"/>
      <c r="UNA65" s="124" t="n"/>
      <c r="UNB65" s="266" t="n"/>
      <c r="UNE65" s="297" t="n"/>
      <c r="UNN65" s="124" t="n"/>
      <c r="UNO65" s="266" t="n"/>
      <c r="UNR65" s="297" t="n"/>
      <c r="UOA65" s="124" t="n"/>
      <c r="UOB65" s="266" t="n"/>
      <c r="UOE65" s="297" t="n"/>
      <c r="UON65" s="124" t="n"/>
      <c r="UOO65" s="266" t="n"/>
      <c r="UOR65" s="297" t="n"/>
      <c r="UPA65" s="124" t="n"/>
      <c r="UPB65" s="266" t="n"/>
      <c r="UPE65" s="297" t="n"/>
      <c r="UPN65" s="124" t="n"/>
      <c r="UPO65" s="266" t="n"/>
      <c r="UPR65" s="297" t="n"/>
      <c r="UQA65" s="124" t="n"/>
      <c r="UQB65" s="266" t="n"/>
      <c r="UQE65" s="297" t="n"/>
      <c r="UQN65" s="124" t="n"/>
      <c r="UQO65" s="266" t="n"/>
      <c r="UQR65" s="297" t="n"/>
      <c r="URA65" s="124" t="n"/>
      <c r="URB65" s="266" t="n"/>
      <c r="URE65" s="297" t="n"/>
      <c r="URN65" s="124" t="n"/>
      <c r="URO65" s="266" t="n"/>
      <c r="URR65" s="297" t="n"/>
      <c r="USA65" s="124" t="n"/>
      <c r="USB65" s="266" t="n"/>
      <c r="USE65" s="297" t="n"/>
      <c r="USN65" s="124" t="n"/>
      <c r="USO65" s="266" t="n"/>
      <c r="USR65" s="297" t="n"/>
      <c r="UTA65" s="124" t="n"/>
      <c r="UTB65" s="266" t="n"/>
      <c r="UTE65" s="297" t="n"/>
      <c r="UTN65" s="124" t="n"/>
      <c r="UTO65" s="266" t="n"/>
      <c r="UTR65" s="297" t="n"/>
      <c r="UUA65" s="124" t="n"/>
      <c r="UUB65" s="266" t="n"/>
      <c r="UUE65" s="297" t="n"/>
      <c r="UUN65" s="124" t="n"/>
      <c r="UUO65" s="266" t="n"/>
      <c r="UUR65" s="297" t="n"/>
      <c r="UVA65" s="124" t="n"/>
      <c r="UVB65" s="266" t="n"/>
      <c r="UVE65" s="297" t="n"/>
      <c r="UVN65" s="124" t="n"/>
      <c r="UVO65" s="266" t="n"/>
      <c r="UVR65" s="297" t="n"/>
      <c r="UWA65" s="124" t="n"/>
      <c r="UWB65" s="266" t="n"/>
      <c r="UWE65" s="297" t="n"/>
      <c r="UWN65" s="124" t="n"/>
      <c r="UWO65" s="266" t="n"/>
      <c r="UWR65" s="297" t="n"/>
      <c r="UXA65" s="124" t="n"/>
      <c r="UXB65" s="266" t="n"/>
      <c r="UXE65" s="297" t="n"/>
      <c r="UXN65" s="124" t="n"/>
      <c r="UXO65" s="266" t="n"/>
      <c r="UXR65" s="297" t="n"/>
      <c r="UYA65" s="124" t="n"/>
      <c r="UYB65" s="266" t="n"/>
      <c r="UYE65" s="297" t="n"/>
      <c r="UYN65" s="124" t="n"/>
      <c r="UYO65" s="266" t="n"/>
      <c r="UYR65" s="297" t="n"/>
      <c r="UZA65" s="124" t="n"/>
      <c r="UZB65" s="266" t="n"/>
      <c r="UZE65" s="297" t="n"/>
      <c r="UZN65" s="124" t="n"/>
      <c r="UZO65" s="266" t="n"/>
      <c r="UZR65" s="297" t="n"/>
      <c r="VAA65" s="124" t="n"/>
      <c r="VAB65" s="266" t="n"/>
      <c r="VAE65" s="297" t="n"/>
      <c r="VAN65" s="124" t="n"/>
      <c r="VAO65" s="266" t="n"/>
      <c r="VAR65" s="297" t="n"/>
      <c r="VBA65" s="124" t="n"/>
      <c r="VBB65" s="266" t="n"/>
      <c r="VBE65" s="297" t="n"/>
      <c r="VBN65" s="124" t="n"/>
      <c r="VBO65" s="266" t="n"/>
      <c r="VBR65" s="297" t="n"/>
      <c r="VCA65" s="124" t="n"/>
      <c r="VCB65" s="266" t="n"/>
      <c r="VCE65" s="297" t="n"/>
      <c r="VCN65" s="124" t="n"/>
      <c r="VCO65" s="266" t="n"/>
      <c r="VCR65" s="297" t="n"/>
      <c r="VDA65" s="124" t="n"/>
      <c r="VDB65" s="266" t="n"/>
      <c r="VDE65" s="297" t="n"/>
      <c r="VDN65" s="124" t="n"/>
      <c r="VDO65" s="266" t="n"/>
      <c r="VDR65" s="297" t="n"/>
      <c r="VEA65" s="124" t="n"/>
      <c r="VEB65" s="266" t="n"/>
      <c r="VEE65" s="297" t="n"/>
      <c r="VEN65" s="124" t="n"/>
      <c r="VEO65" s="266" t="n"/>
      <c r="VER65" s="297" t="n"/>
      <c r="VFA65" s="124" t="n"/>
      <c r="VFB65" s="266" t="n"/>
      <c r="VFE65" s="297" t="n"/>
      <c r="VFN65" s="124" t="n"/>
      <c r="VFO65" s="266" t="n"/>
      <c r="VFR65" s="297" t="n"/>
      <c r="VGA65" s="124" t="n"/>
      <c r="VGB65" s="266" t="n"/>
      <c r="VGE65" s="297" t="n"/>
      <c r="VGN65" s="124" t="n"/>
      <c r="VGO65" s="266" t="n"/>
      <c r="VGR65" s="297" t="n"/>
      <c r="VHA65" s="124" t="n"/>
      <c r="VHB65" s="266" t="n"/>
      <c r="VHE65" s="297" t="n"/>
      <c r="VHN65" s="124" t="n"/>
      <c r="VHO65" s="266" t="n"/>
      <c r="VHR65" s="297" t="n"/>
      <c r="VIA65" s="124" t="n"/>
      <c r="VIB65" s="266" t="n"/>
      <c r="VIE65" s="297" t="n"/>
      <c r="VIN65" s="124" t="n"/>
      <c r="VIO65" s="266" t="n"/>
      <c r="VIR65" s="297" t="n"/>
      <c r="VJA65" s="124" t="n"/>
      <c r="VJB65" s="266" t="n"/>
      <c r="VJE65" s="297" t="n"/>
      <c r="VJN65" s="124" t="n"/>
      <c r="VJO65" s="266" t="n"/>
      <c r="VJR65" s="297" t="n"/>
      <c r="VKA65" s="124" t="n"/>
      <c r="VKB65" s="266" t="n"/>
      <c r="VKE65" s="297" t="n"/>
      <c r="VKN65" s="124" t="n"/>
      <c r="VKO65" s="266" t="n"/>
      <c r="VKR65" s="297" t="n"/>
      <c r="VLA65" s="124" t="n"/>
      <c r="VLB65" s="266" t="n"/>
      <c r="VLE65" s="297" t="n"/>
      <c r="VLN65" s="124" t="n"/>
      <c r="VLO65" s="266" t="n"/>
      <c r="VLR65" s="297" t="n"/>
      <c r="VMA65" s="124" t="n"/>
      <c r="VMB65" s="266" t="n"/>
      <c r="VME65" s="297" t="n"/>
      <c r="VMN65" s="124" t="n"/>
      <c r="VMO65" s="266" t="n"/>
      <c r="VMR65" s="297" t="n"/>
      <c r="VNA65" s="124" t="n"/>
      <c r="VNB65" s="266" t="n"/>
      <c r="VNE65" s="297" t="n"/>
      <c r="VNN65" s="124" t="n"/>
      <c r="VNO65" s="266" t="n"/>
      <c r="VNR65" s="297" t="n"/>
      <c r="VOA65" s="124" t="n"/>
      <c r="VOB65" s="266" t="n"/>
      <c r="VOE65" s="297" t="n"/>
      <c r="VON65" s="124" t="n"/>
      <c r="VOO65" s="266" t="n"/>
      <c r="VOR65" s="297" t="n"/>
      <c r="VPA65" s="124" t="n"/>
      <c r="VPB65" s="266" t="n"/>
      <c r="VPE65" s="297" t="n"/>
      <c r="VPN65" s="124" t="n"/>
      <c r="VPO65" s="266" t="n"/>
      <c r="VPR65" s="297" t="n"/>
      <c r="VQA65" s="124" t="n"/>
      <c r="VQB65" s="266" t="n"/>
      <c r="VQE65" s="297" t="n"/>
      <c r="VQN65" s="124" t="n"/>
      <c r="VQO65" s="266" t="n"/>
      <c r="VQR65" s="297" t="n"/>
      <c r="VRA65" s="124" t="n"/>
      <c r="VRB65" s="266" t="n"/>
      <c r="VRE65" s="297" t="n"/>
      <c r="VRN65" s="124" t="n"/>
      <c r="VRO65" s="266" t="n"/>
      <c r="VRR65" s="297" t="n"/>
      <c r="VSA65" s="124" t="n"/>
      <c r="VSB65" s="266" t="n"/>
      <c r="VSE65" s="297" t="n"/>
      <c r="VSN65" s="124" t="n"/>
      <c r="VSO65" s="266" t="n"/>
      <c r="VSR65" s="297" t="n"/>
      <c r="VTA65" s="124" t="n"/>
      <c r="VTB65" s="266" t="n"/>
      <c r="VTE65" s="297" t="n"/>
      <c r="VTN65" s="124" t="n"/>
      <c r="VTO65" s="266" t="n"/>
      <c r="VTR65" s="297" t="n"/>
      <c r="VUA65" s="124" t="n"/>
      <c r="VUB65" s="266" t="n"/>
      <c r="VUE65" s="297" t="n"/>
      <c r="VUN65" s="124" t="n"/>
      <c r="VUO65" s="266" t="n"/>
      <c r="VUR65" s="297" t="n"/>
      <c r="VVA65" s="124" t="n"/>
      <c r="VVB65" s="266" t="n"/>
      <c r="VVE65" s="297" t="n"/>
      <c r="VVN65" s="124" t="n"/>
      <c r="VVO65" s="266" t="n"/>
      <c r="VVR65" s="297" t="n"/>
      <c r="VWA65" s="124" t="n"/>
      <c r="VWB65" s="266" t="n"/>
      <c r="VWE65" s="297" t="n"/>
      <c r="VWN65" s="124" t="n"/>
      <c r="VWO65" s="266" t="n"/>
      <c r="VWR65" s="297" t="n"/>
      <c r="VXA65" s="124" t="n"/>
      <c r="VXB65" s="266" t="n"/>
      <c r="VXE65" s="297" t="n"/>
      <c r="VXN65" s="124" t="n"/>
      <c r="VXO65" s="266" t="n"/>
      <c r="VXR65" s="297" t="n"/>
      <c r="VYA65" s="124" t="n"/>
      <c r="VYB65" s="266" t="n"/>
      <c r="VYE65" s="297" t="n"/>
      <c r="VYN65" s="124" t="n"/>
      <c r="VYO65" s="266" t="n"/>
      <c r="VYR65" s="297" t="n"/>
      <c r="VZA65" s="124" t="n"/>
      <c r="VZB65" s="266" t="n"/>
      <c r="VZE65" s="297" t="n"/>
      <c r="VZN65" s="124" t="n"/>
      <c r="VZO65" s="266" t="n"/>
      <c r="VZR65" s="297" t="n"/>
      <c r="WAA65" s="124" t="n"/>
      <c r="WAB65" s="266" t="n"/>
      <c r="WAE65" s="297" t="n"/>
      <c r="WAN65" s="124" t="n"/>
      <c r="WAO65" s="266" t="n"/>
      <c r="WAR65" s="297" t="n"/>
      <c r="WBA65" s="124" t="n"/>
      <c r="WBB65" s="266" t="n"/>
      <c r="WBE65" s="297" t="n"/>
      <c r="WBN65" s="124" t="n"/>
      <c r="WBO65" s="266" t="n"/>
      <c r="WBR65" s="297" t="n"/>
      <c r="WCA65" s="124" t="n"/>
      <c r="WCB65" s="266" t="n"/>
      <c r="WCE65" s="297" t="n"/>
      <c r="WCN65" s="124" t="n"/>
      <c r="WCO65" s="266" t="n"/>
      <c r="WCR65" s="297" t="n"/>
      <c r="WDA65" s="124" t="n"/>
      <c r="WDB65" s="266" t="n"/>
      <c r="WDE65" s="297" t="n"/>
      <c r="WDN65" s="124" t="n"/>
      <c r="WDO65" s="266" t="n"/>
      <c r="WDR65" s="297" t="n"/>
      <c r="WEA65" s="124" t="n"/>
      <c r="WEB65" s="266" t="n"/>
      <c r="WEE65" s="297" t="n"/>
      <c r="WEN65" s="124" t="n"/>
      <c r="WEO65" s="266" t="n"/>
      <c r="WER65" s="297" t="n"/>
      <c r="WFA65" s="124" t="n"/>
      <c r="WFB65" s="266" t="n"/>
      <c r="WFE65" s="297" t="n"/>
      <c r="WFN65" s="124" t="n"/>
      <c r="WFO65" s="266" t="n"/>
      <c r="WFR65" s="297" t="n"/>
      <c r="WGA65" s="124" t="n"/>
      <c r="WGB65" s="266" t="n"/>
      <c r="WGE65" s="297" t="n"/>
      <c r="WGN65" s="124" t="n"/>
      <c r="WGO65" s="266" t="n"/>
      <c r="WGR65" s="297" t="n"/>
      <c r="WHA65" s="124" t="n"/>
      <c r="WHB65" s="266" t="n"/>
      <c r="WHE65" s="297" t="n"/>
      <c r="WHN65" s="124" t="n"/>
      <c r="WHO65" s="266" t="n"/>
      <c r="WHR65" s="297" t="n"/>
      <c r="WIA65" s="124" t="n"/>
      <c r="WIB65" s="266" t="n"/>
      <c r="WIE65" s="297" t="n"/>
      <c r="WIN65" s="124" t="n"/>
      <c r="WIO65" s="266" t="n"/>
      <c r="WIR65" s="297" t="n"/>
      <c r="WJA65" s="124" t="n"/>
      <c r="WJB65" s="266" t="n"/>
      <c r="WJE65" s="297" t="n"/>
      <c r="WJN65" s="124" t="n"/>
      <c r="WJO65" s="266" t="n"/>
      <c r="WJR65" s="297" t="n"/>
      <c r="WKA65" s="124" t="n"/>
      <c r="WKB65" s="266" t="n"/>
      <c r="WKE65" s="297" t="n"/>
      <c r="WKN65" s="124" t="n"/>
      <c r="WKO65" s="266" t="n"/>
      <c r="WKR65" s="297" t="n"/>
      <c r="WLA65" s="124" t="n"/>
      <c r="WLB65" s="266" t="n"/>
      <c r="WLE65" s="297" t="n"/>
      <c r="WLN65" s="124" t="n"/>
      <c r="WLO65" s="266" t="n"/>
      <c r="WLR65" s="297" t="n"/>
      <c r="WMA65" s="124" t="n"/>
      <c r="WMB65" s="266" t="n"/>
      <c r="WME65" s="297" t="n"/>
      <c r="WMN65" s="124" t="n"/>
      <c r="WMO65" s="266" t="n"/>
      <c r="WMR65" s="297" t="n"/>
      <c r="WNA65" s="124" t="n"/>
      <c r="WNB65" s="266" t="n"/>
      <c r="WNE65" s="297" t="n"/>
      <c r="WNN65" s="124" t="n"/>
      <c r="WNO65" s="266" t="n"/>
      <c r="WNR65" s="297" t="n"/>
      <c r="WOA65" s="124" t="n"/>
      <c r="WOB65" s="266" t="n"/>
      <c r="WOE65" s="297" t="n"/>
      <c r="WON65" s="124" t="n"/>
      <c r="WOO65" s="266" t="n"/>
      <c r="WOR65" s="297" t="n"/>
      <c r="WPA65" s="124" t="n"/>
      <c r="WPB65" s="266" t="n"/>
      <c r="WPE65" s="297" t="n"/>
      <c r="WPN65" s="124" t="n"/>
      <c r="WPO65" s="266" t="n"/>
      <c r="WPR65" s="297" t="n"/>
      <c r="WQA65" s="124" t="n"/>
      <c r="WQB65" s="266" t="n"/>
      <c r="WQE65" s="297" t="n"/>
      <c r="WQN65" s="124" t="n"/>
      <c r="WQO65" s="266" t="n"/>
      <c r="WQR65" s="297" t="n"/>
      <c r="WRA65" s="124" t="n"/>
      <c r="WRB65" s="266" t="n"/>
      <c r="WRE65" s="297" t="n"/>
      <c r="WRN65" s="124" t="n"/>
      <c r="WRO65" s="266" t="n"/>
      <c r="WRR65" s="297" t="n"/>
      <c r="WSA65" s="124" t="n"/>
      <c r="WSB65" s="266" t="n"/>
      <c r="WSE65" s="297" t="n"/>
      <c r="WSN65" s="124" t="n"/>
      <c r="WSO65" s="266" t="n"/>
      <c r="WSR65" s="297" t="n"/>
      <c r="WTA65" s="124" t="n"/>
      <c r="WTB65" s="266" t="n"/>
      <c r="WTE65" s="297" t="n"/>
      <c r="WTN65" s="124" t="n"/>
      <c r="WTO65" s="266" t="n"/>
      <c r="WTR65" s="297" t="n"/>
      <c r="WUA65" s="124" t="n"/>
      <c r="WUB65" s="266" t="n"/>
      <c r="WUE65" s="297" t="n"/>
      <c r="WUN65" s="124" t="n"/>
      <c r="WUO65" s="266" t="n"/>
      <c r="WUR65" s="297" t="n"/>
      <c r="WVA65" s="124" t="n"/>
      <c r="WVB65" s="266" t="n"/>
      <c r="WVE65" s="297" t="n"/>
      <c r="WVN65" s="124" t="n"/>
      <c r="WVO65" s="266" t="n"/>
      <c r="WVR65" s="297" t="n"/>
      <c r="WWA65" s="124" t="n"/>
      <c r="WWB65" s="266" t="n"/>
      <c r="WWE65" s="297" t="n"/>
      <c r="WWN65" s="124" t="n"/>
      <c r="WWO65" s="266" t="n"/>
      <c r="WWR65" s="297" t="n"/>
      <c r="WXA65" s="124" t="n"/>
      <c r="WXB65" s="266" t="n"/>
      <c r="WXE65" s="297" t="n"/>
      <c r="WXN65" s="124" t="n"/>
      <c r="WXO65" s="266" t="n"/>
      <c r="WXR65" s="297" t="n"/>
      <c r="WYA65" s="124" t="n"/>
      <c r="WYB65" s="266" t="n"/>
      <c r="WYE65" s="297" t="n"/>
      <c r="WYN65" s="124" t="n"/>
      <c r="WYO65" s="266" t="n"/>
      <c r="WYR65" s="297" t="n"/>
      <c r="WZA65" s="124" t="n"/>
      <c r="WZB65" s="266" t="n"/>
      <c r="WZE65" s="297" t="n"/>
      <c r="WZN65" s="124" t="n"/>
      <c r="WZO65" s="266" t="n"/>
      <c r="WZR65" s="297" t="n"/>
      <c r="XAA65" s="124" t="n"/>
      <c r="XAB65" s="266" t="n"/>
      <c r="XAE65" s="297" t="n"/>
      <c r="XAN65" s="124" t="n"/>
      <c r="XAO65" s="266" t="n"/>
      <c r="XAR65" s="297" t="n"/>
      <c r="XBA65" s="124" t="n"/>
      <c r="XBB65" s="266" t="n"/>
      <c r="XBE65" s="297" t="n"/>
      <c r="XBN65" s="124" t="n"/>
      <c r="XBO65" s="266" t="n"/>
      <c r="XBR65" s="297" t="n"/>
      <c r="XCA65" s="124" t="n"/>
      <c r="XCB65" s="266" t="n"/>
      <c r="XCE65" s="297" t="n"/>
      <c r="XCN65" s="124" t="n"/>
      <c r="XCO65" s="266" t="n"/>
      <c r="XCR65" s="297" t="n"/>
      <c r="XDA65" s="124" t="n"/>
      <c r="XDB65" s="266" t="n"/>
      <c r="XDE65" s="297" t="n"/>
      <c r="XDN65" s="124" t="n"/>
      <c r="XDO65" s="266" t="n"/>
      <c r="XDR65" s="297" t="n"/>
      <c r="XEA65" s="124" t="n"/>
      <c r="XEB65" s="266" t="n"/>
      <c r="XEE65" s="297" t="n"/>
      <c r="XEN65" s="124" t="n"/>
      <c r="XEO65" s="266" t="n"/>
      <c r="XER65" s="297" t="n"/>
      <c r="XFA65" s="124" t="n"/>
      <c r="XFB65" s="266" t="n"/>
    </row>
    <row r="66" ht="15" customHeight="1">
      <c r="A66" s="3" t="n"/>
      <c r="B66" s="255" t="inlineStr">
        <is>
          <t>Download Crosstab into MDVR folder post changes</t>
        </is>
      </c>
      <c r="C66" s="347" t="n"/>
      <c r="D66" s="249" t="n"/>
      <c r="E66" s="255" t="n"/>
      <c r="F66" s="347" t="n"/>
      <c r="G66" s="347" t="n"/>
      <c r="H66" s="347" t="n"/>
      <c r="I66" s="347" t="n"/>
      <c r="J66" s="347" t="n"/>
      <c r="K66" s="347" t="n"/>
      <c r="L66" s="347" t="n"/>
      <c r="M66" s="249" t="n"/>
    </row>
    <row r="67" ht="15" customHeight="1">
      <c r="A67" s="3" t="n"/>
      <c r="B67" s="286" t="inlineStr">
        <is>
          <t>Email AQS File to Data uploader (Bart)</t>
        </is>
      </c>
      <c r="C67" s="91" t="n"/>
      <c r="D67" s="276" t="n"/>
      <c r="E67" s="286" t="n"/>
      <c r="F67" s="91" t="n"/>
      <c r="G67" s="91" t="n"/>
      <c r="H67" s="91" t="n"/>
      <c r="I67" s="91" t="n"/>
      <c r="J67" s="91" t="n"/>
      <c r="K67" s="91" t="n"/>
      <c r="L67" s="91" t="n"/>
      <c r="M67" s="276" t="n"/>
    </row>
    <row r="68" ht="15" customHeight="1">
      <c r="A68" s="3" t="n"/>
      <c r="B68" s="255" t="inlineStr">
        <is>
          <t>Calculate and store recoveries below</t>
        </is>
      </c>
      <c r="C68" s="347" t="n"/>
      <c r="D68" s="249" t="n"/>
      <c r="E68" s="255" t="n"/>
      <c r="F68" s="347" t="n"/>
      <c r="G68" s="347" t="n"/>
      <c r="H68" s="347" t="n"/>
      <c r="I68" s="347" t="n"/>
      <c r="J68" s="347" t="n"/>
      <c r="K68" s="347" t="n"/>
      <c r="L68" s="347" t="n"/>
      <c r="M68" s="249" t="n"/>
    </row>
    <row r="69" ht="15" customHeight="1">
      <c r="A69" s="3" t="n"/>
      <c r="B69" s="255" t="inlineStr">
        <is>
          <t>Zip data folder (including raw, rst, tx0, mtd, seq)</t>
        </is>
      </c>
      <c r="C69" s="347" t="n"/>
      <c r="D69" s="249" t="n"/>
      <c r="E69" s="255" t="n"/>
      <c r="F69" s="347" t="n"/>
      <c r="G69" s="347" t="n"/>
      <c r="H69" s="347" t="n"/>
      <c r="I69" s="347" t="n"/>
      <c r="J69" s="347" t="n"/>
      <c r="K69" s="347" t="n"/>
      <c r="L69" s="347" t="n"/>
      <c r="M69" s="249" t="n"/>
    </row>
    <row r="70" ht="15" customHeight="1">
      <c r="A70" s="3" t="n"/>
      <c r="B70" s="255" t="inlineStr">
        <is>
          <t>Move Xyymmdd.zip to U:\PLAN\AMC\GC-Agilent+Markes\Data\FINAL</t>
        </is>
      </c>
      <c r="C70" s="347" t="n"/>
      <c r="D70" s="249" t="n"/>
      <c r="E70" s="255" t="n"/>
      <c r="F70" s="347" t="n"/>
      <c r="G70" s="347" t="n"/>
      <c r="H70" s="347" t="n"/>
      <c r="I70" s="347" t="n"/>
      <c r="J70" s="347" t="n"/>
      <c r="K70" s="347" t="n"/>
      <c r="L70" s="347" t="n"/>
      <c r="M70" s="249" t="n"/>
    </row>
    <row r="71">
      <c r="A71" s="3" t="n"/>
      <c r="B71" s="255" t="n"/>
      <c r="C71" s="347" t="n"/>
      <c r="D71" s="249" t="n"/>
      <c r="E71" s="255" t="n"/>
      <c r="F71" s="347" t="n"/>
      <c r="G71" s="347" t="n"/>
      <c r="H71" s="347" t="n"/>
      <c r="I71" s="347" t="n"/>
      <c r="J71" s="347" t="n"/>
      <c r="K71" s="347" t="n"/>
      <c r="L71" s="347" t="n"/>
      <c r="M71" s="249" t="n"/>
    </row>
    <row r="72">
      <c r="A72" s="3" t="n"/>
      <c r="B72" s="255" t="n"/>
      <c r="C72" s="347" t="n"/>
      <c r="D72" s="249" t="n"/>
      <c r="E72" s="255" t="n"/>
      <c r="F72" s="347" t="n"/>
      <c r="G72" s="347" t="n"/>
      <c r="H72" s="347" t="n"/>
      <c r="I72" s="347" t="n"/>
      <c r="J72" s="347" t="n"/>
      <c r="K72" s="347" t="n"/>
      <c r="L72" s="347" t="n"/>
      <c r="M72" s="249" t="n"/>
    </row>
    <row r="73">
      <c r="A73" s="3" t="n"/>
      <c r="B73" s="255" t="n"/>
      <c r="C73" s="347" t="n"/>
      <c r="D73" s="249" t="n"/>
      <c r="E73" s="255" t="n"/>
      <c r="F73" s="347" t="n"/>
      <c r="G73" s="347" t="n"/>
      <c r="H73" s="347" t="n"/>
      <c r="I73" s="347" t="n"/>
      <c r="J73" s="347" t="n"/>
      <c r="K73" s="347" t="n"/>
      <c r="L73" s="347" t="n"/>
      <c r="M73" s="249" t="n"/>
    </row>
    <row r="74">
      <c r="A74" s="248" t="n"/>
      <c r="B74" s="255" t="n"/>
      <c r="C74" s="347" t="n"/>
      <c r="D74" s="249" t="n"/>
      <c r="E74" s="255" t="n"/>
      <c r="F74" s="347" t="n"/>
      <c r="G74" s="347" t="n"/>
      <c r="H74" s="347" t="n"/>
      <c r="I74" s="347" t="n"/>
      <c r="J74" s="347" t="n"/>
      <c r="K74" s="347" t="n"/>
      <c r="L74" s="347" t="n"/>
      <c r="M74" s="249" t="n"/>
    </row>
    <row r="75">
      <c r="A75" s="248" t="n"/>
      <c r="B75" s="255" t="n"/>
      <c r="C75" s="347" t="n"/>
      <c r="D75" s="249" t="n"/>
      <c r="E75" s="255" t="n"/>
      <c r="F75" s="347" t="n"/>
      <c r="G75" s="347" t="n"/>
      <c r="H75" s="347" t="n"/>
      <c r="I75" s="347" t="n"/>
      <c r="J75" s="347" t="n"/>
      <c r="K75" s="347" t="n"/>
      <c r="L75" s="347" t="n"/>
      <c r="M75" s="249" t="n"/>
    </row>
    <row r="76">
      <c r="A76" s="248" t="n"/>
      <c r="B76" s="255" t="n"/>
      <c r="C76" s="347" t="n"/>
      <c r="D76" s="249" t="n"/>
      <c r="E76" s="255" t="n"/>
      <c r="F76" s="347" t="n"/>
      <c r="G76" s="347" t="n"/>
      <c r="H76" s="347" t="n"/>
      <c r="I76" s="347" t="n"/>
      <c r="J76" s="347" t="n"/>
      <c r="K76" s="347" t="n"/>
      <c r="L76" s="347" t="n"/>
      <c r="M76" s="249" t="n"/>
    </row>
    <row r="77">
      <c r="E77" s="255" t="n"/>
      <c r="F77" s="347" t="n"/>
      <c r="G77" s="347" t="n"/>
      <c r="H77" s="347" t="n"/>
      <c r="I77" s="347" t="n"/>
      <c r="J77" s="347" t="n"/>
      <c r="K77" s="347" t="n"/>
      <c r="L77" s="347" t="n"/>
      <c r="M77" s="249" t="n"/>
    </row>
    <row r="78">
      <c r="E78" s="266" t="n"/>
      <c r="F78" s="266" t="n"/>
      <c r="G78" s="266" t="n"/>
      <c r="H78" s="266" t="n"/>
      <c r="I78" s="266" t="n"/>
      <c r="J78" s="266" t="n"/>
      <c r="K78" s="266" t="n"/>
      <c r="L78" s="266" t="n"/>
      <c r="M78" s="266" t="n"/>
    </row>
    <row r="79">
      <c r="B79" s="293" t="inlineStr">
        <is>
          <t>File Archive and AQS Upload</t>
        </is>
      </c>
      <c r="C79" s="347" t="n"/>
      <c r="D79" s="347" t="n"/>
      <c r="E79" s="249" t="n"/>
    </row>
    <row r="80" ht="15" customHeight="1">
      <c r="B80" s="81" t="inlineStr">
        <is>
          <t>AQS File Date</t>
        </is>
      </c>
      <c r="C80" s="82" t="inlineStr">
        <is>
          <t>AQS File Name (MMMYYYYXX)</t>
        </is>
      </c>
      <c r="D80" s="294" t="inlineStr">
        <is>
          <t>Total # of Records</t>
        </is>
      </c>
      <c r="E80" s="249" t="n"/>
    </row>
    <row r="81">
      <c r="B81" s="83" t="n"/>
      <c r="C81" s="84" t="n"/>
      <c r="D81" s="295" t="n"/>
      <c r="E81" s="249" t="n"/>
    </row>
    <row r="82" ht="15" customHeight="1">
      <c r="B82" s="81" t="inlineStr">
        <is>
          <t>Applied Validation Lock</t>
        </is>
      </c>
      <c r="C82" s="81" t="inlineStr">
        <is>
          <t>Archive File Name (HWyymmdd.zip)</t>
        </is>
      </c>
      <c r="D82" s="294" t="inlineStr">
        <is>
          <t>Date File Archived</t>
        </is>
      </c>
      <c r="E82" s="249" t="n"/>
    </row>
    <row r="83">
      <c r="B83" s="83" t="n"/>
      <c r="C83" s="83" t="n"/>
      <c r="D83" s="296" t="n"/>
      <c r="E83" s="249" t="n"/>
    </row>
    <row r="84">
      <c r="B84" s="293" t="inlineStr">
        <is>
          <t>Data Completeness Report from Orset MAX</t>
        </is>
      </c>
      <c r="C84" s="347" t="n"/>
      <c r="D84" s="347" t="n"/>
      <c r="E84" s="249" t="n"/>
    </row>
    <row r="85" ht="30" customHeight="1">
      <c r="B85" s="81" t="inlineStr">
        <is>
          <t>Date data recovery</t>
        </is>
      </c>
      <c r="C85" s="82" t="inlineStr">
        <is>
          <t>Total Valid Ambient Hours</t>
        </is>
      </c>
      <c r="D85" s="82" t="inlineStr">
        <is>
          <t>Total Null Flagged QC</t>
        </is>
      </c>
      <c r="E85" s="82" t="inlineStr">
        <is>
          <t>Total Invalid Hours</t>
        </is>
      </c>
    </row>
    <row r="86">
      <c r="B86" s="83" t="n"/>
      <c r="C86" s="109" t="n"/>
      <c r="D86" s="84" t="n"/>
      <c r="E86" s="84" t="n"/>
    </row>
    <row r="87" ht="30.75" customHeight="1">
      <c r="B87" s="85" t="inlineStr">
        <is>
          <t>Hours in Time Period</t>
        </is>
      </c>
      <c r="C87" s="82" t="inlineStr">
        <is>
          <t>Valid Ambient Recovery (%)</t>
        </is>
      </c>
      <c r="D87" s="82" t="inlineStr">
        <is>
          <t>Totl Valid Ambient Plus QC</t>
        </is>
      </c>
      <c r="E87" s="82" t="inlineStr">
        <is>
          <t>% Data Return adjusted for QC</t>
        </is>
      </c>
    </row>
    <row r="88" ht="15" customHeight="1">
      <c r="B88" s="80" t="n"/>
      <c r="C88" s="86">
        <f>(C86/B88)</f>
        <v/>
      </c>
      <c r="D88" s="87">
        <f>C86+D86</f>
        <v/>
      </c>
      <c r="E88" s="88">
        <f>(D88/B88)</f>
        <v/>
      </c>
    </row>
    <row r="89">
      <c r="B89" s="292" t="inlineStr">
        <is>
          <t>*Report is based on the sample name in the tx0 or tx1 file.</t>
        </is>
      </c>
      <c r="C89" s="7" t="n"/>
      <c r="D89" s="7" t="n"/>
      <c r="E89" s="7" t="n"/>
    </row>
    <row r="156">
      <c r="Z156" t="inlineStr">
        <is>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is>
      </c>
    </row>
  </sheetData>
  <mergeCells count="2657">
    <mergeCell ref="RLE65:RLM65"/>
    <mergeCell ref="ASE65:ASM65"/>
    <mergeCell ref="UXO65:UXQ65"/>
    <mergeCell ref="KHR65:KHZ65"/>
    <mergeCell ref="ORO65:ORQ65"/>
    <mergeCell ref="EEO65:EEQ65"/>
    <mergeCell ref="CGB65:CGD65"/>
    <mergeCell ref="TCR65:TCZ65"/>
    <mergeCell ref="RIO65:RIQ65"/>
    <mergeCell ref="CJR65:CJZ65"/>
    <mergeCell ref="GSR65:GSZ65"/>
    <mergeCell ref="IDR65:IDZ65"/>
    <mergeCell ref="GJO65:GJQ65"/>
    <mergeCell ref="PNR65:PNZ65"/>
    <mergeCell ref="IKE65:IKM65"/>
    <mergeCell ref="AIO65:AIQ65"/>
    <mergeCell ref="IBB65:IBD65"/>
    <mergeCell ref="JCR65:JCZ65"/>
    <mergeCell ref="NMO65:NMQ65"/>
    <mergeCell ref="VFB65:VFD65"/>
    <mergeCell ref="OBO65:OBQ65"/>
    <mergeCell ref="CNO65:CNQ65"/>
    <mergeCell ref="TKE65:TKM65"/>
    <mergeCell ref="FNR65:FNZ65"/>
    <mergeCell ref="RQB65:RQD65"/>
    <mergeCell ref="PVE65:PVM65"/>
    <mergeCell ref="BYR65:BYZ65"/>
    <mergeCell ref="THO65:THQ65"/>
    <mergeCell ref="LFB65:LFD65"/>
    <mergeCell ref="E12:M12"/>
    <mergeCell ref="APE65:APM65"/>
    <mergeCell ref="LIR65:LIZ65"/>
    <mergeCell ref="VVR65:VVZ65"/>
    <mergeCell ref="JKE65:JKM65"/>
    <mergeCell ref="NUB65:NUD65"/>
    <mergeCell ref="CGR65:CGZ65"/>
    <mergeCell ref="E14:M14"/>
    <mergeCell ref="WOE65:WOM65"/>
    <mergeCell ref="FVE65:FVM65"/>
    <mergeCell ref="HJB65:HJD65"/>
    <mergeCell ref="HMR65:HMZ65"/>
    <mergeCell ref="A17:D17"/>
    <mergeCell ref="LVR65:LVZ65"/>
    <mergeCell ref="RCE65:RCM65"/>
    <mergeCell ref="VMB65:VMD65"/>
    <mergeCell ref="AJE65:AJM65"/>
    <mergeCell ref="DUB65:DUD65"/>
    <mergeCell ref="LMO65:LMQ65"/>
    <mergeCell ref="KE65:KM65"/>
    <mergeCell ref="UQR65:UQZ65"/>
    <mergeCell ref="NNE65:NNM65"/>
    <mergeCell ref="VFR65:VFZ65"/>
    <mergeCell ref="BBR65:BBZ65"/>
    <mergeCell ref="FLO65:FLQ65"/>
    <mergeCell ref="NEB65:NED65"/>
    <mergeCell ref="FFE65:FFM65"/>
    <mergeCell ref="PSE65:PSM65"/>
    <mergeCell ref="JPB65:JPD65"/>
    <mergeCell ref="TEO65:TEQ65"/>
    <mergeCell ref="HQO65:HQQ65"/>
    <mergeCell ref="CLO65:CLQ65"/>
    <mergeCell ref="WTB65:WTD65"/>
    <mergeCell ref="HUE65:HUM65"/>
    <mergeCell ref="RJR65:RJZ65"/>
    <mergeCell ref="VTO65:VTQ65"/>
    <mergeCell ref="RR65:RZ65"/>
    <mergeCell ref="DEB65:DED65"/>
    <mergeCell ref="UYE65:UYM65"/>
    <mergeCell ref="NUR65:NUZ65"/>
    <mergeCell ref="E25:M25"/>
    <mergeCell ref="BJE65:BJM65"/>
    <mergeCell ref="FSE65:FSM65"/>
    <mergeCell ref="PIO65:PIQ65"/>
    <mergeCell ref="QLR65:QLZ65"/>
    <mergeCell ref="PME65:PMM65"/>
    <mergeCell ref="SXB65:SXD65"/>
    <mergeCell ref="ONE65:ONM65"/>
    <mergeCell ref="HJR65:HJZ65"/>
    <mergeCell ref="LTO65:LTQ65"/>
    <mergeCell ref="TMB65:TMD65"/>
    <mergeCell ref="IB65:ID65"/>
    <mergeCell ref="KYE65:KYM65"/>
    <mergeCell ref="XAO65:XAQ65"/>
    <mergeCell ref="DUR65:DUZ65"/>
    <mergeCell ref="DLO65:DLQ65"/>
    <mergeCell ref="MPR65:MPZ65"/>
    <mergeCell ref="WFE65:WFM65"/>
    <mergeCell ref="OCE65:OCM65"/>
    <mergeCell ref="FME65:FMM65"/>
    <mergeCell ref="QPO65:QPQ65"/>
    <mergeCell ref="BQR65:BQZ65"/>
    <mergeCell ref="PQB65:PQD65"/>
    <mergeCell ref="SQE65:SQM65"/>
    <mergeCell ref="GER65:GEZ65"/>
    <mergeCell ref="KOO65:KOQ65"/>
    <mergeCell ref="SHB65:SHD65"/>
    <mergeCell ref="HRE65:HRM65"/>
    <mergeCell ref="MBB65:MBD65"/>
    <mergeCell ref="PBE65:PBM65"/>
    <mergeCell ref="D81:E81"/>
    <mergeCell ref="KIE65:KIM65"/>
    <mergeCell ref="UVE65:UVM65"/>
    <mergeCell ref="OSB65:OSD65"/>
    <mergeCell ref="ECE65:ECM65"/>
    <mergeCell ref="JIR65:JIZ65"/>
    <mergeCell ref="MTO65:MTQ65"/>
    <mergeCell ref="HOO65:HOQ65"/>
    <mergeCell ref="FQB65:FQD65"/>
    <mergeCell ref="MXE65:MXM65"/>
    <mergeCell ref="WMR65:WMZ65"/>
    <mergeCell ref="FTR65:FTZ65"/>
    <mergeCell ref="EUR65:EUZ65"/>
    <mergeCell ref="CBB65:CBD65"/>
    <mergeCell ref="SXR65:SXZ65"/>
    <mergeCell ref="GME65:GMM65"/>
    <mergeCell ref="ULO65:ULQ65"/>
    <mergeCell ref="IR65:IZ65"/>
    <mergeCell ref="DSO65:DSQ65"/>
    <mergeCell ref="CTO65:CTQ65"/>
    <mergeCell ref="UPE65:UPM65"/>
    <mergeCell ref="CXE65:CXM65"/>
    <mergeCell ref="MMR65:MMZ65"/>
    <mergeCell ref="QWO65:QWQ65"/>
    <mergeCell ref="ELB65:ELD65"/>
    <mergeCell ref="FXO65:FXQ65"/>
    <mergeCell ref="WUE65:WUM65"/>
    <mergeCell ref="IXR65:IXZ65"/>
    <mergeCell ref="AWB65:AWD65"/>
    <mergeCell ref="IOO65:IOQ65"/>
    <mergeCell ref="BLB65:BLD65"/>
    <mergeCell ref="TFE65:TFM65"/>
    <mergeCell ref="FIR65:FIZ65"/>
    <mergeCell ref="WRO65:WRQ65"/>
    <mergeCell ref="GTR65:GTZ65"/>
    <mergeCell ref="EZO65:EZQ65"/>
    <mergeCell ref="UTB65:UTD65"/>
    <mergeCell ref="QE65:QM65"/>
    <mergeCell ref="EAB65:EAD65"/>
    <mergeCell ref="TXR65:TXZ65"/>
    <mergeCell ref="DER65:DEZ65"/>
    <mergeCell ref="MUE65:MUM65"/>
    <mergeCell ref="REB65:RED65"/>
    <mergeCell ref="UEE65:UEM65"/>
    <mergeCell ref="JFE65:JFM65"/>
    <mergeCell ref="OLR65:OLZ65"/>
    <mergeCell ref="EZB65:EZD65"/>
    <mergeCell ref="BDO65:BDQ65"/>
    <mergeCell ref="KTB65:KTD65"/>
    <mergeCell ref="SAE65:SAM65"/>
    <mergeCell ref="KWR65:KWZ65"/>
    <mergeCell ref="HEB65:HED65"/>
    <mergeCell ref="FE65:FM65"/>
    <mergeCell ref="ELR65:ELZ65"/>
    <mergeCell ref="IVO65:IVQ65"/>
    <mergeCell ref="VZO65:VZQ65"/>
    <mergeCell ref="AWR65:AWZ65"/>
    <mergeCell ref="LAO65:LAQ65"/>
    <mergeCell ref="CKO65:CKQ65"/>
    <mergeCell ref="OAR65:OAZ65"/>
    <mergeCell ref="SKO65:SKQ65"/>
    <mergeCell ref="LEE65:LEM65"/>
    <mergeCell ref="DBR65:DBZ65"/>
    <mergeCell ref="GOB65:GOD65"/>
    <mergeCell ref="KLR65:KLZ65"/>
    <mergeCell ref="LWR65:LWZ65"/>
    <mergeCell ref="E21:M21"/>
    <mergeCell ref="ETE65:ETM65"/>
    <mergeCell ref="JDB65:JDD65"/>
    <mergeCell ref="MDE65:MDM65"/>
    <mergeCell ref="BAO65:BAQ65"/>
    <mergeCell ref="IHR65:IHZ65"/>
    <mergeCell ref="RXE65:RXM65"/>
    <mergeCell ref="WHB65:WHD65"/>
    <mergeCell ref="BEE65:BEM65"/>
    <mergeCell ref="E23:M23"/>
    <mergeCell ref="CSB65:CSD65"/>
    <mergeCell ref="OIE65:OIM65"/>
    <mergeCell ref="TOR65:TOZ65"/>
    <mergeCell ref="KCB65:KCD65"/>
    <mergeCell ref="CVR65:CVZ65"/>
    <mergeCell ref="PWB65:PWD65"/>
    <mergeCell ref="DB65:DD65"/>
    <mergeCell ref="KTE65:KTM65"/>
    <mergeCell ref="PZR65:PZZ65"/>
    <mergeCell ref="MHB65:MHD65"/>
    <mergeCell ref="JKO65:JKQ65"/>
    <mergeCell ref="EIE65:EIM65"/>
    <mergeCell ref="ISB65:ISD65"/>
    <mergeCell ref="NYO65:NYQ65"/>
    <mergeCell ref="VRB65:VRD65"/>
    <mergeCell ref="CZO65:CZQ65"/>
    <mergeCell ref="FZR65:FZZ65"/>
    <mergeCell ref="CEE65:CEM65"/>
    <mergeCell ref="QDO65:QDQ65"/>
    <mergeCell ref="KO65:KQ65"/>
    <mergeCell ref="TDR65:TDZ65"/>
    <mergeCell ref="QHE65:QHM65"/>
    <mergeCell ref="CKR65:CKZ65"/>
    <mergeCell ref="IER65:IEZ65"/>
    <mergeCell ref="DYO65:DYQ65"/>
    <mergeCell ref="POR65:POZ65"/>
    <mergeCell ref="JWE65:JWM65"/>
    <mergeCell ref="OGB65:OGD65"/>
    <mergeCell ref="AJO65:AJQ65"/>
    <mergeCell ref="RGE65:RGM65"/>
    <mergeCell ref="GHE65:GHM65"/>
    <mergeCell ref="COO65:COQ65"/>
    <mergeCell ref="HVB65:HVD65"/>
    <mergeCell ref="TLE65:TLM65"/>
    <mergeCell ref="HYR65:HYZ65"/>
    <mergeCell ref="EGB65:EGD65"/>
    <mergeCell ref="PWE65:PWM65"/>
    <mergeCell ref="VCR65:VCZ65"/>
    <mergeCell ref="RKB65:RKD65"/>
    <mergeCell ref="KDR65:KDZ65"/>
    <mergeCell ref="ONO65:ONQ65"/>
    <mergeCell ref="ARB65:ARD65"/>
    <mergeCell ref="RNR65:RNZ65"/>
    <mergeCell ref="JLE65:JLM65"/>
    <mergeCell ref="NVB65:NVD65"/>
    <mergeCell ref="TBO65:TBQ65"/>
    <mergeCell ref="GOR65:GOZ65"/>
    <mergeCell ref="ICO65:ICQ65"/>
    <mergeCell ref="LCR65:LCZ65"/>
    <mergeCell ref="PMO65:PMQ65"/>
    <mergeCell ref="XFB65:XFD65"/>
    <mergeCell ref="VGO65:VGQ65"/>
    <mergeCell ref="ADR65:ADZ65"/>
    <mergeCell ref="ENO65:ENQ65"/>
    <mergeCell ref="VKE65:VKM65"/>
    <mergeCell ref="HNR65:HNZ65"/>
    <mergeCell ref="BVE65:BVM65"/>
    <mergeCell ref="URR65:URZ65"/>
    <mergeCell ref="OZE65:OZM65"/>
    <mergeCell ref="TJB65:TJD65"/>
    <mergeCell ref="FMO65:FMQ65"/>
    <mergeCell ref="BCR65:BCZ65"/>
    <mergeCell ref="WJE65:WJM65"/>
    <mergeCell ref="LKE65:LKM65"/>
    <mergeCell ref="HRO65:HRQ65"/>
    <mergeCell ref="HVE65:HVM65"/>
    <mergeCell ref="NBR65:NBZ65"/>
    <mergeCell ref="RKR65:RKZ65"/>
    <mergeCell ref="JJB65:JJD65"/>
    <mergeCell ref="UZE65:UZM65"/>
    <mergeCell ref="WNB65:WND65"/>
    <mergeCell ref="PGR65:PGZ65"/>
    <mergeCell ref="TQO65:TQQ65"/>
    <mergeCell ref="FUB65:FUD65"/>
    <mergeCell ref="BKE65:BKM65"/>
    <mergeCell ref="WQR65:WQZ65"/>
    <mergeCell ref="PNE65:PNM65"/>
    <mergeCell ref="SYB65:SYD65"/>
    <mergeCell ref="OOE65:OOM65"/>
    <mergeCell ref="LRR65:LRZ65"/>
    <mergeCell ref="HLO65:HLQ65"/>
    <mergeCell ref="NFO65:NFQ65"/>
    <mergeCell ref="JB65:JD65"/>
    <mergeCell ref="QFR65:QFZ65"/>
    <mergeCell ref="UPO65:UPQ65"/>
    <mergeCell ref="MR65:MZ65"/>
    <mergeCell ref="NMB65:NMD65"/>
    <mergeCell ref="JQO65:JQQ65"/>
    <mergeCell ref="MQR65:MQZ65"/>
    <mergeCell ref="BRR65:BRZ65"/>
    <mergeCell ref="GYE65:GYM65"/>
    <mergeCell ref="OVR65:OVZ65"/>
    <mergeCell ref="DJE65:DJM65"/>
    <mergeCell ref="QO65:QQ65"/>
    <mergeCell ref="QNE65:QNM65"/>
    <mergeCell ref="UXB65:UXD65"/>
    <mergeCell ref="UE65:UM65"/>
    <mergeCell ref="MUO65:MUQ65"/>
    <mergeCell ref="FOE65:FOM65"/>
    <mergeCell ref="BIB65:BID65"/>
    <mergeCell ref="MYE65:MYM65"/>
    <mergeCell ref="SER65:SEZ65"/>
    <mergeCell ref="WNR65:WNZ65"/>
    <mergeCell ref="FUR65:FUZ65"/>
    <mergeCell ref="OMB65:OMD65"/>
    <mergeCell ref="HIO65:HIQ65"/>
    <mergeCell ref="OPR65:OPZ65"/>
    <mergeCell ref="DNB65:DND65"/>
    <mergeCell ref="UJR65:UJZ65"/>
    <mergeCell ref="KXB65:KXD65"/>
    <mergeCell ref="GNE65:GNM65"/>
    <mergeCell ref="JR65:JZ65"/>
    <mergeCell ref="DTO65:DTQ65"/>
    <mergeCell ref="UQE65:UQM65"/>
    <mergeCell ref="QUR65:QUZ65"/>
    <mergeCell ref="CYE65:CYM65"/>
    <mergeCell ref="MOO65:MOQ65"/>
    <mergeCell ref="SIO65:SIQ65"/>
    <mergeCell ref="EMB65:EMD65"/>
    <mergeCell ref="BPO65:BPQ65"/>
    <mergeCell ref="VIR65:VIZ65"/>
    <mergeCell ref="NFR65:NFZ65"/>
    <mergeCell ref="EPR65:EPZ65"/>
    <mergeCell ref="WVE65:WVM65"/>
    <mergeCell ref="SPB65:SPD65"/>
    <mergeCell ref="OTO65:OTQ65"/>
    <mergeCell ref="AXB65:AXD65"/>
    <mergeCell ref="GUR65:GUZ65"/>
    <mergeCell ref="LEO65:LEQ65"/>
    <mergeCell ref="UUB65:UUD65"/>
    <mergeCell ref="UXR65:UXZ65"/>
    <mergeCell ref="TYR65:TYZ65"/>
    <mergeCell ref="G36:H36"/>
    <mergeCell ref="DFR65:DFZ65"/>
    <mergeCell ref="IME65:IMM65"/>
    <mergeCell ref="RFB65:RFD65"/>
    <mergeCell ref="WLO65:WLQ65"/>
    <mergeCell ref="SQB65:SQD65"/>
    <mergeCell ref="ETO65:ETQ65"/>
    <mergeCell ref="VQE65:VQM65"/>
    <mergeCell ref="EXE65:EXM65"/>
    <mergeCell ref="OMR65:OMZ65"/>
    <mergeCell ref="SWO65:SWQ65"/>
    <mergeCell ref="RXO65:RXQ65"/>
    <mergeCell ref="KRE65:KRM65"/>
    <mergeCell ref="BEO65:BEQ65"/>
    <mergeCell ref="GLB65:GLD65"/>
    <mergeCell ref="SBE65:SBM65"/>
    <mergeCell ref="KXR65:KXZ65"/>
    <mergeCell ref="TPB65:TPD65"/>
    <mergeCell ref="CWB65:CWD65"/>
    <mergeCell ref="MLO65:MLQ65"/>
    <mergeCell ref="TSR65:TSZ65"/>
    <mergeCell ref="LQE65:LQM65"/>
    <mergeCell ref="QAB65:QAD65"/>
    <mergeCell ref="EMR65:EMZ65"/>
    <mergeCell ref="IWO65:IWQ65"/>
    <mergeCell ref="VXR65:VXZ65"/>
    <mergeCell ref="RRO65:RRQ65"/>
    <mergeCell ref="HBR65:HBZ65"/>
    <mergeCell ref="OUE65:OUM65"/>
    <mergeCell ref="GSO65:GSQ65"/>
    <mergeCell ref="B16:D16"/>
    <mergeCell ref="LBO65:LBQ65"/>
    <mergeCell ref="SIR65:SIZ65"/>
    <mergeCell ref="JSR65:JSZ65"/>
    <mergeCell ref="LFE65:LFM65"/>
    <mergeCell ref="TWO65:TWQ65"/>
    <mergeCell ref="DDO65:DDQ65"/>
    <mergeCell ref="MTB65:MTD65"/>
    <mergeCell ref="UAE65:UAM65"/>
    <mergeCell ref="B18:D18"/>
    <mergeCell ref="MWR65:MWZ65"/>
    <mergeCell ref="QHO65:QHQ65"/>
    <mergeCell ref="LXR65:LXZ65"/>
    <mergeCell ref="EUE65:EUM65"/>
    <mergeCell ref="JEB65:JED65"/>
    <mergeCell ref="B11:D11"/>
    <mergeCell ref="IIR65:IIZ65"/>
    <mergeCell ref="NPE65:NPM65"/>
    <mergeCell ref="RZB65:RZD65"/>
    <mergeCell ref="WIB65:WID65"/>
    <mergeCell ref="KVO65:KVQ65"/>
    <mergeCell ref="JWO65:JWQ65"/>
    <mergeCell ref="CTB65:CTD65"/>
    <mergeCell ref="KAE65:KAM65"/>
    <mergeCell ref="TPR65:TPZ65"/>
    <mergeCell ref="CWR65:CWZ65"/>
    <mergeCell ref="GHO65:GHQ65"/>
    <mergeCell ref="LOB65:LOD65"/>
    <mergeCell ref="AYE65:AYM65"/>
    <mergeCell ref="EB65:ED65"/>
    <mergeCell ref="QAR65:QAZ65"/>
    <mergeCell ref="APB65:APD65"/>
    <mergeCell ref="DPE65:DPM65"/>
    <mergeCell ref="HZB65:HZD65"/>
    <mergeCell ref="ROO65:ROQ65"/>
    <mergeCell ref="FBR65:FBZ65"/>
    <mergeCell ref="JLO65:JLQ65"/>
    <mergeCell ref="AAE65:AAM65"/>
    <mergeCell ref="NZO65:NZQ65"/>
    <mergeCell ref="GTE65:GTM65"/>
    <mergeCell ref="KEB65:KED65"/>
    <mergeCell ref="BOB65:BOD65"/>
    <mergeCell ref="DAO65:DAQ65"/>
    <mergeCell ref="TXE65:TXM65"/>
    <mergeCell ref="KKO65:KKQ65"/>
    <mergeCell ref="DEE65:DEM65"/>
    <mergeCell ref="CFE65:CFM65"/>
    <mergeCell ref="LVO65:LVQ65"/>
    <mergeCell ref="QEO65:QEQ65"/>
    <mergeCell ref="LO65:LQ65"/>
    <mergeCell ref="ESB65:ESD65"/>
    <mergeCell ref="QIE65:QIM65"/>
    <mergeCell ref="VOR65:VOZ65"/>
    <mergeCell ref="B62:D62"/>
    <mergeCell ref="DWR65:DWZ65"/>
    <mergeCell ref="IGO65:IGQ65"/>
    <mergeCell ref="RWB65:RWD65"/>
    <mergeCell ref="BDB65:BDD65"/>
    <mergeCell ref="AEB65:AED65"/>
    <mergeCell ref="B72:D72"/>
    <mergeCell ref="RZR65:RZZ65"/>
    <mergeCell ref="AHR65:AHZ65"/>
    <mergeCell ref="JXE65:JXM65"/>
    <mergeCell ref="OHB65:OHD65"/>
    <mergeCell ref="BVO65:BVQ65"/>
    <mergeCell ref="XCB65:XCD65"/>
    <mergeCell ref="BZE65:BZM65"/>
    <mergeCell ref="MME65:MMM65"/>
    <mergeCell ref="UER65:UEZ65"/>
    <mergeCell ref="PYO65:PYQ65"/>
    <mergeCell ref="HWB65:HWD65"/>
    <mergeCell ref="QPR65:QPZ65"/>
    <mergeCell ref="HZR65:HZZ65"/>
    <mergeCell ref="M39:M40"/>
    <mergeCell ref="GBE65:GBM65"/>
    <mergeCell ref="YB65:YD65"/>
    <mergeCell ref="SDO65:SDQ65"/>
    <mergeCell ref="EHB65:EHD65"/>
    <mergeCell ref="VDR65:VDZ65"/>
    <mergeCell ref="CME65:CMM65"/>
    <mergeCell ref="KER65:KEZ65"/>
    <mergeCell ref="OOO65:OOQ65"/>
    <mergeCell ref="CDB65:CDD65"/>
    <mergeCell ref="SZR65:SZZ65"/>
    <mergeCell ref="TCO65:TCQ65"/>
    <mergeCell ref="LWE65:LWM65"/>
    <mergeCell ref="QGB65:QGD65"/>
    <mergeCell ref="PHB65:PHD65"/>
    <mergeCell ref="WAB65:WAD65"/>
    <mergeCell ref="PKR65:PKZ65"/>
    <mergeCell ref="IDO65:IDQ65"/>
    <mergeCell ref="PNO65:PNQ65"/>
    <mergeCell ref="IHE65:IHM65"/>
    <mergeCell ref="QYO65:QYQ65"/>
    <mergeCell ref="VHO65:VHQ65"/>
    <mergeCell ref="AFO65:AFQ65"/>
    <mergeCell ref="EOO65:EOQ65"/>
    <mergeCell ref="JVB65:JVD65"/>
    <mergeCell ref="VLE65:VLM65"/>
    <mergeCell ref="WZB65:WZD65"/>
    <mergeCell ref="BWE65:BWM65"/>
    <mergeCell ref="GGB65:GGD65"/>
    <mergeCell ref="XCR65:XCZ65"/>
    <mergeCell ref="PAE65:PAM65"/>
    <mergeCell ref="TKB65:TKD65"/>
    <mergeCell ref="VB65:VD65"/>
    <mergeCell ref="RPE65:RPM65"/>
    <mergeCell ref="VBO65:VBQ65"/>
    <mergeCell ref="RGB65:RGD65"/>
    <mergeCell ref="KCO65:KCQ65"/>
    <mergeCell ref="VSR65:VSZ65"/>
    <mergeCell ref="NCR65:NCZ65"/>
    <mergeCell ref="BOR65:BOZ65"/>
    <mergeCell ref="NRB65:NRD65"/>
    <mergeCell ref="JKB65:JKD65"/>
    <mergeCell ref="CDR65:CDZ65"/>
    <mergeCell ref="GNO65:GNQ65"/>
    <mergeCell ref="E29:M29"/>
    <mergeCell ref="B14:D14"/>
    <mergeCell ref="PHR65:PHZ65"/>
    <mergeCell ref="TRO65:TRQ65"/>
    <mergeCell ref="HGB65:HGD65"/>
    <mergeCell ref="B13:D13"/>
    <mergeCell ref="ACO65:ACQ65"/>
    <mergeCell ref="E31:M31"/>
    <mergeCell ref="QZE65:QZM65"/>
    <mergeCell ref="VJB65:VJD65"/>
    <mergeCell ref="HMO65:HMQ65"/>
    <mergeCell ref="NGO65:NGQ65"/>
    <mergeCell ref="NKE65:NKM65"/>
    <mergeCell ref="AYR65:AYZ65"/>
    <mergeCell ref="LLR65:LLZ65"/>
    <mergeCell ref="FIO65:FIQ65"/>
    <mergeCell ref="JRO65:JRQ65"/>
    <mergeCell ref="OYB65:OYD65"/>
    <mergeCell ref="GZE65:GZM65"/>
    <mergeCell ref="LJB65:LJD65"/>
    <mergeCell ref="AKB65:AKD65"/>
    <mergeCell ref="DKE65:DKM65"/>
    <mergeCell ref="BLR65:BLZ65"/>
    <mergeCell ref="NOB65:NOD65"/>
    <mergeCell ref="WSE65:WSM65"/>
    <mergeCell ref="UYB65:UYD65"/>
    <mergeCell ref="PFO65:PFQ65"/>
    <mergeCell ref="BJB65:BJD65"/>
    <mergeCell ref="ONB65:OND65"/>
    <mergeCell ref="OE65:OM65"/>
    <mergeCell ref="HGR65:HGZ65"/>
    <mergeCell ref="LQO65:LQQ65"/>
    <mergeCell ref="OQR65:OQZ65"/>
    <mergeCell ref="FB65:FD65"/>
    <mergeCell ref="DOB65:DOD65"/>
    <mergeCell ref="UKR65:UKZ65"/>
    <mergeCell ref="DRR65:DRZ65"/>
    <mergeCell ref="FFO65:FFQ65"/>
    <mergeCell ref="WCE65:WCM65"/>
    <mergeCell ref="MPO65:MPQ65"/>
    <mergeCell ref="BQO65:BQQ65"/>
    <mergeCell ref="SNE65:SNM65"/>
    <mergeCell ref="QOR65:QOZ65"/>
    <mergeCell ref="OUO65:OUQ65"/>
    <mergeCell ref="UBB65:UBD65"/>
    <mergeCell ref="VR65:VZ65"/>
    <mergeCell ref="DIB65:DID65"/>
    <mergeCell ref="QMB65:QMD65"/>
    <mergeCell ref="FNB65:FND65"/>
    <mergeCell ref="INE65:INM65"/>
    <mergeCell ref="MXB65:MXD65"/>
    <mergeCell ref="WMO65:WMQ65"/>
    <mergeCell ref="SRB65:SRD65"/>
    <mergeCell ref="BYB65:BYD65"/>
    <mergeCell ref="UIO65:UIQ65"/>
    <mergeCell ref="GMB65:GMD65"/>
    <mergeCell ref="ERE65:ERM65"/>
    <mergeCell ref="MJR65:MJZ65"/>
    <mergeCell ref="QTO65:QTQ65"/>
    <mergeCell ref="TTR65:TTZ65"/>
    <mergeCell ref="BCE65:BCM65"/>
    <mergeCell ref="IUR65:IUZ65"/>
    <mergeCell ref="SLB65:SLD65"/>
    <mergeCell ref="KIO65:KIQ65"/>
    <mergeCell ref="RSO65:RSQ65"/>
    <mergeCell ref="GTO65:GTQ65"/>
    <mergeCell ref="PXR65:PXZ65"/>
    <mergeCell ref="VRR65:VRZ65"/>
    <mergeCell ref="TXO65:TXQ65"/>
    <mergeCell ref="EYR65:EYZ65"/>
    <mergeCell ref="DEO65:DEQ65"/>
    <mergeCell ref="ILB65:ILD65"/>
    <mergeCell ref="UBE65:UBM65"/>
    <mergeCell ref="VPB65:VPD65"/>
    <mergeCell ref="KQB65:KQD65"/>
    <mergeCell ref="NQE65:NQM65"/>
    <mergeCell ref="SAB65:SAD65"/>
    <mergeCell ref="E27:M27"/>
    <mergeCell ref="KWO65:KWQ65"/>
    <mergeCell ref="CRE65:CRM65"/>
    <mergeCell ref="HBB65:HBD65"/>
    <mergeCell ref="LPB65:LPD65"/>
    <mergeCell ref="JUE65:JUM65"/>
    <mergeCell ref="RMR65:RMZ65"/>
    <mergeCell ref="VWO65:VWQ65"/>
    <mergeCell ref="E22:M22"/>
    <mergeCell ref="CHO65:CHQ65"/>
    <mergeCell ref="GFE65:GFM65"/>
    <mergeCell ref="NXR65:NXZ65"/>
    <mergeCell ref="BR65:BZ65"/>
    <mergeCell ref="PPE65:PPM65"/>
    <mergeCell ref="LWO65:LWQ65"/>
    <mergeCell ref="AXO65:AXQ65"/>
    <mergeCell ref="KBR65:KBZ65"/>
    <mergeCell ref="IHO65:IHQ65"/>
    <mergeCell ref="TRE65:TRM65"/>
    <mergeCell ref="QCE65:QCM65"/>
    <mergeCell ref="JZB65:JZD65"/>
    <mergeCell ref="PTB65:PTD65"/>
    <mergeCell ref="STE65:STM65"/>
    <mergeCell ref="XDB65:XDD65"/>
    <mergeCell ref="CAE65:CAM65"/>
    <mergeCell ref="MNE65:MNM65"/>
    <mergeCell ref="PZO65:PZQ65"/>
    <mergeCell ref="ABR65:ABZ65"/>
    <mergeCell ref="ELO65:ELQ65"/>
    <mergeCell ref="MEB65:MED65"/>
    <mergeCell ref="RKO65:RKQ65"/>
    <mergeCell ref="VXE65:VXM65"/>
    <mergeCell ref="QSB65:QSD65"/>
    <mergeCell ref="IPB65:IPD65"/>
    <mergeCell ref="NVO65:NVQ65"/>
    <mergeCell ref="OXE65:OXM65"/>
    <mergeCell ref="TWB65:TWD65"/>
    <mergeCell ref="DYE65:DYM65"/>
    <mergeCell ref="CEB65:CED65"/>
    <mergeCell ref="LIE65:LIM65"/>
    <mergeCell ref="TAR65:TAZ65"/>
    <mergeCell ref="QHB65:QHD65"/>
    <mergeCell ref="DVO65:DVQ65"/>
    <mergeCell ref="E66:M66"/>
    <mergeCell ref="USE65:USM65"/>
    <mergeCell ref="QZO65:QZQ65"/>
    <mergeCell ref="GJR65:GJZ65"/>
    <mergeCell ref="AGO65:AGQ65"/>
    <mergeCell ref="JWB65:JWD65"/>
    <mergeCell ref="RDE65:RDM65"/>
    <mergeCell ref="GAO65:GAQ65"/>
    <mergeCell ref="E68:M68"/>
    <mergeCell ref="PER65:PEZ65"/>
    <mergeCell ref="NKO65:NKQ65"/>
    <mergeCell ref="IBE65:IBM65"/>
    <mergeCell ref="LPR65:LPZ65"/>
    <mergeCell ref="PCB65:PCD65"/>
    <mergeCell ref="EME65:EMM65"/>
    <mergeCell ref="MER65:MEZ65"/>
    <mergeCell ref="UWB65:UWD65"/>
    <mergeCell ref="HDE65:HDM65"/>
    <mergeCell ref="VCO65:VCQ65"/>
    <mergeCell ref="FER65:FEZ65"/>
    <mergeCell ref="JOO65:JOQ65"/>
    <mergeCell ref="RHB65:RHD65"/>
    <mergeCell ref="WNO65:WNQ65"/>
    <mergeCell ref="KDO65:KDQ65"/>
    <mergeCell ref="THR65:THZ65"/>
    <mergeCell ref="BPR65:BPZ65"/>
    <mergeCell ref="NSB65:NSD65"/>
    <mergeCell ref="SYO65:SYQ65"/>
    <mergeCell ref="LVB65:LVD65"/>
    <mergeCell ref="DHE65:DHM65"/>
    <mergeCell ref="KZR65:KZZ65"/>
    <mergeCell ref="JBE65:JBM65"/>
    <mergeCell ref="IGB65:IGD65"/>
    <mergeCell ref="HHB65:HHD65"/>
    <mergeCell ref="HKR65:HKZ65"/>
    <mergeCell ref="VKB65:VKD65"/>
    <mergeCell ref="IYO65:IYQ65"/>
    <mergeCell ref="B63:D63"/>
    <mergeCell ref="AZR65:AZZ65"/>
    <mergeCell ref="LMR65:LMZ65"/>
    <mergeCell ref="FJO65:FJQ65"/>
    <mergeCell ref="OZB65:OZD65"/>
    <mergeCell ref="DLB65:DLD65"/>
    <mergeCell ref="UHR65:UHZ65"/>
    <mergeCell ref="NEE65:NEM65"/>
    <mergeCell ref="ROB65:ROD65"/>
    <mergeCell ref="MVB65:MVD65"/>
    <mergeCell ref="QSR65:QSZ65"/>
    <mergeCell ref="JPE65:JPM65"/>
    <mergeCell ref="RHR65:RHZ65"/>
    <mergeCell ref="BNO65:BNQ65"/>
    <mergeCell ref="JGB65:JGD65"/>
    <mergeCell ref="CCO65:CCQ65"/>
    <mergeCell ref="LGR65:LGZ65"/>
    <mergeCell ref="WKB65:WKD65"/>
    <mergeCell ref="FRB65:FRD65"/>
    <mergeCell ref="PGO65:PGQ65"/>
    <mergeCell ref="NLR65:NLZ65"/>
    <mergeCell ref="GB65:GD65"/>
    <mergeCell ref="QCR65:QCZ65"/>
    <mergeCell ref="UMO65:UMQ65"/>
    <mergeCell ref="E9:M9"/>
    <mergeCell ref="BGR65:BGZ65"/>
    <mergeCell ref="NJB65:NJD65"/>
    <mergeCell ref="LKO65:LKQ65"/>
    <mergeCell ref="TDB65:TDD65"/>
    <mergeCell ref="KPE65:KPM65"/>
    <mergeCell ref="E11:M11"/>
    <mergeCell ref="DLR65:DLZ65"/>
    <mergeCell ref="HVO65:HVQ65"/>
    <mergeCell ref="POB65:POD65"/>
    <mergeCell ref="UCB65:UCD65"/>
    <mergeCell ref="FDE65:FDM65"/>
    <mergeCell ref="IOB65:IOD65"/>
    <mergeCell ref="WR65:WZ65"/>
    <mergeCell ref="IRR65:IRZ65"/>
    <mergeCell ref="SHE65:SHM65"/>
    <mergeCell ref="WRB65:WRD65"/>
    <mergeCell ref="BOE65:BOM65"/>
    <mergeCell ref="MRO65:MRQ65"/>
    <mergeCell ref="HIE65:HIM65"/>
    <mergeCell ref="OSE65:OSM65"/>
    <mergeCell ref="WKR65:WKZ65"/>
    <mergeCell ref="GQO65:GQQ65"/>
    <mergeCell ref="OJB65:OJD65"/>
    <mergeCell ref="NB65:ND65"/>
    <mergeCell ref="HFO65:HFQ65"/>
    <mergeCell ref="E62:M62"/>
    <mergeCell ref="QJR65:QJZ65"/>
    <mergeCell ref="GKE65:GKM65"/>
    <mergeCell ref="KUB65:KUD65"/>
    <mergeCell ref="UJO65:UJQ65"/>
    <mergeCell ref="FKR65:FKZ65"/>
    <mergeCell ref="DQO65:DQQ65"/>
    <mergeCell ref="BSB65:BSD65"/>
    <mergeCell ref="E64:M64"/>
    <mergeCell ref="SOR65:SOZ65"/>
    <mergeCell ref="OZR65:OZZ65"/>
    <mergeCell ref="SMB65:SMD65"/>
    <mergeCell ref="COE65:COM65"/>
    <mergeCell ref="GYB65:GYD65"/>
    <mergeCell ref="QNO65:QNQ65"/>
    <mergeCell ref="UO65:UQ65"/>
    <mergeCell ref="E65:M65"/>
    <mergeCell ref="IOR65:IOZ65"/>
    <mergeCell ref="MYO65:MYQ65"/>
    <mergeCell ref="URB65:URD65"/>
    <mergeCell ref="ANB65:AND65"/>
    <mergeCell ref="AQR65:AQZ65"/>
    <mergeCell ref="EZR65:EZZ65"/>
    <mergeCell ref="KGE65:KGM65"/>
    <mergeCell ref="EQO65:EQQ65"/>
    <mergeCell ref="HE65:HM65"/>
    <mergeCell ref="GRE65:GRM65"/>
    <mergeCell ref="TVE65:TVM65"/>
    <mergeCell ref="E75:M75"/>
    <mergeCell ref="AGE65:AGM65"/>
    <mergeCell ref="EQB65:EQD65"/>
    <mergeCell ref="MIO65:MIQ65"/>
    <mergeCell ref="VMR65:VMZ65"/>
    <mergeCell ref="KNR65:KNZ65"/>
    <mergeCell ref="ITO65:ITQ65"/>
    <mergeCell ref="GVB65:GVD65"/>
    <mergeCell ref="GYR65:GYZ65"/>
    <mergeCell ref="CIO65:CIQ65"/>
    <mergeCell ref="UCR65:UCZ65"/>
    <mergeCell ref="VQO65:VQQ65"/>
    <mergeCell ref="ANR65:ANZ65"/>
    <mergeCell ref="EXO65:EXQ65"/>
    <mergeCell ref="VUE65:VUM65"/>
    <mergeCell ref="HXR65:HXZ65"/>
    <mergeCell ref="NRR65:NRZ65"/>
    <mergeCell ref="SBO65:SBQ65"/>
    <mergeCell ref="KVE65:KVM65"/>
    <mergeCell ref="KCR65:KCZ65"/>
    <mergeCell ref="PJE65:PJM65"/>
    <mergeCell ref="EKE65:EKM65"/>
    <mergeCell ref="CQB65:CQD65"/>
    <mergeCell ref="LUE65:LUM65"/>
    <mergeCell ref="AVE65:AVM65"/>
    <mergeCell ref="NZE65:NZM65"/>
    <mergeCell ref="FJE65:FJM65"/>
    <mergeCell ref="JTB65:JTD65"/>
    <mergeCell ref="RLO65:RLQ65"/>
    <mergeCell ref="VJE65:VJM65"/>
    <mergeCell ref="PQR65:PQZ65"/>
    <mergeCell ref="BUE65:BUM65"/>
    <mergeCell ref="NWO65:NWQ65"/>
    <mergeCell ref="LYB65:LYD65"/>
    <mergeCell ref="MBR65:MBZ65"/>
    <mergeCell ref="DZE65:DZM65"/>
    <mergeCell ref="FQR65:FQZ65"/>
    <mergeCell ref="KAO65:KAQ65"/>
    <mergeCell ref="NAR65:NAZ65"/>
    <mergeCell ref="SUR65:SUZ65"/>
    <mergeCell ref="XEO65:XEQ65"/>
    <mergeCell ref="PYE65:PYM65"/>
    <mergeCell ref="CBR65:CBZ65"/>
    <mergeCell ref="DPO65:DPQ65"/>
    <mergeCell ref="PFR65:PFZ65"/>
    <mergeCell ref="UME65:UMM65"/>
    <mergeCell ref="DTE65:DTM65"/>
    <mergeCell ref="AAO65:AAQ65"/>
    <mergeCell ref="HTB65:HTD65"/>
    <mergeCell ref="LQR65:LQZ65"/>
    <mergeCell ref="QXE65:QXM65"/>
    <mergeCell ref="FYE65:FYM65"/>
    <mergeCell ref="KIB65:KID65"/>
    <mergeCell ref="TCE65:TCM65"/>
    <mergeCell ref="WOO65:WOQ65"/>
    <mergeCell ref="CJE65:CJM65"/>
    <mergeCell ref="FVO65:FVQ65"/>
    <mergeCell ref="DXB65:DXD65"/>
    <mergeCell ref="UTR65:UTZ65"/>
    <mergeCell ref="LHB65:LHD65"/>
    <mergeCell ref="SZO65:SZQ65"/>
    <mergeCell ref="GXE65:GXM65"/>
    <mergeCell ref="EAR65:EAZ65"/>
    <mergeCell ref="RBB65:RBD65"/>
    <mergeCell ref="JUR65:JUZ65"/>
    <mergeCell ref="AIB65:AID65"/>
    <mergeCell ref="RER65:REZ65"/>
    <mergeCell ref="DIE65:DIM65"/>
    <mergeCell ref="FNE65:FNM65"/>
    <mergeCell ref="KTR65:KTZ65"/>
    <mergeCell ref="PDO65:PDQ65"/>
    <mergeCell ref="WWB65:WWD65"/>
    <mergeCell ref="VBE65:VBM65"/>
    <mergeCell ref="HER65:HEZ65"/>
    <mergeCell ref="THB65:THD65"/>
    <mergeCell ref="ISO65:ISQ65"/>
    <mergeCell ref="UIR65:UIZ65"/>
    <mergeCell ref="RME65:RMM65"/>
    <mergeCell ref="IWE65:IWM65"/>
    <mergeCell ref="DPR65:DPZ65"/>
    <mergeCell ref="FDO65:FDQ65"/>
    <mergeCell ref="MWB65:MWD65"/>
    <mergeCell ref="QTR65:QTZ65"/>
    <mergeCell ref="WAE65:WAM65"/>
    <mergeCell ref="LBE65:LBM65"/>
    <mergeCell ref="PLB65:PLD65"/>
    <mergeCell ref="BOO65:BOQ65"/>
    <mergeCell ref="SLE65:SLM65"/>
    <mergeCell ref="LHR65:LHZ65"/>
    <mergeCell ref="B29:D29"/>
    <mergeCell ref="HME65:HMM65"/>
    <mergeCell ref="KYO65:KYQ65"/>
    <mergeCell ref="JAB65:JAD65"/>
    <mergeCell ref="JDR65:JDZ65"/>
    <mergeCell ref="NMR65:NMZ65"/>
    <mergeCell ref="WEB65:WED65"/>
    <mergeCell ref="BBE65:BBM65"/>
    <mergeCell ref="FLB65:FLD65"/>
    <mergeCell ref="WHR65:WHZ65"/>
    <mergeCell ref="ILE65:ILM65"/>
    <mergeCell ref="B24:D24"/>
    <mergeCell ref="CSR65:CSZ65"/>
    <mergeCell ref="KQE65:KQM65"/>
    <mergeCell ref="UGO65:UGQ65"/>
    <mergeCell ref="DR65:DZ65"/>
    <mergeCell ref="B32:D32"/>
    <mergeCell ref="HWO65:HWQ65"/>
    <mergeCell ref="NDB65:NDD65"/>
    <mergeCell ref="B26:D26"/>
    <mergeCell ref="JHO65:JHQ65"/>
    <mergeCell ref="MHR65:MHZ65"/>
    <mergeCell ref="I39:J39"/>
    <mergeCell ref="FEE65:FEM65"/>
    <mergeCell ref="RGO65:RGQ65"/>
    <mergeCell ref="BIR65:BIZ65"/>
    <mergeCell ref="EVB65:EVD65"/>
    <mergeCell ref="WPE65:WPM65"/>
    <mergeCell ref="ISR65:ISZ65"/>
    <mergeCell ref="D82:E82"/>
    <mergeCell ref="BPE65:BPM65"/>
    <mergeCell ref="DAE65:DAM65"/>
    <mergeCell ref="BGB65:BGD65"/>
    <mergeCell ref="B27:D27"/>
    <mergeCell ref="KKE65:KKM65"/>
    <mergeCell ref="HO65:HQ65"/>
    <mergeCell ref="QEE65:QEM65"/>
    <mergeCell ref="UOB65:UOD65"/>
    <mergeCell ref="GRO65:GRQ65"/>
    <mergeCell ref="CHR65:CHZ65"/>
    <mergeCell ref="LE65:LM65"/>
    <mergeCell ref="QKR65:QKZ65"/>
    <mergeCell ref="MPE65:MPM65"/>
    <mergeCell ref="IJB65:IJD65"/>
    <mergeCell ref="FLR65:FLZ65"/>
    <mergeCell ref="ODB65:ODD65"/>
    <mergeCell ref="BTB65:BTD65"/>
    <mergeCell ref="GZO65:GZQ65"/>
    <mergeCell ref="OGR65:OGZ65"/>
    <mergeCell ref="AKE65:AKM65"/>
    <mergeCell ref="SPR65:SPZ65"/>
    <mergeCell ref="MMO65:MMQ65"/>
    <mergeCell ref="KOB65:KOD65"/>
    <mergeCell ref="SGO65:SGQ65"/>
    <mergeCell ref="DKO65:DKQ65"/>
    <mergeCell ref="B37:D37"/>
    <mergeCell ref="UHE65:UHM65"/>
    <mergeCell ref="CPE65:CPM65"/>
    <mergeCell ref="HVR65:HVZ65"/>
    <mergeCell ref="GZB65:GZD65"/>
    <mergeCell ref="VVB65:VVD65"/>
    <mergeCell ref="VO65:VQ65"/>
    <mergeCell ref="QSE65:QSM65"/>
    <mergeCell ref="EGR65:EGZ65"/>
    <mergeCell ref="WME65:WMM65"/>
    <mergeCell ref="SGB65:SGD65"/>
    <mergeCell ref="OKO65:OKQ65"/>
    <mergeCell ref="AOB65:AOD65"/>
    <mergeCell ref="VUO65:VUQ65"/>
    <mergeCell ref="ARR65:ARZ65"/>
    <mergeCell ref="KHE65:KHM65"/>
    <mergeCell ref="ORB65:ORD65"/>
    <mergeCell ref="WJO65:WJQ65"/>
    <mergeCell ref="GLR65:GLZ65"/>
    <mergeCell ref="CFO65:CFQ65"/>
    <mergeCell ref="ULB65:ULD65"/>
    <mergeCell ref="UOR65:UOZ65"/>
    <mergeCell ref="GSE65:GSM65"/>
    <mergeCell ref="IDE65:IDM65"/>
    <mergeCell ref="GJB65:GJD65"/>
    <mergeCell ref="EKO65:EKQ65"/>
    <mergeCell ref="VHE65:VHM65"/>
    <mergeCell ref="EOE65:EOM65"/>
    <mergeCell ref="ODR65:ODZ65"/>
    <mergeCell ref="SNO65:SNQ65"/>
    <mergeCell ref="AVO65:AVQ65"/>
    <mergeCell ref="VNR65:VNZ65"/>
    <mergeCell ref="RSE65:RSM65"/>
    <mergeCell ref="KOR65:KOZ65"/>
    <mergeCell ref="CNB65:CND65"/>
    <mergeCell ref="ODE65:ODM65"/>
    <mergeCell ref="TJR65:TJZ65"/>
    <mergeCell ref="GZR65:GZZ65"/>
    <mergeCell ref="MGE65:MGM65"/>
    <mergeCell ref="PRB65:PRD65"/>
    <mergeCell ref="INO65:INQ65"/>
    <mergeCell ref="MCB65:MCD65"/>
    <mergeCell ref="OLE65:OLM65"/>
    <mergeCell ref="SVB65:SVD65"/>
    <mergeCell ref="EYO65:EYQ65"/>
    <mergeCell ref="AOR65:AOZ65"/>
    <mergeCell ref="VVE65:VVM65"/>
    <mergeCell ref="JJR65:JJZ65"/>
    <mergeCell ref="NTO65:NTQ65"/>
    <mergeCell ref="KWE65:KWM65"/>
    <mergeCell ref="TNO65:TNQ65"/>
    <mergeCell ref="GQB65:GQD65"/>
    <mergeCell ref="CUO65:CUQ65"/>
    <mergeCell ref="MKB65:MKD65"/>
    <mergeCell ref="PKE65:PKM65"/>
    <mergeCell ref="TUB65:TUD65"/>
    <mergeCell ref="MNR65:MNZ65"/>
    <mergeCell ref="IVB65:IVD65"/>
    <mergeCell ref="LVE65:LVM65"/>
    <mergeCell ref="NGE65:NGM65"/>
    <mergeCell ref="AWE65:AWM65"/>
    <mergeCell ref="GCR65:GCZ65"/>
    <mergeCell ref="KMO65:KMQ65"/>
    <mergeCell ref="JRE65:JRM65"/>
    <mergeCell ref="CNR65:CNZ65"/>
    <mergeCell ref="FYO65:FYQ65"/>
    <mergeCell ref="GCE65:GCM65"/>
    <mergeCell ref="EBO65:EBQ65"/>
    <mergeCell ref="PRR65:PRZ65"/>
    <mergeCell ref="UBO65:UBQ65"/>
    <mergeCell ref="HQB65:HQD65"/>
    <mergeCell ref="ESR65:ESZ65"/>
    <mergeCell ref="AMO65:AMQ65"/>
    <mergeCell ref="MCR65:MCZ65"/>
    <mergeCell ref="RJE65:RJM65"/>
    <mergeCell ref="RE65:RM65"/>
    <mergeCell ref="EBB65:EBD65"/>
    <mergeCell ref="NQO65:NQQ65"/>
    <mergeCell ref="NUE65:NUM65"/>
    <mergeCell ref="CRO65:CRQ65"/>
    <mergeCell ref="TOE65:TOM65"/>
    <mergeCell ref="KBO65:KBQ65"/>
    <mergeCell ref="FRR65:FRZ65"/>
    <mergeCell ref="EJB65:EJD65"/>
    <mergeCell ref="IGR65:IGZ65"/>
    <mergeCell ref="PZE65:PZM65"/>
    <mergeCell ref="LTB65:LTD65"/>
    <mergeCell ref="DNR65:DNZ65"/>
    <mergeCell ref="HXO65:HXQ65"/>
    <mergeCell ref="RNB65:RND65"/>
    <mergeCell ref="AUB65:AUD65"/>
    <mergeCell ref="UNE65:UNM65"/>
    <mergeCell ref="MKE65:MKM65"/>
    <mergeCell ref="RQR65:RQZ65"/>
    <mergeCell ref="DUE65:DUM65"/>
    <mergeCell ref="YR65:YZ65"/>
    <mergeCell ref="NYB65:NYD65"/>
    <mergeCell ref="QYE65:QYM65"/>
    <mergeCell ref="E57:M57"/>
    <mergeCell ref="FZE65:FZM65"/>
    <mergeCell ref="KJB65:KJD65"/>
    <mergeCell ref="PPO65:PPQ65"/>
    <mergeCell ref="B41:D41"/>
    <mergeCell ref="HQR65:HQZ65"/>
    <mergeCell ref="B35:D35"/>
    <mergeCell ref="PB65:PD65"/>
    <mergeCell ref="RUO65:RUQ65"/>
    <mergeCell ref="DYB65:DYD65"/>
    <mergeCell ref="UUR65:UUZ65"/>
    <mergeCell ref="EBR65:EBZ65"/>
    <mergeCell ref="E58:M58"/>
    <mergeCell ref="CDE65:CDM65"/>
    <mergeCell ref="JVR65:JVZ65"/>
    <mergeCell ref="AJB65:AJD65"/>
    <mergeCell ref="FPO65:FPQ65"/>
    <mergeCell ref="RFR65:RFZ65"/>
    <mergeCell ref="BUB65:BUD65"/>
    <mergeCell ref="B66:D66"/>
    <mergeCell ref="STO65:STQ65"/>
    <mergeCell ref="LNE65:LNM65"/>
    <mergeCell ref="PXB65:PXD65"/>
    <mergeCell ref="CAO65:CAQ65"/>
    <mergeCell ref="SXE65:SXM65"/>
    <mergeCell ref="KUR65:KUZ65"/>
    <mergeCell ref="PEO65:PEQ65"/>
    <mergeCell ref="HYE65:HYM65"/>
    <mergeCell ref="EFO65:EFQ65"/>
    <mergeCell ref="JMB65:JMD65"/>
    <mergeCell ref="B67:D67"/>
    <mergeCell ref="VCE65:VCM65"/>
    <mergeCell ref="B61:D61"/>
    <mergeCell ref="QWB65:QWD65"/>
    <mergeCell ref="NAO65:NAQ65"/>
    <mergeCell ref="FXB65:FXD65"/>
    <mergeCell ref="RNE65:RNM65"/>
    <mergeCell ref="WTR65:WTZ65"/>
    <mergeCell ref="B69:D69"/>
    <mergeCell ref="TBB65:TBD65"/>
    <mergeCell ref="M35:M36"/>
    <mergeCell ref="CIB65:CID65"/>
    <mergeCell ref="WBE65:WBM65"/>
    <mergeCell ref="TER65:TEZ65"/>
    <mergeCell ref="LCE65:LCM65"/>
    <mergeCell ref="PMB65:PMD65"/>
    <mergeCell ref="USO65:USQ65"/>
    <mergeCell ref="JTO65:JTQ65"/>
    <mergeCell ref="MTR65:MTZ65"/>
    <mergeCell ref="RDO65:RDQ65"/>
    <mergeCell ref="DHB65:DHD65"/>
    <mergeCell ref="B64:D64"/>
    <mergeCell ref="WXO65:WXQ65"/>
    <mergeCell ref="JBB65:JBD65"/>
    <mergeCell ref="BUR65:BUZ65"/>
    <mergeCell ref="GEO65:GEQ65"/>
    <mergeCell ref="JER65:JEZ65"/>
    <mergeCell ref="HGE65:HGM65"/>
    <mergeCell ref="FMB65:FMD65"/>
    <mergeCell ref="KSO65:KSQ65"/>
    <mergeCell ref="WIR65:WIZ65"/>
    <mergeCell ref="GXB65:GXD65"/>
    <mergeCell ref="TO65:TQ65"/>
    <mergeCell ref="QQE65:QQM65"/>
    <mergeCell ref="VAB65:VAD65"/>
    <mergeCell ref="HDO65:HDQ65"/>
    <mergeCell ref="CTR65:CTZ65"/>
    <mergeCell ref="UHO65:UHQ65"/>
    <mergeCell ref="NBE65:NBM65"/>
    <mergeCell ref="ER65:EZ65"/>
    <mergeCell ref="JIO65:JIQ65"/>
    <mergeCell ref="ASO65:ASQ65"/>
    <mergeCell ref="E8:M8"/>
    <mergeCell ref="QSO65:QSQ65"/>
    <mergeCell ref="VZB65:VZD65"/>
    <mergeCell ref="JME65:JMM65"/>
    <mergeCell ref="LAB65:LAD65"/>
    <mergeCell ref="WQE65:WQM65"/>
    <mergeCell ref="ABB65:ABD65"/>
    <mergeCell ref="E10:M10"/>
    <mergeCell ref="DBE65:DBM65"/>
    <mergeCell ref="HLB65:HLD65"/>
    <mergeCell ref="KLE65:KLM65"/>
    <mergeCell ref="IO65:IQ65"/>
    <mergeCell ref="QFE65:QFM65"/>
    <mergeCell ref="UPB65:UPD65"/>
    <mergeCell ref="ME65:MM65"/>
    <mergeCell ref="JCO65:JCQ65"/>
    <mergeCell ref="OWO65:OWQ65"/>
    <mergeCell ref="BAB65:BAD65"/>
    <mergeCell ref="RWR65:RWZ65"/>
    <mergeCell ref="WGO65:WGQ65"/>
    <mergeCell ref="BDR65:BDZ65"/>
    <mergeCell ref="OEB65:OED65"/>
    <mergeCell ref="LHO65:LHQ65"/>
    <mergeCell ref="OHR65:OHZ65"/>
    <mergeCell ref="KPB65:KPD65"/>
    <mergeCell ref="PVO65:PVQ65"/>
    <mergeCell ref="DIR65:DIZ65"/>
    <mergeCell ref="CO65:CQ65"/>
    <mergeCell ref="UIE65:UIM65"/>
    <mergeCell ref="HWR65:HWZ65"/>
    <mergeCell ref="MGO65:MGQ65"/>
    <mergeCell ref="TR65:TZ65"/>
    <mergeCell ref="BHO65:BHQ65"/>
    <mergeCell ref="SEE65:SEM65"/>
    <mergeCell ref="WOB65:WOD65"/>
    <mergeCell ref="EHR65:EHZ65"/>
    <mergeCell ref="OLO65:OLQ65"/>
    <mergeCell ref="E55:M55"/>
    <mergeCell ref="CZB65:CZD65"/>
    <mergeCell ref="OPE65:OPM65"/>
    <mergeCell ref="QDB65:QDD65"/>
    <mergeCell ref="KB65:KD65"/>
    <mergeCell ref="A33:D33"/>
    <mergeCell ref="UPR65:UPZ65"/>
    <mergeCell ref="FEB65:FED65"/>
    <mergeCell ref="IEE65:IEM65"/>
    <mergeCell ref="MOB65:MOD65"/>
    <mergeCell ref="WDO65:WDQ65"/>
    <mergeCell ref="POE65:POM65"/>
    <mergeCell ref="VIE65:VIM65"/>
    <mergeCell ref="EPE65:EPM65"/>
    <mergeCell ref="OFO65:OFQ65"/>
    <mergeCell ref="OER65:OEZ65"/>
    <mergeCell ref="SOO65:SOQ65"/>
    <mergeCell ref="TZO65:TZQ65"/>
    <mergeCell ref="GDB65:GDD65"/>
    <mergeCell ref="WZR65:WZZ65"/>
    <mergeCell ref="GGR65:GGZ65"/>
    <mergeCell ref="UGB65:UGD65"/>
    <mergeCell ref="QKO65:QKQ65"/>
    <mergeCell ref="COB65:COD65"/>
    <mergeCell ref="TKR65:TKZ65"/>
    <mergeCell ref="PSB65:PSD65"/>
    <mergeCell ref="UYO65:UYQ65"/>
    <mergeCell ref="ILR65:ILZ65"/>
    <mergeCell ref="MVO65:MVQ65"/>
    <mergeCell ref="ATE65:ATM65"/>
    <mergeCell ref="VPR65:VPZ65"/>
    <mergeCell ref="RJO65:RJQ65"/>
    <mergeCell ref="EWR65:EWZ65"/>
    <mergeCell ref="E76:M76"/>
    <mergeCell ref="GKO65:GKQ65"/>
    <mergeCell ref="JKR65:JKZ65"/>
    <mergeCell ref="NUO65:NUQ65"/>
    <mergeCell ref="TOO65:TOQ65"/>
    <mergeCell ref="GRB65:GRD65"/>
    <mergeCell ref="CVO65:CVQ65"/>
    <mergeCell ref="ICB65:ICD65"/>
    <mergeCell ref="MLB65:MLD65"/>
    <mergeCell ref="TSE65:TSM65"/>
    <mergeCell ref="VGB65:VGD65"/>
    <mergeCell ref="ADE65:ADM65"/>
    <mergeCell ref="ENB65:END65"/>
    <mergeCell ref="VJR65:VJZ65"/>
    <mergeCell ref="NHE65:NHM65"/>
    <mergeCell ref="RRB65:RRD65"/>
    <mergeCell ref="GDR65:GDZ65"/>
    <mergeCell ref="KNO65:KNQ65"/>
    <mergeCell ref="JSE65:JSM65"/>
    <mergeCell ref="TIO65:TIQ65"/>
    <mergeCell ref="B84:E84"/>
    <mergeCell ref="LJR65:LJZ65"/>
    <mergeCell ref="VWR65:VWZ65"/>
    <mergeCell ref="VNO65:VNQ65"/>
    <mergeCell ref="HRB65:HRD65"/>
    <mergeCell ref="ANO65:ANQ65"/>
    <mergeCell ref="FWE65:FWM65"/>
    <mergeCell ref="NOR65:NOZ65"/>
    <mergeCell ref="RYO65:RYQ65"/>
    <mergeCell ref="B79:E79"/>
    <mergeCell ref="JZR65:JZZ65"/>
    <mergeCell ref="TQB65:TQD65"/>
    <mergeCell ref="TPE65:TPM65"/>
    <mergeCell ref="FTO65:FTQ65"/>
    <mergeCell ref="LNO65:LNQ65"/>
    <mergeCell ref="VGR65:VGZ65"/>
    <mergeCell ref="LUB65:LUD65"/>
    <mergeCell ref="DOR65:DOZ65"/>
    <mergeCell ref="HYO65:HYQ65"/>
    <mergeCell ref="NFB65:NFD65"/>
    <mergeCell ref="AVB65:AVD65"/>
    <mergeCell ref="RRR65:RRZ65"/>
    <mergeCell ref="FGE65:FGM65"/>
    <mergeCell ref="PTE65:PTM65"/>
    <mergeCell ref="JQB65:JQD65"/>
    <mergeCell ref="TFO65:TFQ65"/>
    <mergeCell ref="WUB65:WUD65"/>
    <mergeCell ref="BRE65:BRM65"/>
    <mergeCell ref="PQO65:PQQ65"/>
    <mergeCell ref="SR65:SZ65"/>
    <mergeCell ref="DFB65:DFD65"/>
    <mergeCell ref="E24:M24"/>
    <mergeCell ref="OVE65:OVM65"/>
    <mergeCell ref="TFB65:TFD65"/>
    <mergeCell ref="NVR65:NVZ65"/>
    <mergeCell ref="MBO65:MBQ65"/>
    <mergeCell ref="DWE65:DWM65"/>
    <mergeCell ref="QB65:QD65"/>
    <mergeCell ref="RVO65:RVQ65"/>
    <mergeCell ref="E17:M17"/>
    <mergeCell ref="QMR65:QMZ65"/>
    <mergeCell ref="RZE65:RZM65"/>
    <mergeCell ref="TNB65:TND65"/>
    <mergeCell ref="MXR65:MXZ65"/>
    <mergeCell ref="FQO65:FQQ65"/>
    <mergeCell ref="BVB65:BVD65"/>
    <mergeCell ref="E19:M19"/>
    <mergeCell ref="KZE65:KZM65"/>
    <mergeCell ref="SRR65:SRZ65"/>
    <mergeCell ref="XBO65:XBQ65"/>
    <mergeCell ref="DVR65:DVZ65"/>
    <mergeCell ref="LOE65:LOM65"/>
    <mergeCell ref="PYB65:PYD65"/>
    <mergeCell ref="DMO65:DMQ65"/>
    <mergeCell ref="HKE65:HKM65"/>
    <mergeCell ref="PCR65:PCZ65"/>
    <mergeCell ref="UJE65:UJM65"/>
    <mergeCell ref="AGR65:AGZ65"/>
    <mergeCell ref="RPO65:RPQ65"/>
    <mergeCell ref="QQO65:QQQ65"/>
    <mergeCell ref="XO65:XQ65"/>
    <mergeCell ref="JNB65:JND65"/>
    <mergeCell ref="QUE65:QUM65"/>
    <mergeCell ref="QXB65:QXD65"/>
    <mergeCell ref="JQR65:JQZ65"/>
    <mergeCell ref="NBO65:NBQ65"/>
    <mergeCell ref="SIB65:SID65"/>
    <mergeCell ref="HSE65:HSM65"/>
    <mergeCell ref="BPB65:BPD65"/>
    <mergeCell ref="FYB65:FYD65"/>
    <mergeCell ref="WUR65:WUZ65"/>
    <mergeCell ref="CQR65:CQZ65"/>
    <mergeCell ref="KJE65:KJM65"/>
    <mergeCell ref="UWE65:UWM65"/>
    <mergeCell ref="OTB65:OTD65"/>
    <mergeCell ref="EDE65:EDM65"/>
    <mergeCell ref="GUE65:GUM65"/>
    <mergeCell ref="UTO65:UTQ65"/>
    <mergeCell ref="EVR65:EVZ65"/>
    <mergeCell ref="QYB65:QYD65"/>
    <mergeCell ref="CCB65:CCD65"/>
    <mergeCell ref="JUO65:JUQ65"/>
    <mergeCell ref="SYR65:SYZ65"/>
    <mergeCell ref="REO65:REQ65"/>
    <mergeCell ref="IZE65:IZM65"/>
    <mergeCell ref="SPO65:SPQ65"/>
    <mergeCell ref="ETB65:ETD65"/>
    <mergeCell ref="WYO65:WYQ65"/>
    <mergeCell ref="GFO65:GFQ65"/>
    <mergeCell ref="LMB65:LMD65"/>
    <mergeCell ref="XCE65:XCM65"/>
    <mergeCell ref="A50:D50"/>
    <mergeCell ref="PAO65:PAQ65"/>
    <mergeCell ref="KTO65:KTQ65"/>
    <mergeCell ref="DNE65:DNM65"/>
    <mergeCell ref="HXB65:HXD65"/>
    <mergeCell ref="QRE65:QRM65"/>
    <mergeCell ref="VBB65:VBD65"/>
    <mergeCell ref="YE65:YM65"/>
    <mergeCell ref="IPO65:IPQ65"/>
    <mergeCell ref="BMB65:BMD65"/>
    <mergeCell ref="E63:M63"/>
    <mergeCell ref="TGE65:TGM65"/>
    <mergeCell ref="WSO65:WSQ65"/>
    <mergeCell ref="FAO65:FAQ65"/>
    <mergeCell ref="HBE65:HBM65"/>
    <mergeCell ref="OTR65:OTZ65"/>
    <mergeCell ref="BLO65:BLQ65"/>
    <mergeCell ref="MVE65:MVM65"/>
    <mergeCell ref="GSB65:GSD65"/>
    <mergeCell ref="LBB65:LBD65"/>
    <mergeCell ref="ACB65:ACD65"/>
    <mergeCell ref="JGE65:JGM65"/>
    <mergeCell ref="QYR65:QYZ65"/>
    <mergeCell ref="VIO65:VIQ65"/>
    <mergeCell ref="BTO65:BTQ65"/>
    <mergeCell ref="WBB65:WBD65"/>
    <mergeCell ref="JDO65:JDQ65"/>
    <mergeCell ref="OXO65:OXQ65"/>
    <mergeCell ref="WHO65:WHQ65"/>
    <mergeCell ref="GE65:GM65"/>
    <mergeCell ref="LIO65:LIQ65"/>
    <mergeCell ref="QPB65:QPD65"/>
    <mergeCell ref="PTR65:PTZ65"/>
    <mergeCell ref="UDO65:UDQ65"/>
    <mergeCell ref="AXR65:AXZ65"/>
    <mergeCell ref="IQE65:IQM65"/>
    <mergeCell ref="NAB65:NAD65"/>
    <mergeCell ref="AOO65:AOQ65"/>
    <mergeCell ref="FBE65:FBM65"/>
    <mergeCell ref="DCR65:DCZ65"/>
    <mergeCell ref="WPB65:WPD65"/>
    <mergeCell ref="DAB65:DAD65"/>
    <mergeCell ref="MEE65:MEM65"/>
    <mergeCell ref="TWR65:TWZ65"/>
    <mergeCell ref="BBO65:BBQ65"/>
    <mergeCell ref="RYE65:RYM65"/>
    <mergeCell ref="QEB65:QED65"/>
    <mergeCell ref="BFE65:BFM65"/>
    <mergeCell ref="LB65:LD65"/>
    <mergeCell ref="QHR65:QHZ65"/>
    <mergeCell ref="FFB65:FFD65"/>
    <mergeCell ref="OJE65:OJM65"/>
    <mergeCell ref="WBR65:WBZ65"/>
    <mergeCell ref="OAB65:OAD65"/>
    <mergeCell ref="GWO65:GWQ65"/>
    <mergeCell ref="KUE65:KUM65"/>
    <mergeCell ref="OGO65:OGQ65"/>
    <mergeCell ref="KLB65:KLD65"/>
    <mergeCell ref="UAO65:UAQ65"/>
    <mergeCell ref="DHO65:DHQ65"/>
    <mergeCell ref="SFR65:SFZ65"/>
    <mergeCell ref="QLO65:QLQ65"/>
    <mergeCell ref="VSB65:VSD65"/>
    <mergeCell ref="BMR65:BMZ65"/>
    <mergeCell ref="GAR65:GAZ65"/>
    <mergeCell ref="SDB65:SDD65"/>
    <mergeCell ref="FRO65:FRQ65"/>
    <mergeCell ref="CLR65:CLZ65"/>
    <mergeCell ref="KEE65:KEM65"/>
    <mergeCell ref="UIB65:UID65"/>
    <mergeCell ref="IDB65:IDD65"/>
    <mergeCell ref="RHE65:RHM65"/>
    <mergeCell ref="VHB65:VHD65"/>
    <mergeCell ref="GIE65:GIM65"/>
    <mergeCell ref="EOB65:EOD65"/>
    <mergeCell ref="VKR65:VKZ65"/>
    <mergeCell ref="TME65:TMM65"/>
    <mergeCell ref="CTE65:CTM65"/>
    <mergeCell ref="LZO65:LZQ65"/>
    <mergeCell ref="PXE65:PXM65"/>
    <mergeCell ref="TJO65:TJQ65"/>
    <mergeCell ref="ASB65:ASD65"/>
    <mergeCell ref="IKO65:IKQ65"/>
    <mergeCell ref="ROR65:ROZ65"/>
    <mergeCell ref="VOO65:VOQ65"/>
    <mergeCell ref="GPR65:GPZ65"/>
    <mergeCell ref="E61:M61"/>
    <mergeCell ref="EVO65:EVQ65"/>
    <mergeCell ref="LDR65:LDZ65"/>
    <mergeCell ref="E54:M54"/>
    <mergeCell ref="AER65:AEZ65"/>
    <mergeCell ref="HOR65:HOZ65"/>
    <mergeCell ref="PHE65:PHM65"/>
    <mergeCell ref="TRB65:TRD65"/>
    <mergeCell ref="E56:M56"/>
    <mergeCell ref="JTR65:JTZ65"/>
    <mergeCell ref="NGB65:NGD65"/>
    <mergeCell ref="LLE65:LLM65"/>
    <mergeCell ref="JRB65:JRD65"/>
    <mergeCell ref="AME65:AMM65"/>
    <mergeCell ref="B12:D12"/>
    <mergeCell ref="HWE65:HWM65"/>
    <mergeCell ref="DGB65:DGD65"/>
    <mergeCell ref="VAE65:VAM65"/>
    <mergeCell ref="BLE65:BLM65"/>
    <mergeCell ref="FVB65:FVD65"/>
    <mergeCell ref="NNO65:NNQ65"/>
    <mergeCell ref="WRR65:WRZ65"/>
    <mergeCell ref="LSR65:LSZ65"/>
    <mergeCell ref="JYO65:JYQ65"/>
    <mergeCell ref="PFB65:PFD65"/>
    <mergeCell ref="QGR65:QGZ65"/>
    <mergeCell ref="NR65:NZ65"/>
    <mergeCell ref="LQB65:LQD65"/>
    <mergeCell ref="DNO65:DNQ65"/>
    <mergeCell ref="MRR65:MRZ65"/>
    <mergeCell ref="UKE65:UKM65"/>
    <mergeCell ref="K39:K40"/>
    <mergeCell ref="WVO65:WVQ65"/>
    <mergeCell ref="BSR65:BSZ65"/>
    <mergeCell ref="GCO65:GCQ65"/>
    <mergeCell ref="OWR65:OWZ65"/>
    <mergeCell ref="SJB65:SJD65"/>
    <mergeCell ref="BQB65:BQD65"/>
    <mergeCell ref="RO65:RQ65"/>
    <mergeCell ref="QOE65:QOM65"/>
    <mergeCell ref="OUB65:OUD65"/>
    <mergeCell ref="VE65:VM65"/>
    <mergeCell ref="EEE65:EEM65"/>
    <mergeCell ref="FPE65:FPM65"/>
    <mergeCell ref="DVB65:DVD65"/>
    <mergeCell ref="JBO65:JBQ65"/>
    <mergeCell ref="I38:J38"/>
    <mergeCell ref="MZE65:MZM65"/>
    <mergeCell ref="B58:D58"/>
    <mergeCell ref="B52:D52"/>
    <mergeCell ref="I40:J40"/>
    <mergeCell ref="GOE65:GOM65"/>
    <mergeCell ref="KYB65:KYD65"/>
    <mergeCell ref="SQO65:SQQ65"/>
    <mergeCell ref="KR65:KZ65"/>
    <mergeCell ref="B60:D60"/>
    <mergeCell ref="ZB65:ZD65"/>
    <mergeCell ref="URE65:URM65"/>
    <mergeCell ref="QVR65:QVZ65"/>
    <mergeCell ref="CZE65:CZM65"/>
    <mergeCell ref="PBO65:PBQ65"/>
    <mergeCell ref="B53:D53"/>
    <mergeCell ref="NGR65:NGZ65"/>
    <mergeCell ref="EQR65:EQZ65"/>
    <mergeCell ref="WWE65:WWM65"/>
    <mergeCell ref="QTB65:QTD65"/>
    <mergeCell ref="IQO65:IQQ65"/>
    <mergeCell ref="IUE65:IUM65"/>
    <mergeCell ref="THE65:THM65"/>
    <mergeCell ref="WTO65:WTQ65"/>
    <mergeCell ref="GVR65:GVZ65"/>
    <mergeCell ref="LFO65:LFQ65"/>
    <mergeCell ref="UYR65:UYZ65"/>
    <mergeCell ref="TZR65:TZZ65"/>
    <mergeCell ref="DGR65:DGZ65"/>
    <mergeCell ref="MWE65:MWM65"/>
    <mergeCell ref="GTB65:GTD65"/>
    <mergeCell ref="EUO65:EUQ65"/>
    <mergeCell ref="VRE65:VRM65"/>
    <mergeCell ref="TXB65:TXD65"/>
    <mergeCell ref="EYE65:EYM65"/>
    <mergeCell ref="JHE65:JHM65"/>
    <mergeCell ref="ONR65:ONZ65"/>
    <mergeCell ref="SXO65:SXQ65"/>
    <mergeCell ref="KSE65:KSM65"/>
    <mergeCell ref="BFO65:BFQ65"/>
    <mergeCell ref="IYB65:IYD65"/>
    <mergeCell ref="SCE65:SCM65"/>
    <mergeCell ref="KYR65:KYZ65"/>
    <mergeCell ref="SRE65:SRM65"/>
    <mergeCell ref="XBB65:XBD65"/>
    <mergeCell ref="CXB65:CXD65"/>
    <mergeCell ref="KPO65:KPQ65"/>
    <mergeCell ref="LRE65:LRM65"/>
    <mergeCell ref="NDR65:NDZ65"/>
    <mergeCell ref="HAO65:HAQ65"/>
    <mergeCell ref="QQB65:QQD65"/>
    <mergeCell ref="FCB65:FCD65"/>
    <mergeCell ref="VYR65:VYZ65"/>
    <mergeCell ref="ICE65:ICM65"/>
    <mergeCell ref="UEO65:UEQ65"/>
    <mergeCell ref="APO65:APQ65"/>
    <mergeCell ref="LCO65:LCQ65"/>
    <mergeCell ref="SJR65:SJZ65"/>
    <mergeCell ref="VWB65:VWD65"/>
    <mergeCell ref="LGE65:LGM65"/>
    <mergeCell ref="DDR65:DDZ65"/>
    <mergeCell ref="MUB65:MUD65"/>
    <mergeCell ref="NXE65:NXM65"/>
    <mergeCell ref="LYR65:LYZ65"/>
    <mergeCell ref="QIO65:QIQ65"/>
    <mergeCell ref="B10:D10"/>
    <mergeCell ref="EVE65:EVM65"/>
    <mergeCell ref="JFB65:JFD65"/>
    <mergeCell ref="QXO65:QXQ65"/>
    <mergeCell ref="IJR65:IJZ65"/>
    <mergeCell ref="UMB65:UMD65"/>
    <mergeCell ref="BGE65:BGM65"/>
    <mergeCell ref="JXO65:JXQ65"/>
    <mergeCell ref="KBE65:KBM65"/>
    <mergeCell ref="M37:M38"/>
    <mergeCell ref="TQR65:TQZ65"/>
    <mergeCell ref="CXR65:CXZ65"/>
    <mergeCell ref="GIO65:GIQ65"/>
    <mergeCell ref="OBB65:OBD65"/>
    <mergeCell ref="CE65:CM65"/>
    <mergeCell ref="QBR65:QBZ65"/>
    <mergeCell ref="DQE65:DQM65"/>
    <mergeCell ref="IAB65:IAD65"/>
    <mergeCell ref="PSO65:PSQ65"/>
    <mergeCell ref="ABE65:ABM65"/>
    <mergeCell ref="HTR65:HTZ65"/>
    <mergeCell ref="SGR65:SGZ65"/>
    <mergeCell ref="MDO65:MDQ65"/>
    <mergeCell ref="VTB65:VTD65"/>
    <mergeCell ref="BNR65:BNZ65"/>
    <mergeCell ref="KFB65:KFD65"/>
    <mergeCell ref="FAB65:FAD65"/>
    <mergeCell ref="DBO65:DBQ65"/>
    <mergeCell ref="KIR65:KIZ65"/>
    <mergeCell ref="TYE65:TYM65"/>
    <mergeCell ref="CGE65:CGM65"/>
    <mergeCell ref="FSO65:FSQ65"/>
    <mergeCell ref="B21:D21"/>
    <mergeCell ref="MO65:MQ65"/>
    <mergeCell ref="QJE65:QJM65"/>
    <mergeCell ref="DXR65:DXZ65"/>
    <mergeCell ref="RXB65:RXD65"/>
    <mergeCell ref="BEB65:BED65"/>
    <mergeCell ref="AFB65:AFD65"/>
    <mergeCell ref="B23:D23"/>
    <mergeCell ref="SAR65:SAZ65"/>
    <mergeCell ref="VLO65:VLQ65"/>
    <mergeCell ref="RBR65:RBZ65"/>
    <mergeCell ref="AIR65:AIZ65"/>
    <mergeCell ref="JYE65:JYM65"/>
    <mergeCell ref="OIB65:OID65"/>
    <mergeCell ref="WAO65:WAQ65"/>
    <mergeCell ref="BWO65:BWQ65"/>
    <mergeCell ref="UFR65:UFZ65"/>
    <mergeCell ref="GJE65:GJM65"/>
    <mergeCell ref="GAB65:GAD65"/>
    <mergeCell ref="PEE65:PEM65"/>
    <mergeCell ref="QQR65:QQZ65"/>
    <mergeCell ref="IAR65:IAZ65"/>
    <mergeCell ref="CUE65:CUM65"/>
    <mergeCell ref="EFE65:EFM65"/>
    <mergeCell ref="CLB65:CLD65"/>
    <mergeCell ref="SEO65:SEQ65"/>
    <mergeCell ref="VER65:VEZ65"/>
    <mergeCell ref="B51:D51"/>
    <mergeCell ref="UVO65:UVQ65"/>
    <mergeCell ref="AQE65:AQM65"/>
    <mergeCell ref="KFR65:KFZ65"/>
    <mergeCell ref="OPO65:OPQ65"/>
    <mergeCell ref="RPR65:RPZ65"/>
    <mergeCell ref="GQR65:GQZ65"/>
    <mergeCell ref="LXE65:LXM65"/>
    <mergeCell ref="PIB65:PID65"/>
    <mergeCell ref="KDB65:KDD65"/>
    <mergeCell ref="IEO65:IEQ65"/>
    <mergeCell ref="PLR65:PLZ65"/>
    <mergeCell ref="IIE65:IIM65"/>
    <mergeCell ref="HJE65:HJM65"/>
    <mergeCell ref="TLO65:TLQ65"/>
    <mergeCell ref="AFR65:AFZ65"/>
    <mergeCell ref="EPO65:EPQ65"/>
    <mergeCell ref="VME65:VMM65"/>
    <mergeCell ref="JAR65:JAZ65"/>
    <mergeCell ref="XAB65:XAD65"/>
    <mergeCell ref="BXE65:BXM65"/>
    <mergeCell ref="GHB65:GHD65"/>
    <mergeCell ref="XDR65:XDZ65"/>
    <mergeCell ref="TLB65:TLD65"/>
    <mergeCell ref="IMB65:IMD65"/>
    <mergeCell ref="WB65:WD65"/>
    <mergeCell ref="LME65:LMM65"/>
    <mergeCell ref="IPR65:IPZ65"/>
    <mergeCell ref="LDB65:LDD65"/>
    <mergeCell ref="ANE65:ANM65"/>
    <mergeCell ref="DZO65:DZQ65"/>
    <mergeCell ref="VTR65:VTZ65"/>
    <mergeCell ref="HXE65:HXM65"/>
    <mergeCell ref="JIE65:JIM65"/>
    <mergeCell ref="CER65:CEZ65"/>
    <mergeCell ref="GOO65:GOQ65"/>
    <mergeCell ref="JOR65:JOZ65"/>
    <mergeCell ref="FTE65:FTM65"/>
    <mergeCell ref="PIR65:PIZ65"/>
    <mergeCell ref="TSO65:TSQ65"/>
    <mergeCell ref="WSR65:WSZ65"/>
    <mergeCell ref="ADO65:ADQ65"/>
    <mergeCell ref="LTR65:LTZ65"/>
    <mergeCell ref="RAE65:RAM65"/>
    <mergeCell ref="HNO65:HNQ65"/>
    <mergeCell ref="AHE65:AHM65"/>
    <mergeCell ref="DSB65:DSD65"/>
    <mergeCell ref="IE65:IM65"/>
    <mergeCell ref="NHO65:NHQ65"/>
    <mergeCell ref="NLE65:NLM65"/>
    <mergeCell ref="OR65:OZ65"/>
    <mergeCell ref="M33:M34"/>
    <mergeCell ref="JSO65:JSQ65"/>
    <mergeCell ref="BTR65:BTZ65"/>
    <mergeCell ref="HAE65:HAM65"/>
    <mergeCell ref="LKB65:LKD65"/>
    <mergeCell ref="GDO65:GDQ65"/>
    <mergeCell ref="XAE65:XAM65"/>
    <mergeCell ref="ALB65:ALD65"/>
    <mergeCell ref="DLE65:DLM65"/>
    <mergeCell ref="PR65:PZ65"/>
    <mergeCell ref="NPB65:NPD65"/>
    <mergeCell ref="QPE65:QPM65"/>
    <mergeCell ref="UZB65:UZD65"/>
    <mergeCell ref="NSR65:NSZ65"/>
    <mergeCell ref="WE65:WM65"/>
    <mergeCell ref="FQE65:FQM65"/>
    <mergeCell ref="BKB65:BKD65"/>
    <mergeCell ref="NAE65:NAM65"/>
    <mergeCell ref="HHR65:HHZ65"/>
    <mergeCell ref="LRO65:LRQ65"/>
    <mergeCell ref="ORR65:ORZ65"/>
    <mergeCell ref="DPB65:DPD65"/>
    <mergeCell ref="ULR65:ULZ65"/>
    <mergeCell ref="DSR65:DSZ65"/>
    <mergeCell ref="AAB65:AAD65"/>
    <mergeCell ref="FGO65:FGQ65"/>
    <mergeCell ref="QWR65:QWZ65"/>
    <mergeCell ref="WDE65:WDM65"/>
    <mergeCell ref="FKE65:FKM65"/>
    <mergeCell ref="BRO65:BRQ65"/>
    <mergeCell ref="NHR65:NHZ65"/>
    <mergeCell ref="SOE65:SOM65"/>
    <mergeCell ref="B20:D20"/>
    <mergeCell ref="OVO65:OVQ65"/>
    <mergeCell ref="HPE65:HPM65"/>
    <mergeCell ref="LZB65:LZD65"/>
    <mergeCell ref="GWR65:GWZ65"/>
    <mergeCell ref="LGO65:LGQ65"/>
    <mergeCell ref="QNB65:QND65"/>
    <mergeCell ref="EAE65:EAM65"/>
    <mergeCell ref="FOB65:FOD65"/>
    <mergeCell ref="IOE65:IOM65"/>
    <mergeCell ref="MYB65:MYD65"/>
    <mergeCell ref="UQO65:UQQ65"/>
    <mergeCell ref="SSB65:SSD65"/>
    <mergeCell ref="BZB65:BZD65"/>
    <mergeCell ref="VSE65:VSM65"/>
    <mergeCell ref="SVR65:SVZ65"/>
    <mergeCell ref="EZE65:EZM65"/>
    <mergeCell ref="GNB65:GND65"/>
    <mergeCell ref="GR65:GZ65"/>
    <mergeCell ref="SDE65:SDM65"/>
    <mergeCell ref="K37:K38"/>
    <mergeCell ref="MKR65:MKZ65"/>
    <mergeCell ref="QUO65:QUQ65"/>
    <mergeCell ref="CYB65:CYD65"/>
    <mergeCell ref="TUR65:TUZ65"/>
    <mergeCell ref="IVR65:IVZ65"/>
    <mergeCell ref="FDB65:FDD65"/>
    <mergeCell ref="KJO65:KJQ65"/>
    <mergeCell ref="VZR65:VZZ65"/>
    <mergeCell ref="FGR65:FGZ65"/>
    <mergeCell ref="KNE65:KNM65"/>
    <mergeCell ref="GUO65:GUQ65"/>
    <mergeCell ref="SKR65:SKZ65"/>
    <mergeCell ref="TYO65:TYQ65"/>
    <mergeCell ref="MSE65:MSM65"/>
    <mergeCell ref="RCB65:RCD65"/>
    <mergeCell ref="DFO65:DFQ65"/>
    <mergeCell ref="UCE65:UCM65"/>
    <mergeCell ref="E40:F40"/>
    <mergeCell ref="LZR65:LZZ65"/>
    <mergeCell ref="QJO65:QJQ65"/>
    <mergeCell ref="VQB65:VQD65"/>
    <mergeCell ref="JDE65:JDM65"/>
    <mergeCell ref="KRB65:KRD65"/>
    <mergeCell ref="NRE65:NRM65"/>
    <mergeCell ref="SBB65:SBD65"/>
    <mergeCell ref="CSE65:CSM65"/>
    <mergeCell ref="HCB65:HCD65"/>
    <mergeCell ref="KCE65:KCM65"/>
    <mergeCell ref="CYR65:CYZ65"/>
    <mergeCell ref="DE65:DM65"/>
    <mergeCell ref="EJR65:EJZ65"/>
    <mergeCell ref="B59:D59"/>
    <mergeCell ref="MHE65:MHM65"/>
    <mergeCell ref="DRE65:DRM65"/>
    <mergeCell ref="VXO65:VXQ65"/>
    <mergeCell ref="AUR65:AUZ65"/>
    <mergeCell ref="NYR65:NYZ65"/>
    <mergeCell ref="KGB65:KGD65"/>
    <mergeCell ref="CZR65:CZZ65"/>
    <mergeCell ref="KJR65:KJZ65"/>
    <mergeCell ref="PQE65:PQM65"/>
    <mergeCell ref="TZE65:TZM65"/>
    <mergeCell ref="LXO65:LXQ65"/>
    <mergeCell ref="MBE65:MBM65"/>
    <mergeCell ref="AYO65:AYQ65"/>
    <mergeCell ref="RVE65:RVM65"/>
    <mergeCell ref="WFB65:WFD65"/>
    <mergeCell ref="IIO65:IIQ65"/>
    <mergeCell ref="DYR65:DYZ65"/>
    <mergeCell ref="SBR65:SBZ65"/>
    <mergeCell ref="VMO65:VMQ65"/>
    <mergeCell ref="RCR65:RCZ65"/>
    <mergeCell ref="OGE65:OGM65"/>
    <mergeCell ref="AJR65:AJZ65"/>
    <mergeCell ref="KAB65:KAD65"/>
    <mergeCell ref="PUB65:PUD65"/>
    <mergeCell ref="BXO65:BXQ65"/>
    <mergeCell ref="BB65:BD65"/>
    <mergeCell ref="SUE65:SUM65"/>
    <mergeCell ref="XEB65:XED65"/>
    <mergeCell ref="CBE65:CBM65"/>
    <mergeCell ref="QAO65:QAQ65"/>
    <mergeCell ref="E32:M32"/>
    <mergeCell ref="MFB65:MFD65"/>
    <mergeCell ref="PFE65:PFM65"/>
    <mergeCell ref="EGE65:EGM65"/>
    <mergeCell ref="JMR65:JMZ65"/>
    <mergeCell ref="IQB65:IQD65"/>
    <mergeCell ref="SFO65:SFQ65"/>
    <mergeCell ref="RKE65:RKM65"/>
    <mergeCell ref="ARE65:ARM65"/>
    <mergeCell ref="FXR65:FXZ65"/>
    <mergeCell ref="OQO65:OQQ65"/>
    <mergeCell ref="QBO65:QBQ65"/>
    <mergeCell ref="CFB65:CFD65"/>
    <mergeCell ref="TBR65:TBZ65"/>
    <mergeCell ref="CIR65:CIZ65"/>
    <mergeCell ref="LYE65:LYM65"/>
    <mergeCell ref="QIB65:QID65"/>
    <mergeCell ref="PJB65:PJD65"/>
    <mergeCell ref="ICR65:ICZ65"/>
    <mergeCell ref="DWO65:DWQ65"/>
    <mergeCell ref="PMR65:PMZ65"/>
    <mergeCell ref="UTE65:UTM65"/>
    <mergeCell ref="IJE65:IJM65"/>
    <mergeCell ref="RAO65:RAQ65"/>
    <mergeCell ref="AHO65:AHQ65"/>
    <mergeCell ref="JXB65:JXD65"/>
    <mergeCell ref="REE65:REM65"/>
    <mergeCell ref="GBO65:GBQ65"/>
    <mergeCell ref="K33:K34"/>
    <mergeCell ref="WYE65:WYM65"/>
    <mergeCell ref="NLO65:NLQ65"/>
    <mergeCell ref="JBR65:JBZ65"/>
    <mergeCell ref="E60:M60"/>
    <mergeCell ref="BYE65:BYM65"/>
    <mergeCell ref="GIB65:GID65"/>
    <mergeCell ref="XER65:XEZ65"/>
    <mergeCell ref="TJE65:TJM65"/>
    <mergeCell ref="FMR65:FMZ65"/>
    <mergeCell ref="PDB65:PDD65"/>
    <mergeCell ref="K35:K36"/>
    <mergeCell ref="ENE65:ENM65"/>
    <mergeCell ref="EEB65:EED65"/>
    <mergeCell ref="INB65:IND65"/>
    <mergeCell ref="PUE65:PUM65"/>
    <mergeCell ref="VAR65:VAZ65"/>
    <mergeCell ref="HEE65:HEM65"/>
    <mergeCell ref="IQR65:IQZ65"/>
    <mergeCell ref="RIB65:RID65"/>
    <mergeCell ref="KEO65:KEQ65"/>
    <mergeCell ref="JJE65:JJM65"/>
    <mergeCell ref="NTB65:NTD65"/>
    <mergeCell ref="CFR65:CFZ65"/>
    <mergeCell ref="GPO65:GPQ65"/>
    <mergeCell ref="WNE65:WNM65"/>
    <mergeCell ref="FUE65:FUM65"/>
    <mergeCell ref="LAR65:LAZ65"/>
    <mergeCell ref="PKO65:PKQ65"/>
    <mergeCell ref="TTO65:TTQ65"/>
    <mergeCell ref="A25:D25"/>
    <mergeCell ref="VEO65:VEQ65"/>
    <mergeCell ref="IHB65:IHD65"/>
    <mergeCell ref="HIB65:HID65"/>
    <mergeCell ref="AEO65:AEQ65"/>
    <mergeCell ref="HLR65:HLZ65"/>
    <mergeCell ref="RBE65:RBM65"/>
    <mergeCell ref="VLB65:VLD65"/>
    <mergeCell ref="AIE65:AIM65"/>
    <mergeCell ref="DTB65:DTD65"/>
    <mergeCell ref="IZO65:IZQ65"/>
    <mergeCell ref="JE65:JM65"/>
    <mergeCell ref="E71:M71"/>
    <mergeCell ref="NME65:NMM65"/>
    <mergeCell ref="BAR65:BAZ65"/>
    <mergeCell ref="FKO65:FKQ65"/>
    <mergeCell ref="PAB65:PAD65"/>
    <mergeCell ref="WHE65:WHM65"/>
    <mergeCell ref="E73:M73"/>
    <mergeCell ref="LLB65:LLD65"/>
    <mergeCell ref="HPO65:HPQ65"/>
    <mergeCell ref="O65:Q65"/>
    <mergeCell ref="AMB65:AMD65"/>
    <mergeCell ref="JQE65:JQM65"/>
    <mergeCell ref="RIR65:RIZ65"/>
    <mergeCell ref="VSO65:VSQ65"/>
    <mergeCell ref="QR65:QZ65"/>
    <mergeCell ref="JHB65:JHD65"/>
    <mergeCell ref="NQB65:NQD65"/>
    <mergeCell ref="UXE65:UXM65"/>
    <mergeCell ref="E74:M74"/>
    <mergeCell ref="NTR65:NTZ65"/>
    <mergeCell ref="TAE65:TAM65"/>
    <mergeCell ref="WLB65:WLD65"/>
    <mergeCell ref="BIE65:BIM65"/>
    <mergeCell ref="FSB65:FSD65"/>
    <mergeCell ref="PHO65:PHQ65"/>
    <mergeCell ref="WOR65:WOZ65"/>
    <mergeCell ref="PLE65:PLM65"/>
    <mergeCell ref="SWB65:SWD65"/>
    <mergeCell ref="OME65:OMM65"/>
    <mergeCell ref="HIR65:HIZ65"/>
    <mergeCell ref="LSO65:LSQ65"/>
    <mergeCell ref="HB65:HD65"/>
    <mergeCell ref="QDR65:QDZ65"/>
    <mergeCell ref="UNO65:UNQ65"/>
    <mergeCell ref="JXR65:JXZ65"/>
    <mergeCell ref="RQE65:RQM65"/>
    <mergeCell ref="NKB65:NKD65"/>
    <mergeCell ref="TEB65:TED65"/>
    <mergeCell ref="MOR65:MOZ65"/>
    <mergeCell ref="FHO65:FHQ65"/>
    <mergeCell ref="WEE65:WEM65"/>
    <mergeCell ref="FLE65:FLM65"/>
    <mergeCell ref="OCO65:OCQ65"/>
    <mergeCell ref="DMR65:DMZ65"/>
    <mergeCell ref="PPB65:PPD65"/>
    <mergeCell ref="BSO65:BSQ65"/>
    <mergeCell ref="SPE65:SPM65"/>
    <mergeCell ref="UDB65:UDD65"/>
    <mergeCell ref="HQE65:HQM65"/>
    <mergeCell ref="MAB65:MAD65"/>
    <mergeCell ref="XR65:XZ65"/>
    <mergeCell ref="OO65:OQ65"/>
    <mergeCell ref="QOB65:QOD65"/>
    <mergeCell ref="JHR65:JHZ65"/>
    <mergeCell ref="MSO65:MSQ65"/>
    <mergeCell ref="B70:D70"/>
    <mergeCell ref="FPB65:FPD65"/>
    <mergeCell ref="WLR65:WLZ65"/>
    <mergeCell ref="MZB65:MZD65"/>
    <mergeCell ref="FSR65:FSZ65"/>
    <mergeCell ref="ETR65:ETZ65"/>
    <mergeCell ref="OKB65:OKD65"/>
    <mergeCell ref="STB65:STD65"/>
    <mergeCell ref="CAB65:CAD65"/>
    <mergeCell ref="HGO65:HGQ65"/>
    <mergeCell ref="SWR65:SWZ65"/>
    <mergeCell ref="GLE65:GLM65"/>
    <mergeCell ref="KVB65:KVD65"/>
    <mergeCell ref="UKO65:UKQ65"/>
    <mergeCell ref="HR65:HZ65"/>
    <mergeCell ref="DRO65:DRQ65"/>
    <mergeCell ref="UOE65:UOM65"/>
    <mergeCell ref="CWE65:CWM65"/>
    <mergeCell ref="MLR65:MLZ65"/>
    <mergeCell ref="QVO65:QVQ65"/>
    <mergeCell ref="EKB65:EKD65"/>
    <mergeCell ref="ENR65:ENZ65"/>
    <mergeCell ref="PAR65:PAZ65"/>
    <mergeCell ref="WTE65:WTM65"/>
    <mergeCell ref="SNB65:SND65"/>
    <mergeCell ref="HOB65:HOD65"/>
    <mergeCell ref="TEE65:TEM65"/>
    <mergeCell ref="KOE65:KOM65"/>
    <mergeCell ref="AE65:AM65"/>
    <mergeCell ref="E16:M16"/>
    <mergeCell ref="CMO65:CMQ65"/>
    <mergeCell ref="USB65:USD65"/>
    <mergeCell ref="GVO65:GVQ65"/>
    <mergeCell ref="PE65:PM65"/>
    <mergeCell ref="DZB65:DZD65"/>
    <mergeCell ref="FAR65:FAZ65"/>
    <mergeCell ref="MTE65:MTM65"/>
    <mergeCell ref="RDB65:RDD65"/>
    <mergeCell ref="E18:M18"/>
    <mergeCell ref="ERO65:ERQ65"/>
    <mergeCell ref="VOE65:VOM65"/>
    <mergeCell ref="OKR65:OKZ65"/>
    <mergeCell ref="SUO65:SUQ65"/>
    <mergeCell ref="EYB65:EYD65"/>
    <mergeCell ref="BCO65:BCQ65"/>
    <mergeCell ref="KSB65:KSD65"/>
    <mergeCell ref="SCB65:SCD65"/>
    <mergeCell ref="KVR65:KVZ65"/>
    <mergeCell ref="IXE65:IXM65"/>
    <mergeCell ref="CUB65:CUD65"/>
    <mergeCell ref="HDB65:HDD65"/>
    <mergeCell ref="MJO65:MJQ65"/>
    <mergeCell ref="BKO65:BKQ65"/>
    <mergeCell ref="EKR65:EKZ65"/>
    <mergeCell ref="IUO65:IUQ65"/>
    <mergeCell ref="VYO65:VYQ65"/>
    <mergeCell ref="AVR65:AVZ65"/>
    <mergeCell ref="KZO65:KZQ65"/>
    <mergeCell ref="CJO65:CJQ65"/>
    <mergeCell ref="UDR65:UDZ65"/>
    <mergeCell ref="SJO65:SJQ65"/>
    <mergeCell ref="E77:M77"/>
    <mergeCell ref="TUO65:TUQ65"/>
    <mergeCell ref="MRB65:MRD65"/>
    <mergeCell ref="PRE65:PRM65"/>
    <mergeCell ref="QFO65:QFQ65"/>
    <mergeCell ref="LYO65:LYQ65"/>
    <mergeCell ref="ESE65:ESM65"/>
    <mergeCell ref="JCB65:JCD65"/>
    <mergeCell ref="MCE65:MCM65"/>
    <mergeCell ref="AZO65:AZQ65"/>
    <mergeCell ref="RWE65:RWM65"/>
    <mergeCell ref="WGB65:WGD65"/>
    <mergeCell ref="BDE65:BDM65"/>
    <mergeCell ref="E72:M72"/>
    <mergeCell ref="CRB65:CRD65"/>
    <mergeCell ref="TNR65:TNZ65"/>
    <mergeCell ref="KBB65:KBD65"/>
    <mergeCell ref="PVB65:PVD65"/>
    <mergeCell ref="CB65:CD65"/>
    <mergeCell ref="PYR65:PYZ65"/>
    <mergeCell ref="D83:E83"/>
    <mergeCell ref="OAE65:OAM65"/>
    <mergeCell ref="MGB65:MGD65"/>
    <mergeCell ref="RMO65:RMQ65"/>
    <mergeCell ref="ATO65:ATQ65"/>
    <mergeCell ref="B22:D22"/>
    <mergeCell ref="JNR65:JNZ65"/>
    <mergeCell ref="NXO65:NXQ65"/>
    <mergeCell ref="CYO65:CYQ65"/>
    <mergeCell ref="FYR65:FYZ65"/>
    <mergeCell ref="QCO65:QCQ65"/>
    <mergeCell ref="JO65:JQ65"/>
    <mergeCell ref="ALE65:ALM65"/>
    <mergeCell ref="RUB65:RUD65"/>
    <mergeCell ref="DXO65:DXQ65"/>
    <mergeCell ref="D80:E80"/>
    <mergeCell ref="B38:D38"/>
    <mergeCell ref="CCR65:CCZ65"/>
    <mergeCell ref="JVE65:JVM65"/>
    <mergeCell ref="OFB65:OFD65"/>
    <mergeCell ref="RFE65:RFM65"/>
    <mergeCell ref="WZE65:WZM65"/>
    <mergeCell ref="GGE65:GGM65"/>
    <mergeCell ref="B40:D40"/>
    <mergeCell ref="PWO65:PWQ65"/>
    <mergeCell ref="HUB65:HUD65"/>
    <mergeCell ref="PEB65:PED65"/>
    <mergeCell ref="EFB65:EFD65"/>
    <mergeCell ref="VBR65:VBZ65"/>
    <mergeCell ref="TDE65:TDM65"/>
    <mergeCell ref="RJB65:RJD65"/>
    <mergeCell ref="WPO65:WPQ65"/>
    <mergeCell ref="CKE65:CKM65"/>
    <mergeCell ref="AQB65:AQD65"/>
    <mergeCell ref="FWO65:FWQ65"/>
    <mergeCell ref="TAO65:TAQ65"/>
    <mergeCell ref="IBO65:IBQ65"/>
    <mergeCell ref="LBR65:LBZ65"/>
    <mergeCell ref="PLO65:PLQ65"/>
    <mergeCell ref="VFO65:VFQ65"/>
    <mergeCell ref="ACR65:ACZ65"/>
    <mergeCell ref="EMO65:EMQ65"/>
    <mergeCell ref="WXB65:WXD65"/>
    <mergeCell ref="JAO65:JAQ65"/>
    <mergeCell ref="HFR65:HFZ65"/>
    <mergeCell ref="OYE65:OYM65"/>
    <mergeCell ref="TIB65:TID65"/>
    <mergeCell ref="WIE65:WIM65"/>
    <mergeCell ref="TB65:TD65"/>
    <mergeCell ref="DQR65:DQZ65"/>
    <mergeCell ref="LJE65:LJM65"/>
    <mergeCell ref="UZO65:UZQ65"/>
    <mergeCell ref="UHB65:UHD65"/>
    <mergeCell ref="JIB65:JID65"/>
    <mergeCell ref="SME65:SMM65"/>
    <mergeCell ref="TBE65:TBM65"/>
    <mergeCell ref="WMB65:WMD65"/>
    <mergeCell ref="HNE65:HNM65"/>
    <mergeCell ref="FTB65:FTD65"/>
    <mergeCell ref="WPR65:WPZ65"/>
    <mergeCell ref="HKO65:HKQ65"/>
    <mergeCell ref="NEO65:NEQ65"/>
    <mergeCell ref="QER65:QEZ65"/>
    <mergeCell ref="UOO65:UOQ65"/>
    <mergeCell ref="LR65:LZ65"/>
    <mergeCell ref="JYR65:JYZ65"/>
    <mergeCell ref="NLB65:NLD65"/>
    <mergeCell ref="FFR65:FFZ65"/>
    <mergeCell ref="JPO65:JPQ65"/>
    <mergeCell ref="OWB65:OWD65"/>
    <mergeCell ref="ODO65:ODQ65"/>
    <mergeCell ref="MIR65:MIZ65"/>
    <mergeCell ref="BJR65:BJZ65"/>
    <mergeCell ref="PO65:PQ65"/>
    <mergeCell ref="EWB65:EWD65"/>
    <mergeCell ref="ITR65:ITZ65"/>
    <mergeCell ref="QME65:QMM65"/>
    <mergeCell ref="BQE65:BQM65"/>
    <mergeCell ref="NSO65:NSQ65"/>
    <mergeCell ref="BHB65:BHD65"/>
    <mergeCell ref="SDR65:SDZ65"/>
    <mergeCell ref="OLB65:OLD65"/>
    <mergeCell ref="HHO65:HHQ65"/>
    <mergeCell ref="OOR65:OOZ65"/>
    <mergeCell ref="DMB65:DMD65"/>
    <mergeCell ref="MQE65:MQM65"/>
    <mergeCell ref="KWB65:KWD65"/>
    <mergeCell ref="B9:D9"/>
    <mergeCell ref="SQR65:SQZ65"/>
    <mergeCell ref="MNO65:MNQ65"/>
    <mergeCell ref="B36:D36"/>
    <mergeCell ref="SHO65:SHQ65"/>
    <mergeCell ref="EOR65:EOZ65"/>
    <mergeCell ref="PBR65:PBZ65"/>
    <mergeCell ref="SOB65:SOD65"/>
    <mergeCell ref="CQE65:CQM65"/>
    <mergeCell ref="HAB65:HAD65"/>
    <mergeCell ref="OSO65:OSQ65"/>
    <mergeCell ref="TZB65:TZD65"/>
    <mergeCell ref="E53:M53"/>
    <mergeCell ref="WO65:WQ65"/>
    <mergeCell ref="QTE65:QTM65"/>
    <mergeCell ref="BE65:BM65"/>
    <mergeCell ref="MAE65:MAM65"/>
    <mergeCell ref="QKB65:QKD65"/>
    <mergeCell ref="LDO65:LDQ65"/>
    <mergeCell ref="B31:D31"/>
    <mergeCell ref="UWR65:UWZ65"/>
    <mergeCell ref="RLR65:RLZ65"/>
    <mergeCell ref="ASR65:ASZ65"/>
    <mergeCell ref="WKO65:WKQ65"/>
    <mergeCell ref="GMR65:GMZ65"/>
    <mergeCell ref="ESO65:ESQ65"/>
    <mergeCell ref="NWR65:NWZ65"/>
    <mergeCell ref="VPE65:VPM65"/>
    <mergeCell ref="B39:D39"/>
    <mergeCell ref="SVO65:SVQ65"/>
    <mergeCell ref="GKB65:GKD65"/>
    <mergeCell ref="TOB65:TOD65"/>
    <mergeCell ref="IYE65:IYM65"/>
    <mergeCell ref="CVB65:CVD65"/>
    <mergeCell ref="MKO65:MKQ65"/>
    <mergeCell ref="TRR65:TRZ65"/>
    <mergeCell ref="AWO65:AWQ65"/>
    <mergeCell ref="RTE65:RTM65"/>
    <mergeCell ref="KPR65:KPZ65"/>
    <mergeCell ref="SIE65:SIM65"/>
    <mergeCell ref="WSB65:WSD65"/>
    <mergeCell ref="KGO65:KGQ65"/>
    <mergeCell ref="OEE65:OEM65"/>
    <mergeCell ref="RQO65:RQQ65"/>
    <mergeCell ref="HAR65:HAZ65"/>
    <mergeCell ref="OTE65:OTM65"/>
    <mergeCell ref="I37:J37"/>
    <mergeCell ref="B65:D65"/>
    <mergeCell ref="HTE65:HTM65"/>
    <mergeCell ref="MDB65:MDD65"/>
    <mergeCell ref="TVO65:TVQ65"/>
    <mergeCell ref="MSB65:MSD65"/>
    <mergeCell ref="VWE65:VWM65"/>
    <mergeCell ref="QGO65:QGQ65"/>
    <mergeCell ref="VNB65:VND65"/>
    <mergeCell ref="KXE65:KXM65"/>
    <mergeCell ref="FVR65:FVZ65"/>
    <mergeCell ref="NOE65:NOM65"/>
    <mergeCell ref="RYB65:RYD65"/>
    <mergeCell ref="KUO65:KUQ65"/>
    <mergeCell ref="JVO65:JVQ65"/>
    <mergeCell ref="IWB65:IWD65"/>
    <mergeCell ref="QOO65:QOQ65"/>
    <mergeCell ref="JZE65:JZM65"/>
    <mergeCell ref="LNB65:LND65"/>
    <mergeCell ref="AXE65:AXM65"/>
    <mergeCell ref="FHB65:FHD65"/>
    <mergeCell ref="MZO65:MZQ65"/>
    <mergeCell ref="OBE65:OBM65"/>
    <mergeCell ref="HYB65:HYD65"/>
    <mergeCell ref="RNO65:RNQ65"/>
    <mergeCell ref="COR65:COZ65"/>
    <mergeCell ref="FZO65:FZQ65"/>
    <mergeCell ref="AUO65:AUQ65"/>
    <mergeCell ref="GDE65:GDM65"/>
    <mergeCell ref="PSR65:PSZ65"/>
    <mergeCell ref="UCO65:UCQ65"/>
    <mergeCell ref="R65:Z65"/>
    <mergeCell ref="PJO65:PJQ65"/>
    <mergeCell ref="MDR65:MDZ65"/>
    <mergeCell ref="TWE65:TWM65"/>
    <mergeCell ref="SE65:SM65"/>
    <mergeCell ref="ECB65:ECD65"/>
    <mergeCell ref="LUO65:LUQ65"/>
    <mergeCell ref="ERB65:ERD65"/>
    <mergeCell ref="NVE65:NVM65"/>
    <mergeCell ref="CSO65:CSQ65"/>
    <mergeCell ref="IFO65:IFQ65"/>
    <mergeCell ref="RVB65:RVD65"/>
    <mergeCell ref="BCB65:BCD65"/>
    <mergeCell ref="DO65:DQ65"/>
    <mergeCell ref="GWB65:GWD65"/>
    <mergeCell ref="QAE65:QAM65"/>
    <mergeCell ref="BUO65:BUQ65"/>
    <mergeCell ref="MLE65:MLM65"/>
    <mergeCell ref="PXO65:PXQ65"/>
    <mergeCell ref="ZR65:ZZ65"/>
    <mergeCell ref="NZB65:NZD65"/>
    <mergeCell ref="VRO65:VRQ65"/>
    <mergeCell ref="GAE65:GAM65"/>
    <mergeCell ref="KKB65:KKD65"/>
    <mergeCell ref="SCO65:SCQ65"/>
    <mergeCell ref="XB65:XD65"/>
    <mergeCell ref="WQO65:WQQ65"/>
    <mergeCell ref="HRR65:HRZ65"/>
    <mergeCell ref="CLE65:CLM65"/>
    <mergeCell ref="E51:M51"/>
    <mergeCell ref="UVR65:UVZ65"/>
    <mergeCell ref="ECR65:ECZ65"/>
    <mergeCell ref="JWR65:JWZ65"/>
    <mergeCell ref="RGR65:RGZ65"/>
    <mergeCell ref="CBO65:CBQ65"/>
    <mergeCell ref="JUB65:JUD65"/>
    <mergeCell ref="SYE65:SYM65"/>
    <mergeCell ref="WYB65:WYD65"/>
    <mergeCell ref="HZE65:HZM65"/>
    <mergeCell ref="GFB65:GFD65"/>
    <mergeCell ref="EGO65:EGQ65"/>
    <mergeCell ref="VDE65:VDM65"/>
    <mergeCell ref="UB65:UD65"/>
    <mergeCell ref="ROE65:ROM65"/>
    <mergeCell ref="VAO65:VAQ65"/>
    <mergeCell ref="FCR65:FCZ65"/>
    <mergeCell ref="JMO65:JMQ65"/>
    <mergeCell ref="TCB65:TCD65"/>
    <mergeCell ref="CJB65:CJD65"/>
    <mergeCell ref="TFR65:TFZ65"/>
    <mergeCell ref="LDE65:LDM65"/>
    <mergeCell ref="PNB65:PND65"/>
    <mergeCell ref="DFE65:DFM65"/>
    <mergeCell ref="HOE65:HOM65"/>
    <mergeCell ref="MUR65:MUZ65"/>
    <mergeCell ref="BVR65:BVZ65"/>
    <mergeCell ref="ABO65:ABQ65"/>
    <mergeCell ref="JFR65:JFZ65"/>
    <mergeCell ref="WJR65:WJZ65"/>
    <mergeCell ref="CUR65:CUZ65"/>
    <mergeCell ref="HEO65:HEQ65"/>
    <mergeCell ref="OXB65:OXD65"/>
    <mergeCell ref="DJB65:DJD65"/>
    <mergeCell ref="B73:D73"/>
    <mergeCell ref="NCE65:NCM65"/>
    <mergeCell ref="FR65:FZ65"/>
    <mergeCell ref="LIB65:LID65"/>
    <mergeCell ref="JJO65:JJQ65"/>
    <mergeCell ref="JNE65:JNM65"/>
    <mergeCell ref="BKR65:BKZ65"/>
    <mergeCell ref="EXB65:EXD65"/>
    <mergeCell ref="WRE65:WRM65"/>
    <mergeCell ref="B74:D74"/>
    <mergeCell ref="DCE65:DCM65"/>
    <mergeCell ref="HMB65:HMD65"/>
    <mergeCell ref="B68:D68"/>
    <mergeCell ref="KME65:KMM65"/>
    <mergeCell ref="QGE65:QGM65"/>
    <mergeCell ref="UQB65:UQD65"/>
    <mergeCell ref="NJR65:NJZ65"/>
    <mergeCell ref="NE65:NM65"/>
    <mergeCell ref="B76:D76"/>
    <mergeCell ref="BBB65:BBD65"/>
    <mergeCell ref="MRE65:MRM65"/>
    <mergeCell ref="RXR65:RXZ65"/>
    <mergeCell ref="BER65:BEZ65"/>
    <mergeCell ref="FEO65:FEQ65"/>
    <mergeCell ref="JCE65:JCM65"/>
    <mergeCell ref="OIR65:OIZ65"/>
    <mergeCell ref="DJR65:DJZ65"/>
    <mergeCell ref="HTO65:HTQ65"/>
    <mergeCell ref="QNR65:QNZ65"/>
    <mergeCell ref="MHO65:MHQ65"/>
    <mergeCell ref="UAB65:UAD65"/>
    <mergeCell ref="UR65:UZ65"/>
    <mergeCell ref="BIO65:BIQ65"/>
    <mergeCell ref="E20:M20"/>
    <mergeCell ref="SFE65:SFM65"/>
    <mergeCell ref="EIR65:EIZ65"/>
    <mergeCell ref="QLB65:QLD65"/>
    <mergeCell ref="BME65:BMM65"/>
    <mergeCell ref="OMO65:OMQ65"/>
    <mergeCell ref="OQE65:OQM65"/>
    <mergeCell ref="ATR65:ATZ65"/>
    <mergeCell ref="E13:M13"/>
    <mergeCell ref="GNR65:GNZ65"/>
    <mergeCell ref="B89:E89"/>
    <mergeCell ref="E15:M15"/>
    <mergeCell ref="IFE65:IFM65"/>
    <mergeCell ref="MPB65:MPD65"/>
    <mergeCell ref="SMR65:SMZ65"/>
    <mergeCell ref="EQE65:EQM65"/>
    <mergeCell ref="GEB65:GED65"/>
    <mergeCell ref="RUE65:RUM65"/>
    <mergeCell ref="XAR65:XAZ65"/>
    <mergeCell ref="OXR65:OXZ65"/>
    <mergeCell ref="GHR65:GHZ65"/>
    <mergeCell ref="KQR65:KQZ65"/>
    <mergeCell ref="CPB65:CPD65"/>
    <mergeCell ref="KHO65:KHQ65"/>
    <mergeCell ref="OFE65:OFM65"/>
    <mergeCell ref="TLR65:TLZ65"/>
    <mergeCell ref="IMR65:IMZ65"/>
    <mergeCell ref="MWO65:MWQ65"/>
    <mergeCell ref="AB65:AD65"/>
    <mergeCell ref="PWR65:PWZ65"/>
    <mergeCell ref="VQR65:VQZ65"/>
    <mergeCell ref="ITE65:ITM65"/>
    <mergeCell ref="EXR65:EXZ65"/>
    <mergeCell ref="IKB65:IKD65"/>
    <mergeCell ref="GLO65:GLQ65"/>
    <mergeCell ref="JLR65:JLZ65"/>
    <mergeCell ref="VOB65:VOD65"/>
    <mergeCell ref="GPE65:GPM65"/>
    <mergeCell ref="TPO65:TPQ65"/>
    <mergeCell ref="MJE65:MJM65"/>
    <mergeCell ref="CWO65:CWQ65"/>
    <mergeCell ref="TTE65:TTM65"/>
    <mergeCell ref="FWR65:FWZ65"/>
    <mergeCell ref="AEE65:AEM65"/>
    <mergeCell ref="IXB65:IXD65"/>
    <mergeCell ref="E28:M28"/>
    <mergeCell ref="IBR65:IBZ65"/>
    <mergeCell ref="NIE65:NIM65"/>
    <mergeCell ref="RSB65:RSD65"/>
    <mergeCell ref="FIB65:FID65"/>
    <mergeCell ref="WER65:WEZ65"/>
    <mergeCell ref="JTE65:JTM65"/>
    <mergeCell ref="E30:M30"/>
    <mergeCell ref="VVO65:VVQ65"/>
    <mergeCell ref="E59:M59"/>
    <mergeCell ref="CPR65:CPZ65"/>
    <mergeCell ref="WXE65:WXM65"/>
    <mergeCell ref="CGO65:CGQ65"/>
    <mergeCell ref="UAR65:UAZ65"/>
    <mergeCell ref="LKR65:LKZ65"/>
    <mergeCell ref="GEE65:GEM65"/>
    <mergeCell ref="AR65:AZ65"/>
    <mergeCell ref="HSB65:HSD65"/>
    <mergeCell ref="ALR65:ALZ65"/>
    <mergeCell ref="TIE65:TIM65"/>
    <mergeCell ref="NPR65:NPZ65"/>
    <mergeCell ref="RZO65:RZQ65"/>
    <mergeCell ref="EDB65:EDD65"/>
    <mergeCell ref="TE65:TM65"/>
    <mergeCell ref="UZR65:UZZ65"/>
    <mergeCell ref="NWE65:NWM65"/>
    <mergeCell ref="KAR65:KAZ65"/>
    <mergeCell ref="FUO65:FUQ65"/>
    <mergeCell ref="TQE65:TQM65"/>
    <mergeCell ref="NNB65:NND65"/>
    <mergeCell ref="LOO65:LOQ65"/>
    <mergeCell ref="EO65:EQ65"/>
    <mergeCell ref="LSE65:LSM65"/>
    <mergeCell ref="QBE65:QBM65"/>
    <mergeCell ref="VHR65:VHZ65"/>
    <mergeCell ref="JYB65:JYD65"/>
    <mergeCell ref="HZO65:HZQ65"/>
    <mergeCell ref="RSR65:RSZ65"/>
    <mergeCell ref="VDO65:VDQ65"/>
    <mergeCell ref="AAR65:AAZ65"/>
    <mergeCell ref="FHE65:FHM65"/>
    <mergeCell ref="TGO65:TGQ65"/>
    <mergeCell ref="NER65:NEZ65"/>
    <mergeCell ref="WVB65:WVD65"/>
    <mergeCell ref="BSE65:BSM65"/>
    <mergeCell ref="PRO65:PRQ65"/>
    <mergeCell ref="LWB65:LWD65"/>
    <mergeCell ref="OWE65:OWM65"/>
    <mergeCell ref="TGB65:TGD65"/>
    <mergeCell ref="HSR65:HSZ65"/>
    <mergeCell ref="MCO65:MCQ65"/>
    <mergeCell ref="TVB65:TVD65"/>
    <mergeCell ref="DXE65:DXM65"/>
    <mergeCell ref="RB65:RD65"/>
    <mergeCell ref="HJO65:HJQ65"/>
    <mergeCell ref="RWO65:RWQ65"/>
    <mergeCell ref="LHE65:LHM65"/>
    <mergeCell ref="EDR65:EDZ65"/>
    <mergeCell ref="FOR65:FOZ65"/>
    <mergeCell ref="DUO65:DUQ65"/>
    <mergeCell ref="MYR65:MYZ65"/>
    <mergeCell ref="BWB65:BWD65"/>
    <mergeCell ref="SSR65:SSZ65"/>
    <mergeCell ref="XCO65:XCQ65"/>
    <mergeCell ref="BZR65:BZZ65"/>
    <mergeCell ref="LPE65:LPM65"/>
    <mergeCell ref="PZB65:PZD65"/>
    <mergeCell ref="SZE65:SZM65"/>
    <mergeCell ref="PDR65:PDZ65"/>
    <mergeCell ref="KXO65:KXQ65"/>
    <mergeCell ref="IAE65:IAM65"/>
    <mergeCell ref="QRO65:QRQ65"/>
    <mergeCell ref="YO65:YQ65"/>
    <mergeCell ref="EHO65:EHQ65"/>
    <mergeCell ref="LOR65:LOZ65"/>
    <mergeCell ref="QVE65:QVM65"/>
    <mergeCell ref="JOB65:JOD65"/>
    <mergeCell ref="VEE65:VEM65"/>
    <mergeCell ref="PBB65:PBD65"/>
    <mergeCell ref="ELE65:ELM65"/>
    <mergeCell ref="JRR65:JRZ65"/>
    <mergeCell ref="NCO65:NCQ65"/>
    <mergeCell ref="UVB65:UVD65"/>
    <mergeCell ref="FZB65:FZD65"/>
    <mergeCell ref="NRO65:NRQ65"/>
    <mergeCell ref="WVR65:WVZ65"/>
    <mergeCell ref="FDR65:FDZ65"/>
    <mergeCell ref="JNO65:JNQ65"/>
    <mergeCell ref="CKB65:CKD65"/>
    <mergeCell ref="TGR65:TGZ65"/>
    <mergeCell ref="GVE65:GVM65"/>
    <mergeCell ref="UUO65:UUQ65"/>
    <mergeCell ref="QZB65:QZD65"/>
    <mergeCell ref="DCO65:DCQ65"/>
    <mergeCell ref="AGB65:AGD65"/>
    <mergeCell ref="DGE65:DGM65"/>
    <mergeCell ref="MVR65:MVZ65"/>
    <mergeCell ref="RFO65:RFQ65"/>
    <mergeCell ref="JAE65:JAM65"/>
    <mergeCell ref="EUB65:EUD65"/>
    <mergeCell ref="WZO65:WZQ65"/>
    <mergeCell ref="BWR65:BWZ65"/>
    <mergeCell ref="GGO65:GGQ65"/>
    <mergeCell ref="XDE65:XDM65"/>
    <mergeCell ref="JGR65:JGZ65"/>
    <mergeCell ref="KRR65:KRZ65"/>
    <mergeCell ref="BFB65:BFD65"/>
    <mergeCell ref="IXO65:IXQ65"/>
    <mergeCell ref="DOE65:DOM65"/>
    <mergeCell ref="HCR65:HCZ65"/>
    <mergeCell ref="VCB65:VCD65"/>
    <mergeCell ref="ZE65:ZM65"/>
    <mergeCell ref="DKB65:DKD65"/>
    <mergeCell ref="UGR65:UGZ65"/>
    <mergeCell ref="BNB65:BND65"/>
    <mergeCell ref="NDE65:NDM65"/>
    <mergeCell ref="E26:M26"/>
    <mergeCell ref="FBO65:FBQ65"/>
    <mergeCell ref="VYE65:VYM65"/>
    <mergeCell ref="JOE65:JOM65"/>
    <mergeCell ref="OUR65:OUZ65"/>
    <mergeCell ref="BMO65:BMQ65"/>
    <mergeCell ref="LCB65:LCD65"/>
    <mergeCell ref="SJE65:SJM65"/>
    <mergeCell ref="LFR65:LFZ65"/>
    <mergeCell ref="ADB65:ADD65"/>
    <mergeCell ref="QZR65:QZZ65"/>
    <mergeCell ref="VJO65:VJQ65"/>
    <mergeCell ref="HNB65:HND65"/>
    <mergeCell ref="DDE65:DDM65"/>
    <mergeCell ref="E50:M50"/>
    <mergeCell ref="NKR65:NKZ65"/>
    <mergeCell ref="WCB65:WCD65"/>
    <mergeCell ref="JEO65:JEQ65"/>
    <mergeCell ref="AZE65:AZM65"/>
    <mergeCell ref="FJB65:FJD65"/>
    <mergeCell ref="OYO65:OYQ65"/>
    <mergeCell ref="WFR65:WFZ65"/>
    <mergeCell ref="RYR65:RYZ65"/>
    <mergeCell ref="WIO65:WIQ65"/>
    <mergeCell ref="E52:M52"/>
    <mergeCell ref="PCE65:PCM65"/>
    <mergeCell ref="BFR65:BFZ65"/>
    <mergeCell ref="LJO65:LJQ65"/>
    <mergeCell ref="OJR65:OJZ65"/>
    <mergeCell ref="PUR65:PUZ65"/>
    <mergeCell ref="DKR65:DKZ65"/>
    <mergeCell ref="IRE65:IRM65"/>
    <mergeCell ref="NBB65:NBD65"/>
    <mergeCell ref="HUO65:HUQ65"/>
    <mergeCell ref="MFR65:MFZ65"/>
    <mergeCell ref="FCE65:FCM65"/>
    <mergeCell ref="PGB65:PGD65"/>
    <mergeCell ref="BJO65:BJQ65"/>
    <mergeCell ref="SGE65:SGM65"/>
    <mergeCell ref="WQB65:WQD65"/>
    <mergeCell ref="BNE65:BNM65"/>
    <mergeCell ref="HHE65:HHM65"/>
    <mergeCell ref="DBB65:DBD65"/>
    <mergeCell ref="ORE65:ORM65"/>
    <mergeCell ref="FO65:FQ65"/>
    <mergeCell ref="E70:M70"/>
    <mergeCell ref="QFB65:QFD65"/>
    <mergeCell ref="IYR65:IYZ65"/>
    <mergeCell ref="NIO65:NIQ65"/>
    <mergeCell ref="MB65:MD65"/>
    <mergeCell ref="QIR65:QIZ65"/>
    <mergeCell ref="FGB65:FGD65"/>
    <mergeCell ref="WCR65:WCZ65"/>
    <mergeCell ref="MQB65:MQD65"/>
    <mergeCell ref="IGE65:IGM65"/>
    <mergeCell ref="FJR65:FJZ65"/>
    <mergeCell ref="BRB65:BRD65"/>
    <mergeCell ref="GXO65:GXQ65"/>
    <mergeCell ref="SNR65:SNZ65"/>
    <mergeCell ref="OHO65:OHQ65"/>
    <mergeCell ref="KMB65:KMD65"/>
    <mergeCell ref="DIO65:DIQ65"/>
    <mergeCell ref="XBR65:XBZ65"/>
    <mergeCell ref="OYR65:OYZ65"/>
    <mergeCell ref="UFE65:UFM65"/>
    <mergeCell ref="GIR65:GIZ65"/>
    <mergeCell ref="CNE65:CNM65"/>
    <mergeCell ref="QMO65:QMQ65"/>
    <mergeCell ref="TMR65:TMZ65"/>
    <mergeCell ref="EER65:EEZ65"/>
    <mergeCell ref="INR65:INZ65"/>
    <mergeCell ref="MXO65:MXQ65"/>
    <mergeCell ref="SEB65:SED65"/>
    <mergeCell ref="HFB65:HFD65"/>
    <mergeCell ref="APR65:APZ65"/>
    <mergeCell ref="KFE65:KFM65"/>
    <mergeCell ref="OPB65:OPD65"/>
    <mergeCell ref="CDO65:CDQ65"/>
    <mergeCell ref="UJB65:UJD65"/>
    <mergeCell ref="GMO65:GMQ65"/>
    <mergeCell ref="DQB65:DQD65"/>
    <mergeCell ref="GQE65:GQM65"/>
    <mergeCell ref="ERR65:ERZ65"/>
    <mergeCell ref="I36:J36"/>
    <mergeCell ref="CXO65:CXQ65"/>
    <mergeCell ref="IEB65:IED65"/>
    <mergeCell ref="TUE65:TUM65"/>
    <mergeCell ref="EIO65:EIQ65"/>
    <mergeCell ref="VFE65:VFM65"/>
    <mergeCell ref="VIB65:VID65"/>
    <mergeCell ref="OBR65:OBZ65"/>
    <mergeCell ref="SLO65:SLQ65"/>
    <mergeCell ref="EPB65:EPD65"/>
    <mergeCell ref="AFE65:AFM65"/>
    <mergeCell ref="VLR65:VLZ65"/>
    <mergeCell ref="NJE65:NJM65"/>
    <mergeCell ref="RTB65:RTD65"/>
    <mergeCell ref="KMR65:KMZ65"/>
    <mergeCell ref="GUB65:GUD65"/>
    <mergeCell ref="MAO65:MAQ65"/>
    <mergeCell ref="TKO65:TKQ65"/>
    <mergeCell ref="GXR65:GXZ65"/>
    <mergeCell ref="ILO65:ILQ65"/>
    <mergeCell ref="UBR65:UBZ65"/>
    <mergeCell ref="VPO65:VPQ65"/>
    <mergeCell ref="AMR65:AMZ65"/>
    <mergeCell ref="EWO65:EWQ65"/>
    <mergeCell ref="VTE65:VTM65"/>
    <mergeCell ref="NQR65:NQZ65"/>
    <mergeCell ref="SAO65:SAQ65"/>
    <mergeCell ref="MIB65:MID65"/>
    <mergeCell ref="PIE65:PIM65"/>
    <mergeCell ref="TSB65:TSD65"/>
    <mergeCell ref="LPO65:LPQ65"/>
    <mergeCell ref="EJE65:EJM65"/>
    <mergeCell ref="ITB65:ITD65"/>
    <mergeCell ref="LTE65:LTM65"/>
    <mergeCell ref="IAO65:IAQ65"/>
    <mergeCell ref="NHB65:NHD65"/>
    <mergeCell ref="AUE65:AUM65"/>
    <mergeCell ref="RTR65:RTZ65"/>
    <mergeCell ref="FIE65:FIM65"/>
    <mergeCell ref="JSB65:JSD65"/>
    <mergeCell ref="PPR65:PPZ65"/>
    <mergeCell ref="BTE65:BTM65"/>
    <mergeCell ref="LXB65:LXD65"/>
    <mergeCell ref="AKO65:AKQ65"/>
    <mergeCell ref="MAR65:MAZ65"/>
    <mergeCell ref="NOO65:NOQ65"/>
    <mergeCell ref="SB65:SD65"/>
    <mergeCell ref="CPO65:CPQ65"/>
    <mergeCell ref="FPR65:FPZ65"/>
    <mergeCell ref="JZO65:JZQ65"/>
    <mergeCell ref="MZR65:MZZ65"/>
    <mergeCell ref="BXB65:BXD65"/>
    <mergeCell ref="STR65:STZ65"/>
    <mergeCell ref="XDO65:XDQ65"/>
    <mergeCell ref="CAR65:CAZ65"/>
    <mergeCell ref="LRB65:LRD65"/>
    <mergeCell ref="RLB65:RLD65"/>
    <mergeCell ref="DOO65:DOQ65"/>
    <mergeCell ref="ULE65:ULM65"/>
    <mergeCell ref="DSE65:DSM65"/>
    <mergeCell ref="NWB65:NWD65"/>
    <mergeCell ref="ZO65:ZQ65"/>
    <mergeCell ref="E67:M67"/>
    <mergeCell ref="QWE65:QWM65"/>
    <mergeCell ref="NDO65:NDQ65"/>
    <mergeCell ref="SKB65:SKD65"/>
    <mergeCell ref="FXE65:FXM65"/>
    <mergeCell ref="KHB65:KHD65"/>
    <mergeCell ref="WWR65:WWZ65"/>
    <mergeCell ref="OVB65:OVD65"/>
    <mergeCell ref="CIE65:CIM65"/>
    <mergeCell ref="DWB65:DWD65"/>
    <mergeCell ref="USR65:USZ65"/>
    <mergeCell ref="LGB65:LGD65"/>
    <mergeCell ref="GWE65:GWM65"/>
    <mergeCell ref="RAB65:RAD65"/>
    <mergeCell ref="ECO65:ECQ65"/>
    <mergeCell ref="AHB65:AHD65"/>
    <mergeCell ref="FNO65:FNQ65"/>
    <mergeCell ref="RDR65:RDZ65"/>
    <mergeCell ref="WKE65:WKM65"/>
    <mergeCell ref="B19:D19"/>
    <mergeCell ref="SRO65:SRQ65"/>
    <mergeCell ref="BYO65:BYQ65"/>
    <mergeCell ref="SVE65:SVM65"/>
    <mergeCell ref="XEE65:XEM65"/>
    <mergeCell ref="HSO65:HSQ65"/>
    <mergeCell ref="KSR65:KSZ65"/>
    <mergeCell ref="PCO65:PCQ65"/>
    <mergeCell ref="HDR65:HDZ65"/>
    <mergeCell ref="QUB65:QUD65"/>
    <mergeCell ref="VDB65:VDD65"/>
    <mergeCell ref="IRO65:IRQ65"/>
    <mergeCell ref="IVE65:IVM65"/>
    <mergeCell ref="WUO65:WUQ65"/>
    <mergeCell ref="SZB65:SZD65"/>
    <mergeCell ref="FCO65:FCQ65"/>
    <mergeCell ref="VZE65:VZM65"/>
    <mergeCell ref="DHR65:DHZ65"/>
    <mergeCell ref="LAE65:LAM65"/>
    <mergeCell ref="PKB65:PKD65"/>
    <mergeCell ref="SKE65:SKM65"/>
    <mergeCell ref="TYB65:TYD65"/>
    <mergeCell ref="HLE65:HLM65"/>
    <mergeCell ref="RBO65:RBQ65"/>
    <mergeCell ref="RAR65:RAZ65"/>
    <mergeCell ref="VKO65:VKQ65"/>
    <mergeCell ref="IZB65:IZD65"/>
    <mergeCell ref="LZE65:LZM65"/>
    <mergeCell ref="QJB65:QJD65"/>
    <mergeCell ref="SSE65:SSM65"/>
    <mergeCell ref="WDB65:WDD65"/>
    <mergeCell ref="JFO65:JFQ65"/>
    <mergeCell ref="BAE65:BAM65"/>
    <mergeCell ref="FKB65:FKD65"/>
    <mergeCell ref="KQO65:KQQ65"/>
    <mergeCell ref="OZO65:OZQ65"/>
    <mergeCell ref="WGR65:WGZ65"/>
    <mergeCell ref="PDE65:PDM65"/>
    <mergeCell ref="CRR65:CRZ65"/>
    <mergeCell ref="HBO65:HBQ65"/>
    <mergeCell ref="QRB65:QRD65"/>
    <mergeCell ref="PVR65:PVZ65"/>
    <mergeCell ref="UFO65:UFQ65"/>
    <mergeCell ref="CR65:CZ65"/>
    <mergeCell ref="ISE65:ISM65"/>
    <mergeCell ref="NCB65:NCD65"/>
    <mergeCell ref="AQO65:AQQ65"/>
    <mergeCell ref="MGR65:MGZ65"/>
    <mergeCell ref="VXB65:VXD65"/>
    <mergeCell ref="BHR65:BHZ65"/>
    <mergeCell ref="GFR65:GFZ65"/>
    <mergeCell ref="NYE65:NYM65"/>
    <mergeCell ref="KFO65:KFQ65"/>
    <mergeCell ref="EWE65:EWM65"/>
    <mergeCell ref="DCB65:DCD65"/>
    <mergeCell ref="GO65:GQ65"/>
    <mergeCell ref="IKR65:IKZ65"/>
    <mergeCell ref="QDE65:QDM65"/>
    <mergeCell ref="UNB65:UND65"/>
    <mergeCell ref="BHE65:BHM65"/>
    <mergeCell ref="IZR65:IZZ65"/>
    <mergeCell ref="NJO65:NJQ65"/>
    <mergeCell ref="AYB65:AYD65"/>
    <mergeCell ref="MOE65:MOM65"/>
    <mergeCell ref="RUR65:RUZ65"/>
    <mergeCell ref="WEO65:WEQ65"/>
    <mergeCell ref="WDR65:WDZ65"/>
    <mergeCell ref="IIB65:IID65"/>
    <mergeCell ref="OCB65:OCD65"/>
    <mergeCell ref="GYO65:GYQ65"/>
    <mergeCell ref="OFR65:OFZ65"/>
    <mergeCell ref="OIO65:OIQ65"/>
    <mergeCell ref="HCE65:HCM65"/>
    <mergeCell ref="KNB65:KND65"/>
    <mergeCell ref="PTO65:PTQ65"/>
    <mergeCell ref="AO65:AQ65"/>
    <mergeCell ref="DJO65:DJQ65"/>
    <mergeCell ref="UGE65:UGM65"/>
    <mergeCell ref="ACE65:ACM65"/>
    <mergeCell ref="HUR65:HUZ65"/>
    <mergeCell ref="SHR65:SHZ65"/>
    <mergeCell ref="MEO65:MEQ65"/>
    <mergeCell ref="VUB65:VUD65"/>
    <mergeCell ref="FBB65:FBD65"/>
    <mergeCell ref="EFR65:EFZ65"/>
    <mergeCell ref="SFB65:SFD65"/>
    <mergeCell ref="CHE65:CHM65"/>
    <mergeCell ref="OJO65:OJQ65"/>
    <mergeCell ref="NO65:NQ65"/>
    <mergeCell ref="QKE65:QKM65"/>
    <mergeCell ref="OQB65:OQD65"/>
    <mergeCell ref="GKR65:GKZ65"/>
    <mergeCell ref="QBB65:QBD65"/>
    <mergeCell ref="CEO65:CEQ65"/>
    <mergeCell ref="UKB65:UKD65"/>
    <mergeCell ref="DRB65:DRD65"/>
    <mergeCell ref="UNR65:UNZ65"/>
    <mergeCell ref="MMB65:MMD65"/>
    <mergeCell ref="B15:D15"/>
    <mergeCell ref="WBO65:WBQ65"/>
    <mergeCell ref="IFB65:IFD65"/>
    <mergeCell ref="EJO65:EJQ65"/>
    <mergeCell ref="NNR65:NNZ65"/>
    <mergeCell ref="VGE65:VGM65"/>
    <mergeCell ref="OCR65:OCZ65"/>
    <mergeCell ref="SMO65:SMQ65"/>
    <mergeCell ref="GBB65:GBD65"/>
    <mergeCell ref="RRE65:RRM65"/>
    <mergeCell ref="WXR65:WXZ65"/>
    <mergeCell ref="QRR65:QRZ65"/>
    <mergeCell ref="CVE65:CVM65"/>
    <mergeCell ref="UEB65:UED65"/>
    <mergeCell ref="CMB65:CMD65"/>
    <mergeCell ref="TIR65:TIZ65"/>
    <mergeCell ref="MFE65:MFM65"/>
    <mergeCell ref="UWO65:UWQ65"/>
    <mergeCell ref="KGR65:KGZ65"/>
    <mergeCell ref="EDO65:EDQ65"/>
    <mergeCell ref="WJB65:WJD65"/>
    <mergeCell ref="IMO65:IMQ65"/>
    <mergeCell ref="RHO65:RHQ65"/>
    <mergeCell ref="GRR65:GRZ65"/>
    <mergeCell ref="OKE65:OKM65"/>
    <mergeCell ref="SUB65:SUD65"/>
    <mergeCell ref="TMO65:TMQ65"/>
    <mergeCell ref="GPB65:GPD65"/>
    <mergeCell ref="MJB65:MJD65"/>
    <mergeCell ref="VNE65:VNM65"/>
    <mergeCell ref="TTB65:TTD65"/>
    <mergeCell ref="DVE65:DVM65"/>
    <mergeCell ref="LNR65:LNZ65"/>
    <mergeCell ref="VEB65:VED65"/>
    <mergeCell ref="IUB65:IUD65"/>
    <mergeCell ref="OAO65:OAQ65"/>
    <mergeCell ref="B34:D34"/>
    <mergeCell ref="B28:D28"/>
    <mergeCell ref="NFE65:NFM65"/>
    <mergeCell ref="RPB65:RPD65"/>
    <mergeCell ref="NIB65:NID65"/>
    <mergeCell ref="GBR65:GBZ65"/>
    <mergeCell ref="KLO65:KLQ65"/>
    <mergeCell ref="BXR65:BXZ65"/>
    <mergeCell ref="B30:D30"/>
    <mergeCell ref="CMR65:CMZ65"/>
    <mergeCell ref="LEB65:LED65"/>
    <mergeCell ref="AOE65:AOM65"/>
    <mergeCell ref="EAO65:EAQ65"/>
    <mergeCell ref="VUR65:VUZ65"/>
    <mergeCell ref="HPB65:HPD65"/>
    <mergeCell ref="ALO65:ALQ65"/>
    <mergeCell ref="JPR65:JPZ65"/>
    <mergeCell ref="RIE65:RIM65"/>
    <mergeCell ref="E36:F36"/>
    <mergeCell ref="PJR65:PJZ65"/>
    <mergeCell ref="JGO65:JGQ65"/>
    <mergeCell ref="NPO65:NPQ65"/>
    <mergeCell ref="B54:D54"/>
    <mergeCell ref="NTE65:NTM65"/>
    <mergeCell ref="CQO65:CQQ65"/>
    <mergeCell ref="LUR65:LUZ65"/>
    <mergeCell ref="TNE65:TNM65"/>
    <mergeCell ref="LLO65:LLQ65"/>
    <mergeCell ref="EIB65:EID65"/>
    <mergeCell ref="B56:D56"/>
    <mergeCell ref="IFR65:IFZ65"/>
    <mergeCell ref="LSB65:LSD65"/>
    <mergeCell ref="RMB65:RMD65"/>
    <mergeCell ref="ATB65:ATD65"/>
    <mergeCell ref="NXB65:NXD65"/>
    <mergeCell ref="TDO65:TDQ65"/>
    <mergeCell ref="XBE65:XBM65"/>
    <mergeCell ref="DME65:DMM65"/>
    <mergeCell ref="LER65:LEZ65"/>
    <mergeCell ref="POO65:POQ65"/>
    <mergeCell ref="DDB65:DDD65"/>
    <mergeCell ref="XE65:XM65"/>
    <mergeCell ref="HPR65:HPZ65"/>
    <mergeCell ref="FRE65:FRM65"/>
    <mergeCell ref="OB65:OD65"/>
    <mergeCell ref="RTO65:RTQ65"/>
    <mergeCell ref="FOO65:FOQ65"/>
    <mergeCell ref="OSR65:OSZ65"/>
    <mergeCell ref="WLE65:WLM65"/>
    <mergeCell ref="UMR65:UMZ65"/>
    <mergeCell ref="SSO65:SSQ65"/>
    <mergeCell ref="DTR65:DTZ65"/>
    <mergeCell ref="BZO65:BZQ65"/>
    <mergeCell ref="SWE65:SWM65"/>
    <mergeCell ref="QXR65:QXZ65"/>
    <mergeCell ref="B75:D75"/>
    <mergeCell ref="JLB65:JLD65"/>
    <mergeCell ref="NIR65:NIZ65"/>
    <mergeCell ref="QVB65:QVD65"/>
    <mergeCell ref="FWB65:FWD65"/>
    <mergeCell ref="UUE65:UUM65"/>
    <mergeCell ref="TAB65:TAD65"/>
    <mergeCell ref="EBE65:EBM65"/>
    <mergeCell ref="CHB65:CHD65"/>
    <mergeCell ref="IPE65:IPM65"/>
    <mergeCell ref="A8:D8"/>
    <mergeCell ref="URO65:URQ65"/>
    <mergeCell ref="FAE65:FAM65"/>
    <mergeCell ref="MSR65:MSZ65"/>
    <mergeCell ref="RCO65:RCQ65"/>
    <mergeCell ref="WWO65:WWQ65"/>
    <mergeCell ref="HFE65:HFM65"/>
    <mergeCell ref="KRO65:KRQ65"/>
    <mergeCell ref="TVR65:TVZ65"/>
    <mergeCell ref="SO65:SQ65"/>
    <mergeCell ref="IWR65:IWZ65"/>
    <mergeCell ref="HCO65:HCQ65"/>
    <mergeCell ref="WAR65:WAZ65"/>
    <mergeCell ref="FHR65:FHZ65"/>
    <mergeCell ref="E41:M41"/>
    <mergeCell ref="OOB65:OOD65"/>
    <mergeCell ref="ARO65:ARQ65"/>
    <mergeCell ref="SLR65:SLZ65"/>
    <mergeCell ref="VYB65:VYD65"/>
    <mergeCell ref="DGO65:DGQ65"/>
    <mergeCell ref="KZB65:KZD65"/>
    <mergeCell ref="UDE65:UDM65"/>
    <mergeCell ref="JEE65:JEM65"/>
    <mergeCell ref="HKB65:HKD65"/>
    <mergeCell ref="MQO65:MQQ65"/>
    <mergeCell ref="NSE65:NSM65"/>
    <mergeCell ref="A57:D57"/>
    <mergeCell ref="AZB65:AZD65"/>
    <mergeCell ref="KDE65:KDM65"/>
    <mergeCell ref="RVR65:RVZ65"/>
    <mergeCell ref="WFO65:WFQ65"/>
    <mergeCell ref="EE65:EM65"/>
    <mergeCell ref="MIE65:MIM65"/>
    <mergeCell ref="E69:M69"/>
    <mergeCell ref="PUO65:PUQ65"/>
    <mergeCell ref="BO65:BQ65"/>
    <mergeCell ref="NZR65:NZZ65"/>
    <mergeCell ref="MFO65:MFQ65"/>
    <mergeCell ref="DAR65:DAZ65"/>
    <mergeCell ref="BGO65:BGQ65"/>
    <mergeCell ref="KKR65:KKZ65"/>
    <mergeCell ref="B55:D55"/>
    <mergeCell ref="QLE65:QLM65"/>
    <mergeCell ref="DZR65:DZZ65"/>
    <mergeCell ref="IJO65:IJQ65"/>
    <mergeCell ref="QCB65:QCD65"/>
    <mergeCell ref="SCR65:SCZ65"/>
    <mergeCell ref="OHE65:OHM65"/>
    <mergeCell ref="AKR65:AKZ65"/>
    <mergeCell ref="MNB65:MND65"/>
    <mergeCell ref="WCO65:WCQ65"/>
    <mergeCell ref="WGE65:WGM65"/>
    <mergeCell ref="CCE65:CCM65"/>
    <mergeCell ref="OEO65:OEQ65"/>
    <mergeCell ref="GCB65:GCD65"/>
    <mergeCell ref="B71:D71"/>
    <mergeCell ref="PGE65:PGM65"/>
    <mergeCell ref="WYR65:WYZ65"/>
    <mergeCell ref="UFB65:UFD65"/>
    <mergeCell ref="EHE65:EHM65"/>
    <mergeCell ref="IRB65:IRD65"/>
  </mergeCells>
  <conditionalFormatting sqref="A9:A16">
    <cfRule type="cellIs" priority="1" operator="equal" dxfId="316">
      <formula>"No"</formula>
    </cfRule>
  </conditionalFormatting>
  <conditionalFormatting sqref="A18:A24">
    <cfRule type="cellIs" priority="2" operator="equal" dxfId="316">
      <formula>"No"</formula>
    </cfRule>
  </conditionalFormatting>
  <conditionalFormatting sqref="A26:A32">
    <cfRule type="cellIs" priority="5" operator="equal" dxfId="316">
      <formula>"No"</formula>
    </cfRule>
  </conditionalFormatting>
  <conditionalFormatting sqref="A34:A42 A51:A56 A58:A76">
    <cfRule type="cellIs" priority="70" operator="equal" dxfId="316">
      <formula>"No"</formula>
    </cfRule>
  </conditionalFormatting>
  <conditionalFormatting sqref="N65 AA65 AN65 BA65 BN65 CA65 CN65 DA65 DN65 EA65 EN65 FA65 FN65 GA65 GN65 HA65 HN65 IA65 IN65 JA65 JN65 KA65 KN65 LA65 LN65 MA65 MN65 NA65 NN65 OA65 ON65 PA65 PN65 QA65 QN65 RA65 RN65 SA65 SN65 TA65 TN65 UA65 UN65 VA65 VN65 WA65 WN65 XA65 XN65 YA65 YN65 ZA65 ZN65 AAA65 AAN65 ABA65 ABN65 ACA65 ACN65 ADA65 ADN65 AEA65 AEN65 AFA65 AFN65 AGA65 AGN65 AHA65 AHN65 AIA65 AIN65 AJA65 AJN65 AKA65 AKN65 ALA65 ALN65 AMA65 AMN65 ANA65 ANN65 AOA65 AON65 APA65 APN65 AQA65 AQN65 ARA65 ARN65 ASA65 ASN65 ATA65 ATN65 AUA65 AUN65 AVA65 AVN65 AWA65 AWN65 AXA65 AXN65 AYA65 AYN65 AZA65 AZN65 BAA65 BAN65 BBA65 BBN65 BCA65 BCN65 BDA65 BDN65 BEA65 BEN65 BFA65 BFN65 BGA65 BGN65 BHA65 BHN65 BIA65 BIN65 BJA65 BJN65 BKA65 BKN65 BLA65 BLN65 BMA65 BMN65 BNA65 BNN65 BOA65 BON65 BPA65 BPN65 BQA65 BQN65 BRA65 BRN65 BSA65 BSN65 BTA65 BTN65 BUA65 BUN65 BVA65 BVN65 BWA65 BWN65 BXA65 BXN65 BYA65 BYN65 BZA65 BZN65 CAA65 CAN65 CBA65 CBN65 CCA65 CCN65 CDA65 CDN65 CEA65 CEN65 CFA65 CFN65 CGA65 CGN65 CHA65 CHN65 CIA65 CIN65 CJA65 CJN65 CKA65 CKN65 CLA65 CLN65 CMA65 CMN65 CNA65 CNN65 COA65 CON65 CPA65 CPN65 CQA65 CQN65 CRA65 CRN65 CSA65 CSN65 CTA65 CTN65 CUA65 CUN65 CVA65 CVN65 CWA65 CWN65 CXA65 CXN65 CYA65 CYN65 CZA65 CZN65 DAA65 DAN65 DBA65 DBN65 DCA65 DCN65 DDA65 DDN65 DEA65 DEN65 DFA65 DFN65 DGA65 DGN65 DHA65 DHN65 DIA65 DIN65 DJA65 DJN65 DKA65 DKN65 DLA65 DLN65 DMA65 DMN65 DNA65 DNN65 DOA65 DON65 DPA65 DPN65 DQA65 DQN65 DRA65 DRN65 DSA65 DSN65 DTA65 DTN65 DUA65 DUN65 DVA65 DVN65 DWA65 DWN65 DXA65 DXN65 DYA65 DYN65 DZA65 DZN65 EAA65 EAN65 EBA65 EBN65 ECA65 ECN65 EDA65 EDN65 EEA65 EEN65 EFA65 EFN65 EGA65 EGN65 EHA65 EHN65 EIA65 EIN65 EJA65 EJN65 EKA65 EKN65 ELA65 ELN65 EMA65 EMN65 ENA65 ENN65 EOA65 EON65 EPA65 EPN65 EQA65 EQN65 ERA65 ERN65 ESA65 ESN65 ETA65 ETN65 EUA65 EUN65 EVA65 EVN65 EWA65 EWN65 EXA65 EXN65 EYA65 EYN65 EZA65 EZN65 FAA65 FAN65 FBA65 FBN65 FCA65 FCN65 FDA65 FDN65 FEA65 FEN65 FFA65 FFN65 FGA65 FGN65 FHA65 FHN65 FIA65 FIN65 FJA65 FJN65 FKA65 FKN65 FLA65 FLN65 FMA65 FMN65 FNA65 FNN65 FOA65 FON65 FPA65 FPN65 FQA65 FQN65 FRA65 FRN65 FSA65 FSN65 FTA65 FTN65 FUA65 FUN65 FVA65 FVN65 FWA65 FWN65 FXA65 FXN65 FYA65 FYN65 FZA65 FZN65 GAA65 GAN65 GBA65 GBN65 GCA65 GCN65 GDA65 GDN65 GEA65 GEN65 GFA65 GFN65 GGA65 GGN65 GHA65 GHN65 GIA65 GIN65 GJA65 GJN65 GKA65 GKN65 GLA65 GLN65 GMA65 GMN65 GNA65 GNN65 GOA65 GON65 GPA65 GPN65 GQA65 GQN65 GRA65 GRN65 GSA65 GSN65 GTA65 GTN65 GUA65 GUN65 GVA65 GVN65 GWA65 GWN65 GXA65 GXN65 GYA65 GYN65 GZA65 GZN65 HAA65 HAN65 HBA65 HBN65 HCA65 HCN65 HDA65 HDN65 HEA65 HEN65 HFA65 HFN65 HGA65 HGN65 HHA65 HHN65 HIA65 HIN65 HJA65 HJN65 HKA65 HKN65 HLA65 HLN65 HMA65 HMN65 HNA65 HNN65 HOA65 HON65 HPA65 HPN65 HQA65 HQN65 HRA65 HRN65 HSA65 HSN65 HTA65 HTN65 HUA65 HUN65 HVA65 HVN65 HWA65 HWN65 HXA65 HXN65 HYA65 HYN65 HZA65 HZN65 IAA65 IAN65 IBA65 IBN65 ICA65 ICN65 IDA65 IDN65 IEA65 IEN65 IFA65 IFN65 IGA65 IGN65 IHA65 IHN65 IIA65 IIN65 IJA65 IJN65 IKA65 IKN65 ILA65 ILN65 IMA65 IMN65 INA65 INN65 IOA65 ION65 IPA65 IPN65 IQA65 IQN65 IRA65 IRN65 ISA65 ISN65 ITA65 ITN65 IUA65 IUN65 IVA65 IVN65 IWA65 IWN65 IXA65 IXN65 IYA65 IYN65 IZA65 IZN65 JAA65 JAN65 JBA65 JBN65 JCA65 JCN65 JDA65 JDN65 JEA65 JEN65 JFA65 JFN65 JGA65 JGN65 JHA65 JHN65 JIA65 JIN65 JJA65 JJN65 JKA65 JKN65 JLA65 JLN65 JMA65 JMN65 JNA65 JNN65 JOA65 JON65 JPA65 JPN65 JQA65 JQN65 JRA65 JRN65 JSA65 JSN65 JTA65 JTN65 JUA65 JUN65 JVA65 JVN65 JWA65 JWN65 JXA65 JXN65 JYA65 JYN65 JZA65 JZN65 KAA65 KAN65 KBA65 KBN65 KCA65 KCN65 KDA65 KDN65 KEA65 KEN65 KFA65 KFN65 KGA65 KGN65 KHA65 KHN65 KIA65 KIN65 KJA65 KJN65 KKA65 KKN65 KLA65 KLN65 KMA65 KMN65 KNA65 KNN65 KOA65 KON65 KPA65 KPN65 KQA65 KQN65 KRA65 KRN65 KSA65 KSN65 KTA65 KTN65 KUA65 KUN65 KVA65 KVN65 KWA65 KWN65 KXA65 KXN65 KYA65 KYN65 KZA65 KZN65 LAA65 LAN65 LBA65 LBN65 LCA65 LCN65 LDA65 LDN65 LEA65 LEN65 LFA65 LFN65 LGA65 LGN65 LHA65 LHN65 LIA65 LIN65 LJA65 LJN65 LKA65 LKN65 LLA65 LLN65 LMA65 LMN65 LNA65 LNN65 LOA65 LON65 LPA65 LPN65 LQA65 LQN65 LRA65 LRN65 LSA65 LSN65 LTA65 LTN65 LUA65 LUN65 LVA65 LVN65 LWA65 LWN65 LXA65 LXN65 LYA65 LYN65 LZA65 LZN65 MAA65 MAN65 MBA65 MBN65 MCA65 MCN65 MDA65 MDN65 MEA65 MEN65 MFA65 MFN65 MGA65 MGN65 MHA65 MHN65 MIA65 MIN65 MJA65 MJN65 MKA65 MKN65 MLA65 MLN65 MMA65 MMN65 MNA65 MNN65 MOA65 MON65 MPA65 MPN65 MQA65 MQN65 MRA65 MRN65 MSA65 MSN65 MTA65 MTN65 MUA65 MUN65 MVA65 MVN65 MWA65 MWN65 MXA65 MXN65 MYA65 MYN65 MZA65 MZN65 NAA65 NAN65 NBA65 NBN65 NCA65 NCN65 NDA65 NDN65 NEA65 NEN65 NFA65 NFN65 NGA65 NGN65 NHA65 NHN65 NIA65 NIN65 NJA65 NJN65 NKA65 NKN65 NLA65 NLN65 NMA65 NMN65 NNA65 NNN65 NOA65 NON65 NPA65 NPN65 NQA65 NQN65 NRA65 NRN65 NSA65 NSN65 NTA65 NTN65 NUA65 NUN65 NVA65 NVN65 NWA65 NWN65 NXA65 NXN65 NYA65 NYN65 NZA65 NZN65 OAA65 OAN65 OBA65 OBN65 OCA65 OCN65 ODA65 ODN65 OEA65 OEN65 OFA65 OFN65 OGA65 OGN65 OHA65 OHN65 OIA65 OIN65 OJA65 OJN65 OKA65 OKN65 OLA65 OLN65 OMA65 OMN65 ONA65 ONN65 OOA65 OON65 OPA65 OPN65 OQA65 OQN65 ORA65 ORN65 OSA65 OSN65 OTA65 OTN65 OUA65 OUN65 OVA65 OVN65 OWA65 OWN65 OXA65 OXN65 OYA65 OYN65 OZA65 OZN65 PAA65 PAN65 PBA65 PBN65 PCA65 PCN65 PDA65 PDN65 PEA65 PEN65 PFA65 PFN65 PGA65 PGN65 PHA65 PHN65 PIA65 PIN65 PJA65 PJN65 PKA65 PKN65 PLA65 PLN65 PMA65 PMN65 PNA65 PNN65 POA65 PON65 PPA65 PPN65 PQA65 PQN65 PRA65 PRN65 PSA65 PSN65 PTA65 PTN65 PUA65 PUN65 PVA65 PVN65 PWA65 PWN65 PXA65 PXN65 PYA65 PYN65 PZA65 PZN65 QAA65 QAN65 QBA65 QBN65 QCA65 QCN65 QDA65 QDN65 QEA65 QEN65 QFA65 QFN65 QGA65 QGN65 QHA65 QHN65 QIA65 QIN65 QJA65 QJN65 QKA65 QKN65 QLA65 QLN65 QMA65 QMN65 QNA65 QNN65 QOA65 QON65 QPA65 QPN65 QQA65 QQN65 QRA65 QRN65 QSA65 QSN65 QTA65 QTN65 QUA65 QUN65 QVA65 QVN65 QWA65 QWN65 QXA65 QXN65 QYA65 QYN65 QZA65 QZN65 RAA65 RAN65 RBA65 RBN65 RCA65 RCN65 RDA65 RDN65 REA65 REN65 RFA65 RFN65 RGA65 RGN65 RHA65 RHN65 RIA65 RIN65 RJA65 RJN65 RKA65 RKN65 RLA65 RLN65 RMA65 RMN65 RNA65 RNN65 ROA65 RON65 RPA65 RPN65 RQA65 RQN65 RRA65 RRN65 RSA65 RSN65 RTA65 RTN65 RUA65 RUN65 RVA65 RVN65 RWA65 RWN65 RXA65 RXN65 RYA65 RYN65 RZA65 RZN65 SAA65 SAN65 SBA65 SBN65 SCA65 SCN65 SDA65 SDN65 SEA65 SEN65 SFA65 SFN65 SGA65 SGN65 SHA65 SHN65 SIA65 SIN65 SJA65 SJN65 SKA65 SKN65 SLA65 SLN65 SMA65 SMN65 SNA65 SNN65 SOA65 SON65 SPA65 SPN65 SQA65 SQN65 SRA65 SRN65 SSA65 SSN65 STA65 STN65 SUA65 SUN65 SVA65 SVN65 SWA65 SWN65 SXA65 SXN65 SYA65 SYN65 SZA65 SZN65 TAA65 TAN65 TBA65 TBN65 TCA65 TCN65 TDA65 TDN65 TEA65 TEN65 TFA65 TFN65 TGA65 TGN65 THA65 THN65 TIA65 TIN65 TJA65 TJN65 TKA65 TKN65 TLA65 TLN65 TMA65 TMN65 TNA65 TNN65 TOA65 TON65 TPA65 TPN65 TQA65 TQN65 TRA65 TRN65 TSA65 TSN65 TTA65 TTN65 TUA65 TUN65 TVA65 TVN65 TWA65 TWN65 TXA65 TXN65 TYA65 TYN65 TZA65 TZN65 UAA65 UAN65 UBA65 UBN65 UCA65 UCN65 UDA65 UDN65 UEA65 UEN65 UFA65 UFN65 UGA65 UGN65 UHA65 UHN65 UIA65 UIN65 UJA65 UJN65 UKA65 UKN65 ULA65 ULN65 UMA65 UMN65 UNA65 UNN65 UOA65 UON65 UPA65 UPN65 UQA65 UQN65 URA65 URN65 USA65 USN65 UTA65 UTN65 UUA65 UUN65 UVA65 UVN65 UWA65 UWN65 UXA65 UXN65 UYA65 UYN65 UZA65 UZN65 VAA65 VAN65 VBA65 VBN65 VCA65 VCN65 VDA65 VDN65 VEA65 VEN65 VFA65 VFN65 VGA65 VGN65 VHA65 VHN65 VIA65 VIN65 VJA65 VJN65 VKA65 VKN65 VLA65 VLN65 VMA65 VMN65 VNA65 VNN65 VOA65 VON65 VPA65 VPN65 VQA65 VQN65 VRA65 VRN65 VSA65 VSN65 VTA65 VTN65 VUA65 VUN65 VVA65 VVN65 VWA65 VWN65 VXA65 VXN65 VYA65 VYN65 VZA65 VZN65 WAA65 WAN65 WBA65 WBN65 WCA65 WCN65 WDA65 WDN65 WEA65 WEN65 WFA65 WFN65 WGA65 WGN65 WHA65 WHN65 WIA65 WIN65 WJA65 WJN65 WKA65 WKN65 WLA65 WLN65 WMA65 WMN65 WNA65 WNN65 WOA65 WON65 WPA65 WPN65 WQA65 WQN65 WRA65 WRN65 WSA65 WSN65 WTA65 WTN65 WUA65 WUN65 WVA65 WVN65 WWA65 WWN65 WXA65 WXN65 WYA65 WYN65 WZA65 WZN65 XAA65 XAN65 XBA65 XBN65 XCA65 XCN65 XDA65 XDN65 XEA65 XEN65 XFA65">
    <cfRule type="cellIs" priority="66" operator="equal" dxfId="316">
      <formula>"No"</formula>
    </cfRule>
  </conditionalFormatting>
  <dataValidations count="1">
    <dataValidation sqref="A9:A16 A18:A24 A26:A32 A34:A42 A51:A56 A58:A76" showDropDown="0" showInputMessage="1" showErrorMessage="1" allowBlank="1" type="list">
      <formula1>"Yes, No, N/A"</formula1>
    </dataValidation>
  </dataValidations>
  <pageMargins left="0.7" right="0.7" top="0.75" bottom="0.75" header="0.3" footer="0.3"/>
  <pageSetup orientation="landscape" scale="62" fitToHeight="0"/>
  <rowBreaks count="1" manualBreakCount="1">
    <brk id="42" min="0" max="12" man="1"/>
  </rowBreaks>
  <drawing xmlns:r="http://schemas.openxmlformats.org/officeDocument/2006/relationships" r:id="rId1"/>
</worksheet>
</file>

<file path=xl/worksheets/sheet2.xml><?xml version="1.0" encoding="utf-8"?>
<worksheet xmlns="http://schemas.openxmlformats.org/spreadsheetml/2006/main">
  <sheetPr>
    <tabColor indexed="42"/>
    <outlinePr summaryBelow="1" summaryRight="1"/>
    <pageSetUpPr fitToPage="1"/>
  </sheetPr>
  <dimension ref="A1:AD158"/>
  <sheetViews>
    <sheetView view="pageBreakPreview" zoomScaleNormal="75" zoomScaleSheetLayoutView="100" workbookViewId="0">
      <selection activeCell="D2" sqref="D2"/>
    </sheetView>
  </sheetViews>
  <sheetFormatPr baseColWidth="8" defaultRowHeight="12.75"/>
  <cols>
    <col width="13.85546875" bestFit="1" customWidth="1" style="10" min="1" max="1"/>
    <col width="10.42578125" bestFit="1" customWidth="1" style="62" min="2" max="2"/>
    <col width="5.85546875" bestFit="1" customWidth="1" style="62" min="3" max="3"/>
    <col width="14.28515625" bestFit="1" customWidth="1" style="10" min="4" max="4"/>
    <col width="65.7109375" customWidth="1" style="62" min="5" max="6"/>
    <col width="53" customWidth="1" style="35" min="7" max="7"/>
    <col width="9.140625" customWidth="1" style="10" min="8" max="248"/>
    <col width="12.28515625" customWidth="1" style="10" min="249" max="249"/>
    <col width="53.5703125" customWidth="1" style="10" min="250" max="250"/>
    <col width="11.42578125" customWidth="1" style="10" min="251" max="251"/>
    <col width="12.140625" customWidth="1" style="10" min="252" max="252"/>
    <col width="21.28515625" customWidth="1" style="10" min="253" max="253"/>
    <col width="11.5703125" customWidth="1" style="10" min="254" max="254"/>
    <col width="9.140625" customWidth="1" style="10" min="255" max="255"/>
    <col width="5.140625" customWidth="1" style="10" min="256" max="256"/>
    <col width="12" customWidth="1" style="10" min="257" max="257"/>
    <col width="9.140625" customWidth="1" style="10" min="258" max="258"/>
    <col width="1.7109375" customWidth="1" style="10" min="259" max="259"/>
    <col width="14.140625" customWidth="1" style="10" min="260" max="260"/>
    <col width="9.140625" customWidth="1" style="10" min="261" max="504"/>
    <col width="12.28515625" customWidth="1" style="10" min="505" max="505"/>
    <col width="53.5703125" customWidth="1" style="10" min="506" max="506"/>
    <col width="11.42578125" customWidth="1" style="10" min="507" max="507"/>
    <col width="12.140625" customWidth="1" style="10" min="508" max="508"/>
    <col width="21.28515625" customWidth="1" style="10" min="509" max="509"/>
    <col width="11.5703125" customWidth="1" style="10" min="510" max="510"/>
    <col width="9.140625" customWidth="1" style="10" min="511" max="511"/>
    <col width="5.140625" customWidth="1" style="10" min="512" max="512"/>
    <col width="12" customWidth="1" style="10" min="513" max="513"/>
    <col width="9.140625" customWidth="1" style="10" min="514" max="514"/>
    <col width="1.7109375" customWidth="1" style="10" min="515" max="515"/>
    <col width="14.140625" customWidth="1" style="10" min="516" max="516"/>
    <col width="9.140625" customWidth="1" style="10" min="517" max="760"/>
    <col width="12.28515625" customWidth="1" style="10" min="761" max="761"/>
    <col width="53.5703125" customWidth="1" style="10" min="762" max="762"/>
    <col width="11.42578125" customWidth="1" style="10" min="763" max="763"/>
    <col width="12.140625" customWidth="1" style="10" min="764" max="764"/>
    <col width="21.28515625" customWidth="1" style="10" min="765" max="765"/>
    <col width="11.5703125" customWidth="1" style="10" min="766" max="766"/>
    <col width="9.140625" customWidth="1" style="10" min="767" max="767"/>
    <col width="5.140625" customWidth="1" style="10" min="768" max="768"/>
    <col width="12" customWidth="1" style="10" min="769" max="769"/>
    <col width="9.140625" customWidth="1" style="10" min="770" max="770"/>
    <col width="1.7109375" customWidth="1" style="10" min="771" max="771"/>
    <col width="14.140625" customWidth="1" style="10" min="772" max="772"/>
    <col width="9.140625" customWidth="1" style="10" min="773" max="1016"/>
    <col width="12.28515625" customWidth="1" style="10" min="1017" max="1017"/>
    <col width="53.5703125" customWidth="1" style="10" min="1018" max="1018"/>
    <col width="11.42578125" customWidth="1" style="10" min="1019" max="1019"/>
    <col width="12.140625" customWidth="1" style="10" min="1020" max="1020"/>
    <col width="21.28515625" customWidth="1" style="10" min="1021" max="1021"/>
    <col width="11.5703125" customWidth="1" style="10" min="1022" max="1022"/>
    <col width="9.140625" customWidth="1" style="10" min="1023" max="1023"/>
    <col width="5.140625" customWidth="1" style="10" min="1024" max="1024"/>
    <col width="12" customWidth="1" style="10" min="1025" max="1025"/>
    <col width="9.140625" customWidth="1" style="10" min="1026" max="1026"/>
    <col width="1.7109375" customWidth="1" style="10" min="1027" max="1027"/>
    <col width="14.140625" customWidth="1" style="10" min="1028" max="1028"/>
    <col width="9.140625" customWidth="1" style="10" min="1029" max="1272"/>
    <col width="12.28515625" customWidth="1" style="10" min="1273" max="1273"/>
    <col width="53.5703125" customWidth="1" style="10" min="1274" max="1274"/>
    <col width="11.42578125" customWidth="1" style="10" min="1275" max="1275"/>
    <col width="12.140625" customWidth="1" style="10" min="1276" max="1276"/>
    <col width="21.28515625" customWidth="1" style="10" min="1277" max="1277"/>
    <col width="11.5703125" customWidth="1" style="10" min="1278" max="1278"/>
    <col width="9.140625" customWidth="1" style="10" min="1279" max="1279"/>
    <col width="5.140625" customWidth="1" style="10" min="1280" max="1280"/>
    <col width="12" customWidth="1" style="10" min="1281" max="1281"/>
    <col width="9.140625" customWidth="1" style="10" min="1282" max="1282"/>
    <col width="1.7109375" customWidth="1" style="10" min="1283" max="1283"/>
    <col width="14.140625" customWidth="1" style="10" min="1284" max="1284"/>
    <col width="9.140625" customWidth="1" style="10" min="1285" max="1528"/>
    <col width="12.28515625" customWidth="1" style="10" min="1529" max="1529"/>
    <col width="53.5703125" customWidth="1" style="10" min="1530" max="1530"/>
    <col width="11.42578125" customWidth="1" style="10" min="1531" max="1531"/>
    <col width="12.140625" customWidth="1" style="10" min="1532" max="1532"/>
    <col width="21.28515625" customWidth="1" style="10" min="1533" max="1533"/>
    <col width="11.5703125" customWidth="1" style="10" min="1534" max="1534"/>
    <col width="9.140625" customWidth="1" style="10" min="1535" max="1535"/>
    <col width="5.140625" customWidth="1" style="10" min="1536" max="1536"/>
    <col width="12" customWidth="1" style="10" min="1537" max="1537"/>
    <col width="9.140625" customWidth="1" style="10" min="1538" max="1538"/>
    <col width="1.7109375" customWidth="1" style="10" min="1539" max="1539"/>
    <col width="14.140625" customWidth="1" style="10" min="1540" max="1540"/>
    <col width="9.140625" customWidth="1" style="10" min="1541" max="1784"/>
    <col width="12.28515625" customWidth="1" style="10" min="1785" max="1785"/>
    <col width="53.5703125" customWidth="1" style="10" min="1786" max="1786"/>
    <col width="11.42578125" customWidth="1" style="10" min="1787" max="1787"/>
    <col width="12.140625" customWidth="1" style="10" min="1788" max="1788"/>
    <col width="21.28515625" customWidth="1" style="10" min="1789" max="1789"/>
    <col width="11.5703125" customWidth="1" style="10" min="1790" max="1790"/>
    <col width="9.140625" customWidth="1" style="10" min="1791" max="1791"/>
    <col width="5.140625" customWidth="1" style="10" min="1792" max="1792"/>
    <col width="12" customWidth="1" style="10" min="1793" max="1793"/>
    <col width="9.140625" customWidth="1" style="10" min="1794" max="1794"/>
    <col width="1.7109375" customWidth="1" style="10" min="1795" max="1795"/>
    <col width="14.140625" customWidth="1" style="10" min="1796" max="1796"/>
    <col width="9.140625" customWidth="1" style="10" min="1797" max="2040"/>
    <col width="12.28515625" customWidth="1" style="10" min="2041" max="2041"/>
    <col width="53.5703125" customWidth="1" style="10" min="2042" max="2042"/>
    <col width="11.42578125" customWidth="1" style="10" min="2043" max="2043"/>
    <col width="12.140625" customWidth="1" style="10" min="2044" max="2044"/>
    <col width="21.28515625" customWidth="1" style="10" min="2045" max="2045"/>
    <col width="11.5703125" customWidth="1" style="10" min="2046" max="2046"/>
    <col width="9.140625" customWidth="1" style="10" min="2047" max="2047"/>
    <col width="5.140625" customWidth="1" style="10" min="2048" max="2048"/>
    <col width="12" customWidth="1" style="10" min="2049" max="2049"/>
    <col width="9.140625" customWidth="1" style="10" min="2050" max="2050"/>
    <col width="1.7109375" customWidth="1" style="10" min="2051" max="2051"/>
    <col width="14.140625" customWidth="1" style="10" min="2052" max="2052"/>
    <col width="9.140625" customWidth="1" style="10" min="2053" max="2296"/>
    <col width="12.28515625" customWidth="1" style="10" min="2297" max="2297"/>
    <col width="53.5703125" customWidth="1" style="10" min="2298" max="2298"/>
    <col width="11.42578125" customWidth="1" style="10" min="2299" max="2299"/>
    <col width="12.140625" customWidth="1" style="10" min="2300" max="2300"/>
    <col width="21.28515625" customWidth="1" style="10" min="2301" max="2301"/>
    <col width="11.5703125" customWidth="1" style="10" min="2302" max="2302"/>
    <col width="9.140625" customWidth="1" style="10" min="2303" max="2303"/>
    <col width="5.140625" customWidth="1" style="10" min="2304" max="2304"/>
    <col width="12" customWidth="1" style="10" min="2305" max="2305"/>
    <col width="9.140625" customWidth="1" style="10" min="2306" max="2306"/>
    <col width="1.7109375" customWidth="1" style="10" min="2307" max="2307"/>
    <col width="14.140625" customWidth="1" style="10" min="2308" max="2308"/>
    <col width="9.140625" customWidth="1" style="10" min="2309" max="2552"/>
    <col width="12.28515625" customWidth="1" style="10" min="2553" max="2553"/>
    <col width="53.5703125" customWidth="1" style="10" min="2554" max="2554"/>
    <col width="11.42578125" customWidth="1" style="10" min="2555" max="2555"/>
    <col width="12.140625" customWidth="1" style="10" min="2556" max="2556"/>
    <col width="21.28515625" customWidth="1" style="10" min="2557" max="2557"/>
    <col width="11.5703125" customWidth="1" style="10" min="2558" max="2558"/>
    <col width="9.140625" customWidth="1" style="10" min="2559" max="2559"/>
    <col width="5.140625" customWidth="1" style="10" min="2560" max="2560"/>
    <col width="12" customWidth="1" style="10" min="2561" max="2561"/>
    <col width="9.140625" customWidth="1" style="10" min="2562" max="2562"/>
    <col width="1.7109375" customWidth="1" style="10" min="2563" max="2563"/>
    <col width="14.140625" customWidth="1" style="10" min="2564" max="2564"/>
    <col width="9.140625" customWidth="1" style="10" min="2565" max="2808"/>
    <col width="12.28515625" customWidth="1" style="10" min="2809" max="2809"/>
    <col width="53.5703125" customWidth="1" style="10" min="2810" max="2810"/>
    <col width="11.42578125" customWidth="1" style="10" min="2811" max="2811"/>
    <col width="12.140625" customWidth="1" style="10" min="2812" max="2812"/>
    <col width="21.28515625" customWidth="1" style="10" min="2813" max="2813"/>
    <col width="11.5703125" customWidth="1" style="10" min="2814" max="2814"/>
    <col width="9.140625" customWidth="1" style="10" min="2815" max="2815"/>
    <col width="5.140625" customWidth="1" style="10" min="2816" max="2816"/>
    <col width="12" customWidth="1" style="10" min="2817" max="2817"/>
    <col width="9.140625" customWidth="1" style="10" min="2818" max="2818"/>
    <col width="1.7109375" customWidth="1" style="10" min="2819" max="2819"/>
    <col width="14.140625" customWidth="1" style="10" min="2820" max="2820"/>
    <col width="9.140625" customWidth="1" style="10" min="2821" max="3064"/>
    <col width="12.28515625" customWidth="1" style="10" min="3065" max="3065"/>
    <col width="53.5703125" customWidth="1" style="10" min="3066" max="3066"/>
    <col width="11.42578125" customWidth="1" style="10" min="3067" max="3067"/>
    <col width="12.140625" customWidth="1" style="10" min="3068" max="3068"/>
    <col width="21.28515625" customWidth="1" style="10" min="3069" max="3069"/>
    <col width="11.5703125" customWidth="1" style="10" min="3070" max="3070"/>
    <col width="9.140625" customWidth="1" style="10" min="3071" max="3071"/>
    <col width="5.140625" customWidth="1" style="10" min="3072" max="3072"/>
    <col width="12" customWidth="1" style="10" min="3073" max="3073"/>
    <col width="9.140625" customWidth="1" style="10" min="3074" max="3074"/>
    <col width="1.7109375" customWidth="1" style="10" min="3075" max="3075"/>
    <col width="14.140625" customWidth="1" style="10" min="3076" max="3076"/>
    <col width="9.140625" customWidth="1" style="10" min="3077" max="3320"/>
    <col width="12.28515625" customWidth="1" style="10" min="3321" max="3321"/>
    <col width="53.5703125" customWidth="1" style="10" min="3322" max="3322"/>
    <col width="11.42578125" customWidth="1" style="10" min="3323" max="3323"/>
    <col width="12.140625" customWidth="1" style="10" min="3324" max="3324"/>
    <col width="21.28515625" customWidth="1" style="10" min="3325" max="3325"/>
    <col width="11.5703125" customWidth="1" style="10" min="3326" max="3326"/>
    <col width="9.140625" customWidth="1" style="10" min="3327" max="3327"/>
    <col width="5.140625" customWidth="1" style="10" min="3328" max="3328"/>
    <col width="12" customWidth="1" style="10" min="3329" max="3329"/>
    <col width="9.140625" customWidth="1" style="10" min="3330" max="3330"/>
    <col width="1.7109375" customWidth="1" style="10" min="3331" max="3331"/>
    <col width="14.140625" customWidth="1" style="10" min="3332" max="3332"/>
    <col width="9.140625" customWidth="1" style="10" min="3333" max="3576"/>
    <col width="12.28515625" customWidth="1" style="10" min="3577" max="3577"/>
    <col width="53.5703125" customWidth="1" style="10" min="3578" max="3578"/>
    <col width="11.42578125" customWidth="1" style="10" min="3579" max="3579"/>
    <col width="12.140625" customWidth="1" style="10" min="3580" max="3580"/>
    <col width="21.28515625" customWidth="1" style="10" min="3581" max="3581"/>
    <col width="11.5703125" customWidth="1" style="10" min="3582" max="3582"/>
    <col width="9.140625" customWidth="1" style="10" min="3583" max="3583"/>
    <col width="5.140625" customWidth="1" style="10" min="3584" max="3584"/>
    <col width="12" customWidth="1" style="10" min="3585" max="3585"/>
    <col width="9.140625" customWidth="1" style="10" min="3586" max="3586"/>
    <col width="1.7109375" customWidth="1" style="10" min="3587" max="3587"/>
    <col width="14.140625" customWidth="1" style="10" min="3588" max="3588"/>
    <col width="9.140625" customWidth="1" style="10" min="3589" max="3832"/>
    <col width="12.28515625" customWidth="1" style="10" min="3833" max="3833"/>
    <col width="53.5703125" customWidth="1" style="10" min="3834" max="3834"/>
    <col width="11.42578125" customWidth="1" style="10" min="3835" max="3835"/>
    <col width="12.140625" customWidth="1" style="10" min="3836" max="3836"/>
    <col width="21.28515625" customWidth="1" style="10" min="3837" max="3837"/>
    <col width="11.5703125" customWidth="1" style="10" min="3838" max="3838"/>
    <col width="9.140625" customWidth="1" style="10" min="3839" max="3839"/>
    <col width="5.140625" customWidth="1" style="10" min="3840" max="3840"/>
    <col width="12" customWidth="1" style="10" min="3841" max="3841"/>
    <col width="9.140625" customWidth="1" style="10" min="3842" max="3842"/>
    <col width="1.7109375" customWidth="1" style="10" min="3843" max="3843"/>
    <col width="14.140625" customWidth="1" style="10" min="3844" max="3844"/>
    <col width="9.140625" customWidth="1" style="10" min="3845" max="4088"/>
    <col width="12.28515625" customWidth="1" style="10" min="4089" max="4089"/>
    <col width="53.5703125" customWidth="1" style="10" min="4090" max="4090"/>
    <col width="11.42578125" customWidth="1" style="10" min="4091" max="4091"/>
    <col width="12.140625" customWidth="1" style="10" min="4092" max="4092"/>
    <col width="21.28515625" customWidth="1" style="10" min="4093" max="4093"/>
    <col width="11.5703125" customWidth="1" style="10" min="4094" max="4094"/>
    <col width="9.140625" customWidth="1" style="10" min="4095" max="4095"/>
    <col width="5.140625" customWidth="1" style="10" min="4096" max="4096"/>
    <col width="12" customWidth="1" style="10" min="4097" max="4097"/>
    <col width="9.140625" customWidth="1" style="10" min="4098" max="4098"/>
    <col width="1.7109375" customWidth="1" style="10" min="4099" max="4099"/>
    <col width="14.140625" customWidth="1" style="10" min="4100" max="4100"/>
    <col width="9.140625" customWidth="1" style="10" min="4101" max="4344"/>
    <col width="12.28515625" customWidth="1" style="10" min="4345" max="4345"/>
    <col width="53.5703125" customWidth="1" style="10" min="4346" max="4346"/>
    <col width="11.42578125" customWidth="1" style="10" min="4347" max="4347"/>
    <col width="12.140625" customWidth="1" style="10" min="4348" max="4348"/>
    <col width="21.28515625" customWidth="1" style="10" min="4349" max="4349"/>
    <col width="11.5703125" customWidth="1" style="10" min="4350" max="4350"/>
    <col width="9.140625" customWidth="1" style="10" min="4351" max="4351"/>
    <col width="5.140625" customWidth="1" style="10" min="4352" max="4352"/>
    <col width="12" customWidth="1" style="10" min="4353" max="4353"/>
    <col width="9.140625" customWidth="1" style="10" min="4354" max="4354"/>
    <col width="1.7109375" customWidth="1" style="10" min="4355" max="4355"/>
    <col width="14.140625" customWidth="1" style="10" min="4356" max="4356"/>
    <col width="9.140625" customWidth="1" style="10" min="4357" max="4600"/>
    <col width="12.28515625" customWidth="1" style="10" min="4601" max="4601"/>
    <col width="53.5703125" customWidth="1" style="10" min="4602" max="4602"/>
    <col width="11.42578125" customWidth="1" style="10" min="4603" max="4603"/>
    <col width="12.140625" customWidth="1" style="10" min="4604" max="4604"/>
    <col width="21.28515625" customWidth="1" style="10" min="4605" max="4605"/>
    <col width="11.5703125" customWidth="1" style="10" min="4606" max="4606"/>
    <col width="9.140625" customWidth="1" style="10" min="4607" max="4607"/>
    <col width="5.140625" customWidth="1" style="10" min="4608" max="4608"/>
    <col width="12" customWidth="1" style="10" min="4609" max="4609"/>
    <col width="9.140625" customWidth="1" style="10" min="4610" max="4610"/>
    <col width="1.7109375" customWidth="1" style="10" min="4611" max="4611"/>
    <col width="14.140625" customWidth="1" style="10" min="4612" max="4612"/>
    <col width="9.140625" customWidth="1" style="10" min="4613" max="4856"/>
    <col width="12.28515625" customWidth="1" style="10" min="4857" max="4857"/>
    <col width="53.5703125" customWidth="1" style="10" min="4858" max="4858"/>
    <col width="11.42578125" customWidth="1" style="10" min="4859" max="4859"/>
    <col width="12.140625" customWidth="1" style="10" min="4860" max="4860"/>
    <col width="21.28515625" customWidth="1" style="10" min="4861" max="4861"/>
    <col width="11.5703125" customWidth="1" style="10" min="4862" max="4862"/>
    <col width="9.140625" customWidth="1" style="10" min="4863" max="4863"/>
    <col width="5.140625" customWidth="1" style="10" min="4864" max="4864"/>
    <col width="12" customWidth="1" style="10" min="4865" max="4865"/>
    <col width="9.140625" customWidth="1" style="10" min="4866" max="4866"/>
    <col width="1.7109375" customWidth="1" style="10" min="4867" max="4867"/>
    <col width="14.140625" customWidth="1" style="10" min="4868" max="4868"/>
    <col width="9.140625" customWidth="1" style="10" min="4869" max="5112"/>
    <col width="12.28515625" customWidth="1" style="10" min="5113" max="5113"/>
    <col width="53.5703125" customWidth="1" style="10" min="5114" max="5114"/>
    <col width="11.42578125" customWidth="1" style="10" min="5115" max="5115"/>
    <col width="12.140625" customWidth="1" style="10" min="5116" max="5116"/>
    <col width="21.28515625" customWidth="1" style="10" min="5117" max="5117"/>
    <col width="11.5703125" customWidth="1" style="10" min="5118" max="5118"/>
    <col width="9.140625" customWidth="1" style="10" min="5119" max="5119"/>
    <col width="5.140625" customWidth="1" style="10" min="5120" max="5120"/>
    <col width="12" customWidth="1" style="10" min="5121" max="5121"/>
    <col width="9.140625" customWidth="1" style="10" min="5122" max="5122"/>
    <col width="1.7109375" customWidth="1" style="10" min="5123" max="5123"/>
    <col width="14.140625" customWidth="1" style="10" min="5124" max="5124"/>
    <col width="9.140625" customWidth="1" style="10" min="5125" max="5368"/>
    <col width="12.28515625" customWidth="1" style="10" min="5369" max="5369"/>
    <col width="53.5703125" customWidth="1" style="10" min="5370" max="5370"/>
    <col width="11.42578125" customWidth="1" style="10" min="5371" max="5371"/>
    <col width="12.140625" customWidth="1" style="10" min="5372" max="5372"/>
    <col width="21.28515625" customWidth="1" style="10" min="5373" max="5373"/>
    <col width="11.5703125" customWidth="1" style="10" min="5374" max="5374"/>
    <col width="9.140625" customWidth="1" style="10" min="5375" max="5375"/>
    <col width="5.140625" customWidth="1" style="10" min="5376" max="5376"/>
    <col width="12" customWidth="1" style="10" min="5377" max="5377"/>
    <col width="9.140625" customWidth="1" style="10" min="5378" max="5378"/>
    <col width="1.7109375" customWidth="1" style="10" min="5379" max="5379"/>
    <col width="14.140625" customWidth="1" style="10" min="5380" max="5380"/>
    <col width="9.140625" customWidth="1" style="10" min="5381" max="5624"/>
    <col width="12.28515625" customWidth="1" style="10" min="5625" max="5625"/>
    <col width="53.5703125" customWidth="1" style="10" min="5626" max="5626"/>
    <col width="11.42578125" customWidth="1" style="10" min="5627" max="5627"/>
    <col width="12.140625" customWidth="1" style="10" min="5628" max="5628"/>
    <col width="21.28515625" customWidth="1" style="10" min="5629" max="5629"/>
    <col width="11.5703125" customWidth="1" style="10" min="5630" max="5630"/>
    <col width="9.140625" customWidth="1" style="10" min="5631" max="5631"/>
    <col width="5.140625" customWidth="1" style="10" min="5632" max="5632"/>
    <col width="12" customWidth="1" style="10" min="5633" max="5633"/>
    <col width="9.140625" customWidth="1" style="10" min="5634" max="5634"/>
    <col width="1.7109375" customWidth="1" style="10" min="5635" max="5635"/>
    <col width="14.140625" customWidth="1" style="10" min="5636" max="5636"/>
    <col width="9.140625" customWidth="1" style="10" min="5637" max="5880"/>
    <col width="12.28515625" customWidth="1" style="10" min="5881" max="5881"/>
    <col width="53.5703125" customWidth="1" style="10" min="5882" max="5882"/>
    <col width="11.42578125" customWidth="1" style="10" min="5883" max="5883"/>
    <col width="12.140625" customWidth="1" style="10" min="5884" max="5884"/>
    <col width="21.28515625" customWidth="1" style="10" min="5885" max="5885"/>
    <col width="11.5703125" customWidth="1" style="10" min="5886" max="5886"/>
    <col width="9.140625" customWidth="1" style="10" min="5887" max="5887"/>
    <col width="5.140625" customWidth="1" style="10" min="5888" max="5888"/>
    <col width="12" customWidth="1" style="10" min="5889" max="5889"/>
    <col width="9.140625" customWidth="1" style="10" min="5890" max="5890"/>
    <col width="1.7109375" customWidth="1" style="10" min="5891" max="5891"/>
    <col width="14.140625" customWidth="1" style="10" min="5892" max="5892"/>
    <col width="9.140625" customWidth="1" style="10" min="5893" max="6136"/>
    <col width="12.28515625" customWidth="1" style="10" min="6137" max="6137"/>
    <col width="53.5703125" customWidth="1" style="10" min="6138" max="6138"/>
    <col width="11.42578125" customWidth="1" style="10" min="6139" max="6139"/>
    <col width="12.140625" customWidth="1" style="10" min="6140" max="6140"/>
    <col width="21.28515625" customWidth="1" style="10" min="6141" max="6141"/>
    <col width="11.5703125" customWidth="1" style="10" min="6142" max="6142"/>
    <col width="9.140625" customWidth="1" style="10" min="6143" max="6143"/>
    <col width="5.140625" customWidth="1" style="10" min="6144" max="6144"/>
    <col width="12" customWidth="1" style="10" min="6145" max="6145"/>
    <col width="9.140625" customWidth="1" style="10" min="6146" max="6146"/>
    <col width="1.7109375" customWidth="1" style="10" min="6147" max="6147"/>
    <col width="14.140625" customWidth="1" style="10" min="6148" max="6148"/>
    <col width="9.140625" customWidth="1" style="10" min="6149" max="6392"/>
    <col width="12.28515625" customWidth="1" style="10" min="6393" max="6393"/>
    <col width="53.5703125" customWidth="1" style="10" min="6394" max="6394"/>
    <col width="11.42578125" customWidth="1" style="10" min="6395" max="6395"/>
    <col width="12.140625" customWidth="1" style="10" min="6396" max="6396"/>
    <col width="21.28515625" customWidth="1" style="10" min="6397" max="6397"/>
    <col width="11.5703125" customWidth="1" style="10" min="6398" max="6398"/>
    <col width="9.140625" customWidth="1" style="10" min="6399" max="6399"/>
    <col width="5.140625" customWidth="1" style="10" min="6400" max="6400"/>
    <col width="12" customWidth="1" style="10" min="6401" max="6401"/>
    <col width="9.140625" customWidth="1" style="10" min="6402" max="6402"/>
    <col width="1.7109375" customWidth="1" style="10" min="6403" max="6403"/>
    <col width="14.140625" customWidth="1" style="10" min="6404" max="6404"/>
    <col width="9.140625" customWidth="1" style="10" min="6405" max="6648"/>
    <col width="12.28515625" customWidth="1" style="10" min="6649" max="6649"/>
    <col width="53.5703125" customWidth="1" style="10" min="6650" max="6650"/>
    <col width="11.42578125" customWidth="1" style="10" min="6651" max="6651"/>
    <col width="12.140625" customWidth="1" style="10" min="6652" max="6652"/>
    <col width="21.28515625" customWidth="1" style="10" min="6653" max="6653"/>
    <col width="11.5703125" customWidth="1" style="10" min="6654" max="6654"/>
    <col width="9.140625" customWidth="1" style="10" min="6655" max="6655"/>
    <col width="5.140625" customWidth="1" style="10" min="6656" max="6656"/>
    <col width="12" customWidth="1" style="10" min="6657" max="6657"/>
    <col width="9.140625" customWidth="1" style="10" min="6658" max="6658"/>
    <col width="1.7109375" customWidth="1" style="10" min="6659" max="6659"/>
    <col width="14.140625" customWidth="1" style="10" min="6660" max="6660"/>
    <col width="9.140625" customWidth="1" style="10" min="6661" max="6904"/>
    <col width="12.28515625" customWidth="1" style="10" min="6905" max="6905"/>
    <col width="53.5703125" customWidth="1" style="10" min="6906" max="6906"/>
    <col width="11.42578125" customWidth="1" style="10" min="6907" max="6907"/>
    <col width="12.140625" customWidth="1" style="10" min="6908" max="6908"/>
    <col width="21.28515625" customWidth="1" style="10" min="6909" max="6909"/>
    <col width="11.5703125" customWidth="1" style="10" min="6910" max="6910"/>
    <col width="9.140625" customWidth="1" style="10" min="6911" max="6911"/>
    <col width="5.140625" customWidth="1" style="10" min="6912" max="6912"/>
    <col width="12" customWidth="1" style="10" min="6913" max="6913"/>
    <col width="9.140625" customWidth="1" style="10" min="6914" max="6914"/>
    <col width="1.7109375" customWidth="1" style="10" min="6915" max="6915"/>
    <col width="14.140625" customWidth="1" style="10" min="6916" max="6916"/>
    <col width="9.140625" customWidth="1" style="10" min="6917" max="7160"/>
    <col width="12.28515625" customWidth="1" style="10" min="7161" max="7161"/>
    <col width="53.5703125" customWidth="1" style="10" min="7162" max="7162"/>
    <col width="11.42578125" customWidth="1" style="10" min="7163" max="7163"/>
    <col width="12.140625" customWidth="1" style="10" min="7164" max="7164"/>
    <col width="21.28515625" customWidth="1" style="10" min="7165" max="7165"/>
    <col width="11.5703125" customWidth="1" style="10" min="7166" max="7166"/>
    <col width="9.140625" customWidth="1" style="10" min="7167" max="7167"/>
    <col width="5.140625" customWidth="1" style="10" min="7168" max="7168"/>
    <col width="12" customWidth="1" style="10" min="7169" max="7169"/>
    <col width="9.140625" customWidth="1" style="10" min="7170" max="7170"/>
    <col width="1.7109375" customWidth="1" style="10" min="7171" max="7171"/>
    <col width="14.140625" customWidth="1" style="10" min="7172" max="7172"/>
    <col width="9.140625" customWidth="1" style="10" min="7173" max="7416"/>
    <col width="12.28515625" customWidth="1" style="10" min="7417" max="7417"/>
    <col width="53.5703125" customWidth="1" style="10" min="7418" max="7418"/>
    <col width="11.42578125" customWidth="1" style="10" min="7419" max="7419"/>
    <col width="12.140625" customWidth="1" style="10" min="7420" max="7420"/>
    <col width="21.28515625" customWidth="1" style="10" min="7421" max="7421"/>
    <col width="11.5703125" customWidth="1" style="10" min="7422" max="7422"/>
    <col width="9.140625" customWidth="1" style="10" min="7423" max="7423"/>
    <col width="5.140625" customWidth="1" style="10" min="7424" max="7424"/>
    <col width="12" customWidth="1" style="10" min="7425" max="7425"/>
    <col width="9.140625" customWidth="1" style="10" min="7426" max="7426"/>
    <col width="1.7109375" customWidth="1" style="10" min="7427" max="7427"/>
    <col width="14.140625" customWidth="1" style="10" min="7428" max="7428"/>
    <col width="9.140625" customWidth="1" style="10" min="7429" max="7672"/>
    <col width="12.28515625" customWidth="1" style="10" min="7673" max="7673"/>
    <col width="53.5703125" customWidth="1" style="10" min="7674" max="7674"/>
    <col width="11.42578125" customWidth="1" style="10" min="7675" max="7675"/>
    <col width="12.140625" customWidth="1" style="10" min="7676" max="7676"/>
    <col width="21.28515625" customWidth="1" style="10" min="7677" max="7677"/>
    <col width="11.5703125" customWidth="1" style="10" min="7678" max="7678"/>
    <col width="9.140625" customWidth="1" style="10" min="7679" max="7679"/>
    <col width="5.140625" customWidth="1" style="10" min="7680" max="7680"/>
    <col width="12" customWidth="1" style="10" min="7681" max="7681"/>
    <col width="9.140625" customWidth="1" style="10" min="7682" max="7682"/>
    <col width="1.7109375" customWidth="1" style="10" min="7683" max="7683"/>
    <col width="14.140625" customWidth="1" style="10" min="7684" max="7684"/>
    <col width="9.140625" customWidth="1" style="10" min="7685" max="7928"/>
    <col width="12.28515625" customWidth="1" style="10" min="7929" max="7929"/>
    <col width="53.5703125" customWidth="1" style="10" min="7930" max="7930"/>
    <col width="11.42578125" customWidth="1" style="10" min="7931" max="7931"/>
    <col width="12.140625" customWidth="1" style="10" min="7932" max="7932"/>
    <col width="21.28515625" customWidth="1" style="10" min="7933" max="7933"/>
    <col width="11.5703125" customWidth="1" style="10" min="7934" max="7934"/>
    <col width="9.140625" customWidth="1" style="10" min="7935" max="7935"/>
    <col width="5.140625" customWidth="1" style="10" min="7936" max="7936"/>
    <col width="12" customWidth="1" style="10" min="7937" max="7937"/>
    <col width="9.140625" customWidth="1" style="10" min="7938" max="7938"/>
    <col width="1.7109375" customWidth="1" style="10" min="7939" max="7939"/>
    <col width="14.140625" customWidth="1" style="10" min="7940" max="7940"/>
    <col width="9.140625" customWidth="1" style="10" min="7941" max="8184"/>
    <col width="12.28515625" customWidth="1" style="10" min="8185" max="8185"/>
    <col width="53.5703125" customWidth="1" style="10" min="8186" max="8186"/>
    <col width="11.42578125" customWidth="1" style="10" min="8187" max="8187"/>
    <col width="12.140625" customWidth="1" style="10" min="8188" max="8188"/>
    <col width="21.28515625" customWidth="1" style="10" min="8189" max="8189"/>
    <col width="11.5703125" customWidth="1" style="10" min="8190" max="8190"/>
    <col width="9.140625" customWidth="1" style="10" min="8191" max="8191"/>
    <col width="5.140625" customWidth="1" style="10" min="8192" max="8192"/>
    <col width="12" customWidth="1" style="10" min="8193" max="8193"/>
    <col width="9.140625" customWidth="1" style="10" min="8194" max="8194"/>
    <col width="1.7109375" customWidth="1" style="10" min="8195" max="8195"/>
    <col width="14.140625" customWidth="1" style="10" min="8196" max="8196"/>
    <col width="9.140625" customWidth="1" style="10" min="8197" max="8440"/>
    <col width="12.28515625" customWidth="1" style="10" min="8441" max="8441"/>
    <col width="53.5703125" customWidth="1" style="10" min="8442" max="8442"/>
    <col width="11.42578125" customWidth="1" style="10" min="8443" max="8443"/>
    <col width="12.140625" customWidth="1" style="10" min="8444" max="8444"/>
    <col width="21.28515625" customWidth="1" style="10" min="8445" max="8445"/>
    <col width="11.5703125" customWidth="1" style="10" min="8446" max="8446"/>
    <col width="9.140625" customWidth="1" style="10" min="8447" max="8447"/>
    <col width="5.140625" customWidth="1" style="10" min="8448" max="8448"/>
    <col width="12" customWidth="1" style="10" min="8449" max="8449"/>
    <col width="9.140625" customWidth="1" style="10" min="8450" max="8450"/>
    <col width="1.7109375" customWidth="1" style="10" min="8451" max="8451"/>
    <col width="14.140625" customWidth="1" style="10" min="8452" max="8452"/>
    <col width="9.140625" customWidth="1" style="10" min="8453" max="8696"/>
    <col width="12.28515625" customWidth="1" style="10" min="8697" max="8697"/>
    <col width="53.5703125" customWidth="1" style="10" min="8698" max="8698"/>
    <col width="11.42578125" customWidth="1" style="10" min="8699" max="8699"/>
    <col width="12.140625" customWidth="1" style="10" min="8700" max="8700"/>
    <col width="21.28515625" customWidth="1" style="10" min="8701" max="8701"/>
    <col width="11.5703125" customWidth="1" style="10" min="8702" max="8702"/>
    <col width="9.140625" customWidth="1" style="10" min="8703" max="8703"/>
    <col width="5.140625" customWidth="1" style="10" min="8704" max="8704"/>
    <col width="12" customWidth="1" style="10" min="8705" max="8705"/>
    <col width="9.140625" customWidth="1" style="10" min="8706" max="8706"/>
    <col width="1.7109375" customWidth="1" style="10" min="8707" max="8707"/>
    <col width="14.140625" customWidth="1" style="10" min="8708" max="8708"/>
    <col width="9.140625" customWidth="1" style="10" min="8709" max="8952"/>
    <col width="12.28515625" customWidth="1" style="10" min="8953" max="8953"/>
    <col width="53.5703125" customWidth="1" style="10" min="8954" max="8954"/>
    <col width="11.42578125" customWidth="1" style="10" min="8955" max="8955"/>
    <col width="12.140625" customWidth="1" style="10" min="8956" max="8956"/>
    <col width="21.28515625" customWidth="1" style="10" min="8957" max="8957"/>
    <col width="11.5703125" customWidth="1" style="10" min="8958" max="8958"/>
    <col width="9.140625" customWidth="1" style="10" min="8959" max="8959"/>
    <col width="5.140625" customWidth="1" style="10" min="8960" max="8960"/>
    <col width="12" customWidth="1" style="10" min="8961" max="8961"/>
    <col width="9.140625" customWidth="1" style="10" min="8962" max="8962"/>
    <col width="1.7109375" customWidth="1" style="10" min="8963" max="8963"/>
    <col width="14.140625" customWidth="1" style="10" min="8964" max="8964"/>
    <col width="9.140625" customWidth="1" style="10" min="8965" max="9208"/>
    <col width="12.28515625" customWidth="1" style="10" min="9209" max="9209"/>
    <col width="53.5703125" customWidth="1" style="10" min="9210" max="9210"/>
    <col width="11.42578125" customWidth="1" style="10" min="9211" max="9211"/>
    <col width="12.140625" customWidth="1" style="10" min="9212" max="9212"/>
    <col width="21.28515625" customWidth="1" style="10" min="9213" max="9213"/>
    <col width="11.5703125" customWidth="1" style="10" min="9214" max="9214"/>
    <col width="9.140625" customWidth="1" style="10" min="9215" max="9215"/>
    <col width="5.140625" customWidth="1" style="10" min="9216" max="9216"/>
    <col width="12" customWidth="1" style="10" min="9217" max="9217"/>
    <col width="9.140625" customWidth="1" style="10" min="9218" max="9218"/>
    <col width="1.7109375" customWidth="1" style="10" min="9219" max="9219"/>
    <col width="14.140625" customWidth="1" style="10" min="9220" max="9220"/>
    <col width="9.140625" customWidth="1" style="10" min="9221" max="9464"/>
    <col width="12.28515625" customWidth="1" style="10" min="9465" max="9465"/>
    <col width="53.5703125" customWidth="1" style="10" min="9466" max="9466"/>
    <col width="11.42578125" customWidth="1" style="10" min="9467" max="9467"/>
    <col width="12.140625" customWidth="1" style="10" min="9468" max="9468"/>
    <col width="21.28515625" customWidth="1" style="10" min="9469" max="9469"/>
    <col width="11.5703125" customWidth="1" style="10" min="9470" max="9470"/>
    <col width="9.140625" customWidth="1" style="10" min="9471" max="9471"/>
    <col width="5.140625" customWidth="1" style="10" min="9472" max="9472"/>
    <col width="12" customWidth="1" style="10" min="9473" max="9473"/>
    <col width="9.140625" customWidth="1" style="10" min="9474" max="9474"/>
    <col width="1.7109375" customWidth="1" style="10" min="9475" max="9475"/>
    <col width="14.140625" customWidth="1" style="10" min="9476" max="9476"/>
    <col width="9.140625" customWidth="1" style="10" min="9477" max="9720"/>
    <col width="12.28515625" customWidth="1" style="10" min="9721" max="9721"/>
    <col width="53.5703125" customWidth="1" style="10" min="9722" max="9722"/>
    <col width="11.42578125" customWidth="1" style="10" min="9723" max="9723"/>
    <col width="12.140625" customWidth="1" style="10" min="9724" max="9724"/>
    <col width="21.28515625" customWidth="1" style="10" min="9725" max="9725"/>
    <col width="11.5703125" customWidth="1" style="10" min="9726" max="9726"/>
    <col width="9.140625" customWidth="1" style="10" min="9727" max="9727"/>
    <col width="5.140625" customWidth="1" style="10" min="9728" max="9728"/>
    <col width="12" customWidth="1" style="10" min="9729" max="9729"/>
    <col width="9.140625" customWidth="1" style="10" min="9730" max="9730"/>
    <col width="1.7109375" customWidth="1" style="10" min="9731" max="9731"/>
    <col width="14.140625" customWidth="1" style="10" min="9732" max="9732"/>
    <col width="9.140625" customWidth="1" style="10" min="9733" max="9976"/>
    <col width="12.28515625" customWidth="1" style="10" min="9977" max="9977"/>
    <col width="53.5703125" customWidth="1" style="10" min="9978" max="9978"/>
    <col width="11.42578125" customWidth="1" style="10" min="9979" max="9979"/>
    <col width="12.140625" customWidth="1" style="10" min="9980" max="9980"/>
    <col width="21.28515625" customWidth="1" style="10" min="9981" max="9981"/>
    <col width="11.5703125" customWidth="1" style="10" min="9982" max="9982"/>
    <col width="9.140625" customWidth="1" style="10" min="9983" max="9983"/>
    <col width="5.140625" customWidth="1" style="10" min="9984" max="9984"/>
    <col width="12" customWidth="1" style="10" min="9985" max="9985"/>
    <col width="9.140625" customWidth="1" style="10" min="9986" max="9986"/>
    <col width="1.7109375" customWidth="1" style="10" min="9987" max="9987"/>
    <col width="14.140625" customWidth="1" style="10" min="9988" max="9988"/>
    <col width="9.140625" customWidth="1" style="10" min="9989" max="10232"/>
    <col width="12.28515625" customWidth="1" style="10" min="10233" max="10233"/>
    <col width="53.5703125" customWidth="1" style="10" min="10234" max="10234"/>
    <col width="11.42578125" customWidth="1" style="10" min="10235" max="10235"/>
    <col width="12.140625" customWidth="1" style="10" min="10236" max="10236"/>
    <col width="21.28515625" customWidth="1" style="10" min="10237" max="10237"/>
    <col width="11.5703125" customWidth="1" style="10" min="10238" max="10238"/>
    <col width="9.140625" customWidth="1" style="10" min="10239" max="10239"/>
    <col width="5.140625" customWidth="1" style="10" min="10240" max="10240"/>
    <col width="12" customWidth="1" style="10" min="10241" max="10241"/>
    <col width="9.140625" customWidth="1" style="10" min="10242" max="10242"/>
    <col width="1.7109375" customWidth="1" style="10" min="10243" max="10243"/>
    <col width="14.140625" customWidth="1" style="10" min="10244" max="10244"/>
    <col width="9.140625" customWidth="1" style="10" min="10245" max="10488"/>
    <col width="12.28515625" customWidth="1" style="10" min="10489" max="10489"/>
    <col width="53.5703125" customWidth="1" style="10" min="10490" max="10490"/>
    <col width="11.42578125" customWidth="1" style="10" min="10491" max="10491"/>
    <col width="12.140625" customWidth="1" style="10" min="10492" max="10492"/>
    <col width="21.28515625" customWidth="1" style="10" min="10493" max="10493"/>
    <col width="11.5703125" customWidth="1" style="10" min="10494" max="10494"/>
    <col width="9.140625" customWidth="1" style="10" min="10495" max="10495"/>
    <col width="5.140625" customWidth="1" style="10" min="10496" max="10496"/>
    <col width="12" customWidth="1" style="10" min="10497" max="10497"/>
    <col width="9.140625" customWidth="1" style="10" min="10498" max="10498"/>
    <col width="1.7109375" customWidth="1" style="10" min="10499" max="10499"/>
    <col width="14.140625" customWidth="1" style="10" min="10500" max="10500"/>
    <col width="9.140625" customWidth="1" style="10" min="10501" max="10744"/>
    <col width="12.28515625" customWidth="1" style="10" min="10745" max="10745"/>
    <col width="53.5703125" customWidth="1" style="10" min="10746" max="10746"/>
    <col width="11.42578125" customWidth="1" style="10" min="10747" max="10747"/>
    <col width="12.140625" customWidth="1" style="10" min="10748" max="10748"/>
    <col width="21.28515625" customWidth="1" style="10" min="10749" max="10749"/>
    <col width="11.5703125" customWidth="1" style="10" min="10750" max="10750"/>
    <col width="9.140625" customWidth="1" style="10" min="10751" max="10751"/>
    <col width="5.140625" customWidth="1" style="10" min="10752" max="10752"/>
    <col width="12" customWidth="1" style="10" min="10753" max="10753"/>
    <col width="9.140625" customWidth="1" style="10" min="10754" max="10754"/>
    <col width="1.7109375" customWidth="1" style="10" min="10755" max="10755"/>
    <col width="14.140625" customWidth="1" style="10" min="10756" max="10756"/>
    <col width="9.140625" customWidth="1" style="10" min="10757" max="11000"/>
    <col width="12.28515625" customWidth="1" style="10" min="11001" max="11001"/>
    <col width="53.5703125" customWidth="1" style="10" min="11002" max="11002"/>
    <col width="11.42578125" customWidth="1" style="10" min="11003" max="11003"/>
    <col width="12.140625" customWidth="1" style="10" min="11004" max="11004"/>
    <col width="21.28515625" customWidth="1" style="10" min="11005" max="11005"/>
    <col width="11.5703125" customWidth="1" style="10" min="11006" max="11006"/>
    <col width="9.140625" customWidth="1" style="10" min="11007" max="11007"/>
    <col width="5.140625" customWidth="1" style="10" min="11008" max="11008"/>
    <col width="12" customWidth="1" style="10" min="11009" max="11009"/>
    <col width="9.140625" customWidth="1" style="10" min="11010" max="11010"/>
    <col width="1.7109375" customWidth="1" style="10" min="11011" max="11011"/>
    <col width="14.140625" customWidth="1" style="10" min="11012" max="11012"/>
    <col width="9.140625" customWidth="1" style="10" min="11013" max="11256"/>
    <col width="12.28515625" customWidth="1" style="10" min="11257" max="11257"/>
    <col width="53.5703125" customWidth="1" style="10" min="11258" max="11258"/>
    <col width="11.42578125" customWidth="1" style="10" min="11259" max="11259"/>
    <col width="12.140625" customWidth="1" style="10" min="11260" max="11260"/>
    <col width="21.28515625" customWidth="1" style="10" min="11261" max="11261"/>
    <col width="11.5703125" customWidth="1" style="10" min="11262" max="11262"/>
    <col width="9.140625" customWidth="1" style="10" min="11263" max="11263"/>
    <col width="5.140625" customWidth="1" style="10" min="11264" max="11264"/>
    <col width="12" customWidth="1" style="10" min="11265" max="11265"/>
    <col width="9.140625" customWidth="1" style="10" min="11266" max="11266"/>
    <col width="1.7109375" customWidth="1" style="10" min="11267" max="11267"/>
    <col width="14.140625" customWidth="1" style="10" min="11268" max="11268"/>
    <col width="9.140625" customWidth="1" style="10" min="11269" max="11512"/>
    <col width="12.28515625" customWidth="1" style="10" min="11513" max="11513"/>
    <col width="53.5703125" customWidth="1" style="10" min="11514" max="11514"/>
    <col width="11.42578125" customWidth="1" style="10" min="11515" max="11515"/>
    <col width="12.140625" customWidth="1" style="10" min="11516" max="11516"/>
    <col width="21.28515625" customWidth="1" style="10" min="11517" max="11517"/>
    <col width="11.5703125" customWidth="1" style="10" min="11518" max="11518"/>
    <col width="9.140625" customWidth="1" style="10" min="11519" max="11519"/>
    <col width="5.140625" customWidth="1" style="10" min="11520" max="11520"/>
    <col width="12" customWidth="1" style="10" min="11521" max="11521"/>
    <col width="9.140625" customWidth="1" style="10" min="11522" max="11522"/>
    <col width="1.7109375" customWidth="1" style="10" min="11523" max="11523"/>
    <col width="14.140625" customWidth="1" style="10" min="11524" max="11524"/>
    <col width="9.140625" customWidth="1" style="10" min="11525" max="11768"/>
    <col width="12.28515625" customWidth="1" style="10" min="11769" max="11769"/>
    <col width="53.5703125" customWidth="1" style="10" min="11770" max="11770"/>
    <col width="11.42578125" customWidth="1" style="10" min="11771" max="11771"/>
    <col width="12.140625" customWidth="1" style="10" min="11772" max="11772"/>
    <col width="21.28515625" customWidth="1" style="10" min="11773" max="11773"/>
    <col width="11.5703125" customWidth="1" style="10" min="11774" max="11774"/>
    <col width="9.140625" customWidth="1" style="10" min="11775" max="11775"/>
    <col width="5.140625" customWidth="1" style="10" min="11776" max="11776"/>
    <col width="12" customWidth="1" style="10" min="11777" max="11777"/>
    <col width="9.140625" customWidth="1" style="10" min="11778" max="11778"/>
    <col width="1.7109375" customWidth="1" style="10" min="11779" max="11779"/>
    <col width="14.140625" customWidth="1" style="10" min="11780" max="11780"/>
    <col width="9.140625" customWidth="1" style="10" min="11781" max="12024"/>
    <col width="12.28515625" customWidth="1" style="10" min="12025" max="12025"/>
    <col width="53.5703125" customWidth="1" style="10" min="12026" max="12026"/>
    <col width="11.42578125" customWidth="1" style="10" min="12027" max="12027"/>
    <col width="12.140625" customWidth="1" style="10" min="12028" max="12028"/>
    <col width="21.28515625" customWidth="1" style="10" min="12029" max="12029"/>
    <col width="11.5703125" customWidth="1" style="10" min="12030" max="12030"/>
    <col width="9.140625" customWidth="1" style="10" min="12031" max="12031"/>
    <col width="5.140625" customWidth="1" style="10" min="12032" max="12032"/>
    <col width="12" customWidth="1" style="10" min="12033" max="12033"/>
    <col width="9.140625" customWidth="1" style="10" min="12034" max="12034"/>
    <col width="1.7109375" customWidth="1" style="10" min="12035" max="12035"/>
    <col width="14.140625" customWidth="1" style="10" min="12036" max="12036"/>
    <col width="9.140625" customWidth="1" style="10" min="12037" max="12280"/>
    <col width="12.28515625" customWidth="1" style="10" min="12281" max="12281"/>
    <col width="53.5703125" customWidth="1" style="10" min="12282" max="12282"/>
    <col width="11.42578125" customWidth="1" style="10" min="12283" max="12283"/>
    <col width="12.140625" customWidth="1" style="10" min="12284" max="12284"/>
    <col width="21.28515625" customWidth="1" style="10" min="12285" max="12285"/>
    <col width="11.5703125" customWidth="1" style="10" min="12286" max="12286"/>
    <col width="9.140625" customWidth="1" style="10" min="12287" max="12287"/>
    <col width="5.140625" customWidth="1" style="10" min="12288" max="12288"/>
    <col width="12" customWidth="1" style="10" min="12289" max="12289"/>
    <col width="9.140625" customWidth="1" style="10" min="12290" max="12290"/>
    <col width="1.7109375" customWidth="1" style="10" min="12291" max="12291"/>
    <col width="14.140625" customWidth="1" style="10" min="12292" max="12292"/>
    <col width="9.140625" customWidth="1" style="10" min="12293" max="12536"/>
    <col width="12.28515625" customWidth="1" style="10" min="12537" max="12537"/>
    <col width="53.5703125" customWidth="1" style="10" min="12538" max="12538"/>
    <col width="11.42578125" customWidth="1" style="10" min="12539" max="12539"/>
    <col width="12.140625" customWidth="1" style="10" min="12540" max="12540"/>
    <col width="21.28515625" customWidth="1" style="10" min="12541" max="12541"/>
    <col width="11.5703125" customWidth="1" style="10" min="12542" max="12542"/>
    <col width="9.140625" customWidth="1" style="10" min="12543" max="12543"/>
    <col width="5.140625" customWidth="1" style="10" min="12544" max="12544"/>
    <col width="12" customWidth="1" style="10" min="12545" max="12545"/>
    <col width="9.140625" customWidth="1" style="10" min="12546" max="12546"/>
    <col width="1.7109375" customWidth="1" style="10" min="12547" max="12547"/>
    <col width="14.140625" customWidth="1" style="10" min="12548" max="12548"/>
    <col width="9.140625" customWidth="1" style="10" min="12549" max="12792"/>
    <col width="12.28515625" customWidth="1" style="10" min="12793" max="12793"/>
    <col width="53.5703125" customWidth="1" style="10" min="12794" max="12794"/>
    <col width="11.42578125" customWidth="1" style="10" min="12795" max="12795"/>
    <col width="12.140625" customWidth="1" style="10" min="12796" max="12796"/>
    <col width="21.28515625" customWidth="1" style="10" min="12797" max="12797"/>
    <col width="11.5703125" customWidth="1" style="10" min="12798" max="12798"/>
    <col width="9.140625" customWidth="1" style="10" min="12799" max="12799"/>
    <col width="5.140625" customWidth="1" style="10" min="12800" max="12800"/>
    <col width="12" customWidth="1" style="10" min="12801" max="12801"/>
    <col width="9.140625" customWidth="1" style="10" min="12802" max="12802"/>
    <col width="1.7109375" customWidth="1" style="10" min="12803" max="12803"/>
    <col width="14.140625" customWidth="1" style="10" min="12804" max="12804"/>
    <col width="9.140625" customWidth="1" style="10" min="12805" max="13048"/>
    <col width="12.28515625" customWidth="1" style="10" min="13049" max="13049"/>
    <col width="53.5703125" customWidth="1" style="10" min="13050" max="13050"/>
    <col width="11.42578125" customWidth="1" style="10" min="13051" max="13051"/>
    <col width="12.140625" customWidth="1" style="10" min="13052" max="13052"/>
    <col width="21.28515625" customWidth="1" style="10" min="13053" max="13053"/>
    <col width="11.5703125" customWidth="1" style="10" min="13054" max="13054"/>
    <col width="9.140625" customWidth="1" style="10" min="13055" max="13055"/>
    <col width="5.140625" customWidth="1" style="10" min="13056" max="13056"/>
    <col width="12" customWidth="1" style="10" min="13057" max="13057"/>
    <col width="9.140625" customWidth="1" style="10" min="13058" max="13058"/>
    <col width="1.7109375" customWidth="1" style="10" min="13059" max="13059"/>
    <col width="14.140625" customWidth="1" style="10" min="13060" max="13060"/>
    <col width="9.140625" customWidth="1" style="10" min="13061" max="13304"/>
    <col width="12.28515625" customWidth="1" style="10" min="13305" max="13305"/>
    <col width="53.5703125" customWidth="1" style="10" min="13306" max="13306"/>
    <col width="11.42578125" customWidth="1" style="10" min="13307" max="13307"/>
    <col width="12.140625" customWidth="1" style="10" min="13308" max="13308"/>
    <col width="21.28515625" customWidth="1" style="10" min="13309" max="13309"/>
    <col width="11.5703125" customWidth="1" style="10" min="13310" max="13310"/>
    <col width="9.140625" customWidth="1" style="10" min="13311" max="13311"/>
    <col width="5.140625" customWidth="1" style="10" min="13312" max="13312"/>
    <col width="12" customWidth="1" style="10" min="13313" max="13313"/>
    <col width="9.140625" customWidth="1" style="10" min="13314" max="13314"/>
    <col width="1.7109375" customWidth="1" style="10" min="13315" max="13315"/>
    <col width="14.140625" customWidth="1" style="10" min="13316" max="13316"/>
    <col width="9.140625" customWidth="1" style="10" min="13317" max="13560"/>
    <col width="12.28515625" customWidth="1" style="10" min="13561" max="13561"/>
    <col width="53.5703125" customWidth="1" style="10" min="13562" max="13562"/>
    <col width="11.42578125" customWidth="1" style="10" min="13563" max="13563"/>
    <col width="12.140625" customWidth="1" style="10" min="13564" max="13564"/>
    <col width="21.28515625" customWidth="1" style="10" min="13565" max="13565"/>
    <col width="11.5703125" customWidth="1" style="10" min="13566" max="13566"/>
    <col width="9.140625" customWidth="1" style="10" min="13567" max="13567"/>
    <col width="5.140625" customWidth="1" style="10" min="13568" max="13568"/>
    <col width="12" customWidth="1" style="10" min="13569" max="13569"/>
    <col width="9.140625" customWidth="1" style="10" min="13570" max="13570"/>
    <col width="1.7109375" customWidth="1" style="10" min="13571" max="13571"/>
    <col width="14.140625" customWidth="1" style="10" min="13572" max="13572"/>
    <col width="9.140625" customWidth="1" style="10" min="13573" max="13816"/>
    <col width="12.28515625" customWidth="1" style="10" min="13817" max="13817"/>
    <col width="53.5703125" customWidth="1" style="10" min="13818" max="13818"/>
    <col width="11.42578125" customWidth="1" style="10" min="13819" max="13819"/>
    <col width="12.140625" customWidth="1" style="10" min="13820" max="13820"/>
    <col width="21.28515625" customWidth="1" style="10" min="13821" max="13821"/>
    <col width="11.5703125" customWidth="1" style="10" min="13822" max="13822"/>
    <col width="9.140625" customWidth="1" style="10" min="13823" max="13823"/>
    <col width="5.140625" customWidth="1" style="10" min="13824" max="13824"/>
    <col width="12" customWidth="1" style="10" min="13825" max="13825"/>
    <col width="9.140625" customWidth="1" style="10" min="13826" max="13826"/>
    <col width="1.7109375" customWidth="1" style="10" min="13827" max="13827"/>
    <col width="14.140625" customWidth="1" style="10" min="13828" max="13828"/>
    <col width="9.140625" customWidth="1" style="10" min="13829" max="14072"/>
    <col width="12.28515625" customWidth="1" style="10" min="14073" max="14073"/>
    <col width="53.5703125" customWidth="1" style="10" min="14074" max="14074"/>
    <col width="11.42578125" customWidth="1" style="10" min="14075" max="14075"/>
    <col width="12.140625" customWidth="1" style="10" min="14076" max="14076"/>
    <col width="21.28515625" customWidth="1" style="10" min="14077" max="14077"/>
    <col width="11.5703125" customWidth="1" style="10" min="14078" max="14078"/>
    <col width="9.140625" customWidth="1" style="10" min="14079" max="14079"/>
    <col width="5.140625" customWidth="1" style="10" min="14080" max="14080"/>
    <col width="12" customWidth="1" style="10" min="14081" max="14081"/>
    <col width="9.140625" customWidth="1" style="10" min="14082" max="14082"/>
    <col width="1.7109375" customWidth="1" style="10" min="14083" max="14083"/>
    <col width="14.140625" customWidth="1" style="10" min="14084" max="14084"/>
    <col width="9.140625" customWidth="1" style="10" min="14085" max="14328"/>
    <col width="12.28515625" customWidth="1" style="10" min="14329" max="14329"/>
    <col width="53.5703125" customWidth="1" style="10" min="14330" max="14330"/>
    <col width="11.42578125" customWidth="1" style="10" min="14331" max="14331"/>
    <col width="12.140625" customWidth="1" style="10" min="14332" max="14332"/>
    <col width="21.28515625" customWidth="1" style="10" min="14333" max="14333"/>
    <col width="11.5703125" customWidth="1" style="10" min="14334" max="14334"/>
    <col width="9.140625" customWidth="1" style="10" min="14335" max="14335"/>
    <col width="5.140625" customWidth="1" style="10" min="14336" max="14336"/>
    <col width="12" customWidth="1" style="10" min="14337" max="14337"/>
    <col width="9.140625" customWidth="1" style="10" min="14338" max="14338"/>
    <col width="1.7109375" customWidth="1" style="10" min="14339" max="14339"/>
    <col width="14.140625" customWidth="1" style="10" min="14340" max="14340"/>
    <col width="9.140625" customWidth="1" style="10" min="14341" max="14584"/>
    <col width="12.28515625" customWidth="1" style="10" min="14585" max="14585"/>
    <col width="53.5703125" customWidth="1" style="10" min="14586" max="14586"/>
    <col width="11.42578125" customWidth="1" style="10" min="14587" max="14587"/>
    <col width="12.140625" customWidth="1" style="10" min="14588" max="14588"/>
    <col width="21.28515625" customWidth="1" style="10" min="14589" max="14589"/>
    <col width="11.5703125" customWidth="1" style="10" min="14590" max="14590"/>
    <col width="9.140625" customWidth="1" style="10" min="14591" max="14591"/>
    <col width="5.140625" customWidth="1" style="10" min="14592" max="14592"/>
    <col width="12" customWidth="1" style="10" min="14593" max="14593"/>
    <col width="9.140625" customWidth="1" style="10" min="14594" max="14594"/>
    <col width="1.7109375" customWidth="1" style="10" min="14595" max="14595"/>
    <col width="14.140625" customWidth="1" style="10" min="14596" max="14596"/>
    <col width="9.140625" customWidth="1" style="10" min="14597" max="14840"/>
    <col width="12.28515625" customWidth="1" style="10" min="14841" max="14841"/>
    <col width="53.5703125" customWidth="1" style="10" min="14842" max="14842"/>
    <col width="11.42578125" customWidth="1" style="10" min="14843" max="14843"/>
    <col width="12.140625" customWidth="1" style="10" min="14844" max="14844"/>
    <col width="21.28515625" customWidth="1" style="10" min="14845" max="14845"/>
    <col width="11.5703125" customWidth="1" style="10" min="14846" max="14846"/>
    <col width="9.140625" customWidth="1" style="10" min="14847" max="14847"/>
    <col width="5.140625" customWidth="1" style="10" min="14848" max="14848"/>
    <col width="12" customWidth="1" style="10" min="14849" max="14849"/>
    <col width="9.140625" customWidth="1" style="10" min="14850" max="14850"/>
    <col width="1.7109375" customWidth="1" style="10" min="14851" max="14851"/>
    <col width="14.140625" customWidth="1" style="10" min="14852" max="14852"/>
    <col width="9.140625" customWidth="1" style="10" min="14853" max="15096"/>
    <col width="12.28515625" customWidth="1" style="10" min="15097" max="15097"/>
    <col width="53.5703125" customWidth="1" style="10" min="15098" max="15098"/>
    <col width="11.42578125" customWidth="1" style="10" min="15099" max="15099"/>
    <col width="12.140625" customWidth="1" style="10" min="15100" max="15100"/>
    <col width="21.28515625" customWidth="1" style="10" min="15101" max="15101"/>
    <col width="11.5703125" customWidth="1" style="10" min="15102" max="15102"/>
    <col width="9.140625" customWidth="1" style="10" min="15103" max="15103"/>
    <col width="5.140625" customWidth="1" style="10" min="15104" max="15104"/>
    <col width="12" customWidth="1" style="10" min="15105" max="15105"/>
    <col width="9.140625" customWidth="1" style="10" min="15106" max="15106"/>
    <col width="1.7109375" customWidth="1" style="10" min="15107" max="15107"/>
    <col width="14.140625" customWidth="1" style="10" min="15108" max="15108"/>
    <col width="9.140625" customWidth="1" style="10" min="15109" max="15352"/>
    <col width="12.28515625" customWidth="1" style="10" min="15353" max="15353"/>
    <col width="53.5703125" customWidth="1" style="10" min="15354" max="15354"/>
    <col width="11.42578125" customWidth="1" style="10" min="15355" max="15355"/>
    <col width="12.140625" customWidth="1" style="10" min="15356" max="15356"/>
    <col width="21.28515625" customWidth="1" style="10" min="15357" max="15357"/>
    <col width="11.5703125" customWidth="1" style="10" min="15358" max="15358"/>
    <col width="9.140625" customWidth="1" style="10" min="15359" max="15359"/>
    <col width="5.140625" customWidth="1" style="10" min="15360" max="15360"/>
    <col width="12" customWidth="1" style="10" min="15361" max="15361"/>
    <col width="9.140625" customWidth="1" style="10" min="15362" max="15362"/>
    <col width="1.7109375" customWidth="1" style="10" min="15363" max="15363"/>
    <col width="14.140625" customWidth="1" style="10" min="15364" max="15364"/>
    <col width="9.140625" customWidth="1" style="10" min="15365" max="15608"/>
    <col width="12.28515625" customWidth="1" style="10" min="15609" max="15609"/>
    <col width="53.5703125" customWidth="1" style="10" min="15610" max="15610"/>
    <col width="11.42578125" customWidth="1" style="10" min="15611" max="15611"/>
    <col width="12.140625" customWidth="1" style="10" min="15612" max="15612"/>
    <col width="21.28515625" customWidth="1" style="10" min="15613" max="15613"/>
    <col width="11.5703125" customWidth="1" style="10" min="15614" max="15614"/>
    <col width="9.140625" customWidth="1" style="10" min="15615" max="15615"/>
    <col width="5.140625" customWidth="1" style="10" min="15616" max="15616"/>
    <col width="12" customWidth="1" style="10" min="15617" max="15617"/>
    <col width="9.140625" customWidth="1" style="10" min="15618" max="15618"/>
    <col width="1.7109375" customWidth="1" style="10" min="15619" max="15619"/>
    <col width="14.140625" customWidth="1" style="10" min="15620" max="15620"/>
    <col width="9.140625" customWidth="1" style="10" min="15621" max="15864"/>
    <col width="12.28515625" customWidth="1" style="10" min="15865" max="15865"/>
    <col width="53.5703125" customWidth="1" style="10" min="15866" max="15866"/>
    <col width="11.42578125" customWidth="1" style="10" min="15867" max="15867"/>
    <col width="12.140625" customWidth="1" style="10" min="15868" max="15868"/>
    <col width="21.28515625" customWidth="1" style="10" min="15869" max="15869"/>
    <col width="11.5703125" customWidth="1" style="10" min="15870" max="15870"/>
    <col width="9.140625" customWidth="1" style="10" min="15871" max="15871"/>
    <col width="5.140625" customWidth="1" style="10" min="15872" max="15872"/>
    <col width="12" customWidth="1" style="10" min="15873" max="15873"/>
    <col width="9.140625" customWidth="1" style="10" min="15874" max="15874"/>
    <col width="1.7109375" customWidth="1" style="10" min="15875" max="15875"/>
    <col width="14.140625" customWidth="1" style="10" min="15876" max="15876"/>
    <col width="9.140625" customWidth="1" style="10" min="15877" max="16120"/>
    <col width="12.28515625" customWidth="1" style="10" min="16121" max="16121"/>
    <col width="53.5703125" customWidth="1" style="10" min="16122" max="16122"/>
    <col width="11.42578125" customWidth="1" style="10" min="16123" max="16123"/>
    <col width="12.140625" customWidth="1" style="10" min="16124" max="16124"/>
    <col width="21.28515625" customWidth="1" style="10" min="16125" max="16125"/>
    <col width="11.5703125" customWidth="1" style="10" min="16126" max="16126"/>
    <col width="9.140625" customWidth="1" style="10" min="16127" max="16127"/>
    <col width="5.140625" customWidth="1" style="10" min="16128" max="16128"/>
    <col width="12" customWidth="1" style="10" min="16129" max="16129"/>
    <col width="9.140625" customWidth="1" style="10" min="16130" max="16130"/>
    <col width="1.7109375" customWidth="1" style="10" min="16131" max="16131"/>
    <col width="14.140625" customWidth="1" style="10" min="16132" max="16132"/>
    <col width="9.140625" customWidth="1" style="10" min="16133" max="16384"/>
  </cols>
  <sheetData>
    <row r="1" ht="23.25" customHeight="1">
      <c r="A1" s="301" t="inlineStr">
        <is>
          <t>QC (CVS, CVS Precision, LCS, RTS, BLANK, Audit) Review</t>
        </is>
      </c>
    </row>
    <row r="2" ht="15" customHeight="1"/>
    <row r="3">
      <c r="A3" s="5" t="inlineStr">
        <is>
          <t>Site</t>
        </is>
      </c>
      <c r="B3" s="302">
        <f>'Validator Notes'!B4</f>
        <v/>
      </c>
      <c r="D3" s="5" t="inlineStr">
        <is>
          <t>Validator</t>
        </is>
      </c>
      <c r="E3" s="168">
        <f>'Validator Notes'!B6</f>
        <v/>
      </c>
    </row>
    <row r="4">
      <c r="A4" s="5" t="inlineStr">
        <is>
          <t>Month/Year</t>
        </is>
      </c>
      <c r="B4" s="302">
        <f>'Validator Notes'!B5</f>
        <v/>
      </c>
    </row>
    <row r="5" ht="15" customHeight="1" thickBot="1"/>
    <row r="6" ht="13.5" customHeight="1" thickBot="1">
      <c r="A6" s="140" t="inlineStr">
        <is>
          <t>QC Type</t>
        </is>
      </c>
      <c r="B6" s="306" t="inlineStr">
        <is>
          <t>Date/Time</t>
        </is>
      </c>
      <c r="C6" s="355" t="n"/>
      <c r="D6" s="141" t="inlineStr">
        <is>
          <t>Filename</t>
        </is>
      </c>
      <c r="E6" s="164" t="inlineStr">
        <is>
          <t>Plot Column Notes</t>
        </is>
      </c>
      <c r="F6" s="164" t="inlineStr">
        <is>
          <t>BP  Notes</t>
        </is>
      </c>
      <c r="G6" s="165" t="inlineStr">
        <is>
          <t>Actions</t>
        </is>
      </c>
    </row>
    <row r="7">
      <c r="A7" s="356" t="inlineStr">
        <is>
          <t>RTS</t>
        </is>
      </c>
      <c r="B7" s="110" t="n"/>
      <c r="C7" s="111" t="n"/>
      <c r="D7" s="119" t="n"/>
      <c r="E7" s="155" t="n"/>
      <c r="F7" s="161" t="n"/>
      <c r="G7" s="166" t="n"/>
    </row>
    <row r="8">
      <c r="A8" s="196" t="n"/>
      <c r="B8" s="112" t="n"/>
      <c r="C8" s="113" t="n"/>
      <c r="D8" s="149" t="n"/>
      <c r="E8" s="158" t="n"/>
      <c r="F8" s="161" t="n"/>
      <c r="G8" s="166" t="n"/>
    </row>
    <row r="9">
      <c r="A9" s="196" t="n"/>
      <c r="B9" s="112" t="n"/>
      <c r="C9" s="113" t="n"/>
      <c r="D9" s="150" t="n"/>
      <c r="E9" s="158" t="n"/>
      <c r="F9" s="161" t="n"/>
      <c r="G9" s="166" t="n"/>
    </row>
    <row r="10">
      <c r="A10" s="196" t="n"/>
      <c r="B10" s="112" t="n"/>
      <c r="C10" s="113" t="n"/>
      <c r="D10" s="117" t="n"/>
      <c r="E10" s="158" t="n"/>
      <c r="F10" s="161" t="n"/>
      <c r="G10" s="139" t="n"/>
    </row>
    <row r="11">
      <c r="A11" s="196" t="n"/>
      <c r="B11" s="112" t="n"/>
      <c r="C11" s="113" t="n"/>
      <c r="D11" s="120" t="n"/>
      <c r="E11" s="153" t="n"/>
      <c r="F11" s="161" t="n"/>
      <c r="G11" s="139" t="n"/>
    </row>
    <row r="12">
      <c r="A12" s="196" t="n"/>
      <c r="B12" s="112" t="n"/>
      <c r="C12" s="113" t="n"/>
      <c r="D12" s="120" t="n"/>
      <c r="E12" s="153" t="n"/>
      <c r="F12" s="161" t="n"/>
      <c r="G12" s="139" t="n"/>
    </row>
    <row r="13">
      <c r="A13" s="196" t="n"/>
      <c r="B13" s="112" t="n"/>
      <c r="C13" s="113" t="n"/>
      <c r="D13" s="120" t="n"/>
      <c r="E13" s="156" t="n"/>
      <c r="F13" s="162" t="n"/>
      <c r="G13" s="57" t="n"/>
    </row>
    <row r="14" ht="15.75" customHeight="1" thickBot="1">
      <c r="A14" s="194" t="n"/>
      <c r="B14" s="94" t="n"/>
      <c r="C14" s="65" t="n"/>
      <c r="D14" s="121" t="n"/>
      <c r="E14" s="157" t="n"/>
      <c r="F14" s="163" t="n"/>
      <c r="G14" s="95" t="n"/>
    </row>
    <row r="15">
      <c r="A15" s="357" t="inlineStr">
        <is>
          <t>LCS</t>
        </is>
      </c>
      <c r="B15" s="60" t="n"/>
      <c r="C15" s="63" t="n"/>
      <c r="D15" s="119" t="n"/>
      <c r="E15" s="158" t="n"/>
      <c r="F15" s="154" t="n"/>
      <c r="G15" s="166" t="n"/>
    </row>
    <row r="16">
      <c r="A16" s="209" t="n"/>
      <c r="B16" s="96" t="n"/>
      <c r="C16" s="64" t="n"/>
      <c r="D16" s="122" t="n"/>
      <c r="E16" s="158" t="n"/>
      <c r="F16" s="154" t="n"/>
      <c r="G16" s="59" t="n"/>
    </row>
    <row r="17">
      <c r="A17" s="209" t="n"/>
      <c r="B17" s="96" t="n"/>
      <c r="C17" s="64" t="n"/>
      <c r="D17" s="122" t="n"/>
      <c r="E17" s="158" t="n"/>
      <c r="F17" s="154" t="n"/>
      <c r="G17" s="59" t="n"/>
    </row>
    <row r="18">
      <c r="A18" s="209" t="n"/>
      <c r="B18" s="96" t="n"/>
      <c r="C18" s="64" t="n"/>
      <c r="D18" s="117" t="n"/>
      <c r="E18" s="153" t="n"/>
      <c r="F18" s="154" t="n"/>
      <c r="G18" s="59" t="n"/>
    </row>
    <row r="19">
      <c r="A19" s="209" t="n"/>
      <c r="B19" s="96" t="n"/>
      <c r="C19" s="64" t="n"/>
      <c r="D19" s="117" t="n"/>
      <c r="E19" s="153" t="n"/>
      <c r="F19" s="154" t="n"/>
      <c r="G19" s="59" t="n"/>
    </row>
    <row r="20">
      <c r="A20" s="209" t="n"/>
      <c r="B20" s="61" t="n"/>
      <c r="C20" s="93" t="n"/>
      <c r="D20" s="122" t="n"/>
      <c r="E20" s="158" t="n"/>
      <c r="F20" s="154" t="n"/>
      <c r="G20" s="59" t="n"/>
    </row>
    <row r="21" ht="15.75" customHeight="1" thickBot="1">
      <c r="A21" s="205" t="n"/>
      <c r="B21" s="123" t="n"/>
      <c r="C21" s="65" t="n"/>
      <c r="D21" s="58" t="n"/>
      <c r="E21" s="159" t="n"/>
      <c r="F21" s="163" t="n"/>
      <c r="G21" s="58" t="n"/>
    </row>
    <row r="22">
      <c r="A22" s="303" t="inlineStr">
        <is>
          <t>CVS</t>
        </is>
      </c>
      <c r="B22" s="61" t="n"/>
      <c r="C22" s="63" t="n"/>
      <c r="D22" s="119" t="n"/>
      <c r="E22" s="155" t="n"/>
      <c r="F22" s="154" t="n"/>
      <c r="G22" s="167" t="n"/>
    </row>
    <row r="23">
      <c r="A23" s="196" t="n"/>
      <c r="B23" s="61" t="n"/>
      <c r="C23" s="93" t="n"/>
      <c r="D23" s="117" t="n"/>
      <c r="E23" s="155" t="n"/>
      <c r="F23" s="154" t="n"/>
      <c r="G23" s="166" t="n"/>
    </row>
    <row r="24">
      <c r="A24" s="196" t="n"/>
      <c r="B24" s="61" t="n"/>
      <c r="C24" s="93" t="n"/>
      <c r="D24" s="59" t="n"/>
      <c r="E24" s="155" t="n"/>
      <c r="F24" s="154" t="n"/>
      <c r="G24" s="166" t="n"/>
    </row>
    <row r="25">
      <c r="A25" s="196" t="n"/>
      <c r="B25" s="61" t="n"/>
      <c r="C25" s="93" t="n"/>
      <c r="D25" s="59" t="n"/>
      <c r="E25" s="155" t="n"/>
      <c r="F25" s="154" t="n"/>
      <c r="G25" s="166" t="n"/>
    </row>
    <row r="26">
      <c r="A26" s="196" t="n"/>
      <c r="B26" s="61" t="n"/>
      <c r="C26" s="93" t="n"/>
      <c r="D26" s="117" t="n"/>
      <c r="E26" s="155" t="n"/>
      <c r="F26" s="154" t="n"/>
      <c r="G26" s="166" t="n"/>
    </row>
    <row r="27">
      <c r="A27" s="196" t="n"/>
      <c r="B27" s="61" t="n"/>
      <c r="C27" s="93" t="n"/>
      <c r="D27" s="117" t="n"/>
      <c r="E27" s="155" t="n"/>
      <c r="F27" s="154" t="n"/>
      <c r="G27" s="166" t="n"/>
    </row>
    <row r="28">
      <c r="A28" s="196" t="n"/>
      <c r="B28" s="61" t="n"/>
      <c r="C28" s="93" t="n"/>
      <c r="D28" s="117" t="n"/>
      <c r="E28" s="155" t="n"/>
      <c r="F28" s="154" t="n"/>
      <c r="G28" s="166" t="n"/>
    </row>
    <row r="29">
      <c r="A29" s="196" t="n"/>
      <c r="B29" s="61" t="n"/>
      <c r="C29" s="93" t="n"/>
      <c r="D29" s="117" t="n"/>
      <c r="E29" s="155" t="n"/>
      <c r="F29" s="154" t="n"/>
      <c r="G29" s="166" t="n"/>
    </row>
    <row r="30">
      <c r="A30" s="196" t="n"/>
      <c r="B30" s="61" t="n"/>
      <c r="C30" s="93" t="n"/>
      <c r="D30" s="117" t="n"/>
      <c r="E30" s="155" t="n"/>
      <c r="F30" s="154" t="n"/>
      <c r="G30" s="166" t="n"/>
    </row>
    <row r="31">
      <c r="A31" s="196" t="n"/>
      <c r="B31" s="61" t="n"/>
      <c r="C31" s="93" t="n"/>
      <c r="D31" s="117" t="n"/>
      <c r="E31" s="155" t="n"/>
      <c r="F31" s="154" t="n"/>
      <c r="G31" s="166" t="n"/>
    </row>
    <row r="32">
      <c r="A32" s="196" t="n"/>
      <c r="B32" s="61" t="n"/>
      <c r="C32" s="93" t="n"/>
      <c r="D32" s="117" t="n"/>
      <c r="E32" s="155" t="n"/>
      <c r="F32" s="154" t="n"/>
      <c r="G32" s="166" t="n"/>
    </row>
    <row r="33">
      <c r="A33" s="196" t="n"/>
      <c r="B33" s="61" t="n"/>
      <c r="C33" s="93" t="n"/>
      <c r="D33" s="117" t="n"/>
      <c r="E33" s="155" t="n"/>
      <c r="F33" s="154" t="n"/>
      <c r="G33" s="166" t="n"/>
    </row>
    <row r="34">
      <c r="A34" s="196" t="n"/>
      <c r="B34" s="61" t="n"/>
      <c r="C34" s="93" t="n"/>
      <c r="D34" s="117" t="n"/>
      <c r="E34" s="155" t="n"/>
      <c r="F34" s="154" t="n"/>
      <c r="G34" s="166" t="n"/>
    </row>
    <row r="35">
      <c r="A35" s="196" t="n"/>
      <c r="B35" s="61" t="n"/>
      <c r="C35" s="93" t="n"/>
      <c r="D35" s="117" t="n"/>
      <c r="E35" s="155" t="n"/>
      <c r="F35" s="154" t="n"/>
      <c r="G35" s="166" t="n"/>
    </row>
    <row r="36">
      <c r="A36" s="196" t="n"/>
      <c r="B36" s="61" t="n"/>
      <c r="C36" s="93" t="n"/>
      <c r="D36" s="117" t="n"/>
      <c r="E36" s="155" t="n"/>
      <c r="F36" s="154" t="n"/>
      <c r="G36" s="166" t="n"/>
    </row>
    <row r="37">
      <c r="A37" s="196" t="n"/>
      <c r="B37" s="61" t="n"/>
      <c r="C37" s="93" t="n"/>
      <c r="D37" s="117" t="n"/>
      <c r="E37" s="155" t="n"/>
      <c r="F37" s="154" t="n"/>
      <c r="G37" s="57" t="n"/>
    </row>
    <row r="38">
      <c r="A38" s="196" t="n"/>
      <c r="B38" s="61" t="n"/>
      <c r="C38" s="93" t="n"/>
      <c r="D38" s="117" t="n"/>
      <c r="E38" s="155" t="n"/>
      <c r="F38" s="154" t="n"/>
      <c r="G38" s="57" t="n"/>
    </row>
    <row r="39">
      <c r="A39" s="196" t="n"/>
      <c r="B39" s="61" t="n"/>
      <c r="C39" s="93" t="n"/>
      <c r="D39" s="117" t="n"/>
      <c r="E39" s="155" t="n"/>
      <c r="F39" s="154" t="n"/>
      <c r="G39" s="57" t="n"/>
    </row>
    <row r="40">
      <c r="A40" s="196" t="n"/>
      <c r="B40" s="61" t="n"/>
      <c r="C40" s="93" t="n"/>
      <c r="D40" s="117" t="n"/>
      <c r="E40" s="155" t="n"/>
      <c r="F40" s="154" t="n"/>
      <c r="G40" s="57" t="n"/>
    </row>
    <row r="41">
      <c r="A41" s="196" t="n"/>
      <c r="B41" s="61" t="n"/>
      <c r="C41" s="93" t="n"/>
      <c r="D41" s="117" t="n"/>
      <c r="E41" s="155" t="n"/>
      <c r="F41" s="154" t="n"/>
      <c r="G41" s="57" t="n"/>
    </row>
    <row r="42">
      <c r="A42" s="196" t="n"/>
      <c r="B42" s="61" t="n"/>
      <c r="C42" s="93" t="n"/>
      <c r="D42" s="117" t="n"/>
      <c r="E42" s="155" t="n"/>
      <c r="F42" s="154" t="n"/>
      <c r="G42" s="166" t="n"/>
    </row>
    <row r="43">
      <c r="A43" s="196" t="n"/>
      <c r="B43" s="61" t="n"/>
      <c r="C43" s="93" t="n"/>
      <c r="D43" s="117" t="n"/>
      <c r="E43" s="155" t="n"/>
      <c r="F43" s="154" t="n"/>
      <c r="G43" s="166" t="n"/>
    </row>
    <row r="44">
      <c r="A44" s="196" t="n"/>
      <c r="B44" s="61" t="n"/>
      <c r="C44" s="93" t="n"/>
      <c r="D44" s="117" t="n"/>
      <c r="E44" s="155" t="n"/>
      <c r="F44" s="154" t="n"/>
      <c r="G44" s="166" t="n"/>
    </row>
    <row r="45">
      <c r="A45" s="196" t="n"/>
      <c r="B45" s="61" t="n"/>
      <c r="C45" s="93" t="n"/>
      <c r="D45" s="117" t="n"/>
      <c r="E45" s="155" t="n"/>
      <c r="F45" s="154" t="n"/>
      <c r="G45" s="166" t="n"/>
    </row>
    <row r="46">
      <c r="A46" s="196" t="n"/>
      <c r="B46" s="61" t="n"/>
      <c r="C46" s="93" t="n"/>
      <c r="D46" s="117" t="n"/>
      <c r="E46" s="155" t="n"/>
      <c r="F46" s="154" t="n"/>
      <c r="G46" s="166" t="n"/>
    </row>
    <row r="47">
      <c r="A47" s="196" t="n"/>
      <c r="B47" s="61" t="n"/>
      <c r="C47" s="93" t="n"/>
      <c r="D47" s="117" t="n"/>
      <c r="E47" s="155" t="n"/>
      <c r="F47" s="154" t="n"/>
      <c r="G47" s="166" t="n"/>
    </row>
    <row r="48">
      <c r="A48" s="196" t="n"/>
      <c r="B48" s="61" t="n"/>
      <c r="C48" s="93" t="n"/>
      <c r="D48" s="117" t="n"/>
      <c r="E48" s="155" t="n"/>
      <c r="F48" s="154" t="n"/>
      <c r="G48" s="57" t="n"/>
    </row>
    <row r="49">
      <c r="A49" s="196" t="n"/>
      <c r="B49" s="61" t="n"/>
      <c r="C49" s="93" t="n"/>
      <c r="D49" s="117" t="n"/>
      <c r="E49" s="155" t="n"/>
      <c r="F49" s="154" t="n"/>
      <c r="G49" s="57" t="n"/>
    </row>
    <row r="50">
      <c r="A50" s="196" t="n"/>
      <c r="B50" s="61" t="n"/>
      <c r="C50" s="93" t="n"/>
      <c r="D50" s="117" t="n"/>
      <c r="E50" s="155" t="n"/>
      <c r="F50" s="154" t="n"/>
      <c r="G50" s="57" t="n"/>
    </row>
    <row r="51">
      <c r="A51" s="196" t="n"/>
      <c r="B51" s="61" t="n"/>
      <c r="C51" s="93" t="n"/>
      <c r="D51" s="117" t="n"/>
      <c r="E51" s="155" t="n"/>
      <c r="F51" s="154" t="n"/>
      <c r="G51" s="57" t="n"/>
    </row>
    <row r="52">
      <c r="A52" s="196" t="n"/>
      <c r="B52" s="61" t="n"/>
      <c r="C52" s="93" t="n"/>
      <c r="D52" s="117" t="n"/>
      <c r="E52" s="155" t="n"/>
      <c r="F52" s="155" t="n"/>
      <c r="G52" s="166" t="n"/>
    </row>
    <row r="53">
      <c r="A53" s="196" t="n"/>
      <c r="B53" s="61" t="n"/>
      <c r="C53" s="93" t="n"/>
      <c r="D53" s="117" t="n"/>
      <c r="E53" s="155" t="n"/>
      <c r="F53" s="155" t="n"/>
      <c r="G53" s="166" t="n"/>
    </row>
    <row r="54">
      <c r="A54" s="196" t="n"/>
      <c r="B54" s="61" t="n"/>
      <c r="C54" s="93" t="n"/>
      <c r="D54" s="122" t="n"/>
      <c r="E54" s="155" t="n"/>
      <c r="F54" s="154" t="n"/>
      <c r="G54" s="57" t="n"/>
    </row>
    <row r="55">
      <c r="A55" s="196" t="n"/>
      <c r="B55" s="61" t="n"/>
      <c r="C55" s="93" t="n"/>
      <c r="D55" s="117" t="n"/>
      <c r="E55" s="155" t="n"/>
      <c r="F55" s="154" t="n"/>
      <c r="G55" s="57" t="n"/>
    </row>
    <row r="56">
      <c r="A56" s="196" t="n"/>
      <c r="B56" s="61" t="n"/>
      <c r="C56" s="93" t="n"/>
      <c r="D56" s="122" t="n"/>
      <c r="E56" s="155" t="n"/>
      <c r="F56" s="154" t="n"/>
      <c r="G56" s="57" t="n"/>
    </row>
    <row r="57">
      <c r="A57" s="196" t="n"/>
      <c r="B57" s="61" t="n"/>
      <c r="C57" s="93" t="n"/>
      <c r="D57" s="122" t="n"/>
      <c r="E57" s="155" t="n"/>
      <c r="F57" s="154" t="n"/>
      <c r="G57" s="57" t="n"/>
    </row>
    <row r="58">
      <c r="A58" s="196" t="n"/>
      <c r="B58" s="61" t="n"/>
      <c r="C58" s="93" t="n"/>
      <c r="D58" s="122" t="n"/>
      <c r="E58" s="155" t="n"/>
      <c r="F58" s="154" t="n"/>
      <c r="G58" s="57" t="n"/>
    </row>
    <row r="59">
      <c r="A59" s="196" t="n"/>
      <c r="B59" s="61" t="n"/>
      <c r="C59" s="93" t="n"/>
      <c r="D59" s="122" t="n"/>
      <c r="E59" s="155" t="n"/>
      <c r="F59" s="154" t="n"/>
      <c r="G59" s="57" t="n"/>
    </row>
    <row r="60">
      <c r="A60" s="196" t="n"/>
      <c r="B60" s="61" t="n"/>
      <c r="C60" s="93" t="n"/>
      <c r="D60" s="117" t="n"/>
      <c r="E60" s="155" t="n"/>
      <c r="F60" s="154" t="n"/>
      <c r="G60" s="57" t="n"/>
    </row>
    <row r="61" ht="13.5" customHeight="1" thickBot="1">
      <c r="A61" s="196" t="n"/>
      <c r="B61" s="118" t="n"/>
      <c r="C61" s="65" t="n"/>
      <c r="D61" s="58" t="n"/>
      <c r="E61" s="160" t="n"/>
      <c r="F61" s="163" t="n"/>
      <c r="G61" s="58" t="n"/>
    </row>
    <row r="62">
      <c r="A62" s="356" t="inlineStr">
        <is>
          <t>CVS Precision</t>
        </is>
      </c>
      <c r="B62" s="61" t="n"/>
      <c r="C62" s="93" t="n"/>
      <c r="D62" s="56" t="n"/>
      <c r="E62" s="155" t="n"/>
      <c r="F62" s="154" t="n"/>
      <c r="G62" s="166" t="n"/>
    </row>
    <row r="63">
      <c r="A63" s="196" t="n"/>
      <c r="B63" s="61" t="n"/>
      <c r="C63" s="93" t="n"/>
      <c r="D63" s="59" t="n"/>
      <c r="E63" s="155" t="n"/>
      <c r="F63" s="154" t="n"/>
      <c r="G63" s="166" t="n"/>
    </row>
    <row r="64">
      <c r="A64" s="196" t="n"/>
      <c r="B64" s="61" t="n"/>
      <c r="C64" s="93" t="n"/>
      <c r="D64" s="59" t="n"/>
      <c r="E64" s="155" t="n"/>
      <c r="F64" s="154" t="n"/>
      <c r="G64" s="166" t="n"/>
    </row>
    <row r="65">
      <c r="A65" s="196" t="n"/>
      <c r="B65" s="61" t="n"/>
      <c r="C65" s="93" t="n"/>
      <c r="D65" s="59" t="n"/>
      <c r="E65" s="155" t="n"/>
      <c r="F65" s="154" t="n"/>
      <c r="G65" s="166" t="n"/>
    </row>
    <row r="66">
      <c r="A66" s="196" t="n"/>
      <c r="B66" s="61" t="n"/>
      <c r="C66" s="93" t="n"/>
      <c r="D66" s="117" t="n"/>
      <c r="E66" s="155" t="n"/>
      <c r="F66" s="154" t="n"/>
      <c r="G66" s="57" t="n"/>
    </row>
    <row r="67">
      <c r="A67" s="196" t="n"/>
      <c r="B67" s="61" t="n"/>
      <c r="C67" s="93" t="n"/>
      <c r="D67" s="117" t="n"/>
      <c r="E67" s="155" t="n"/>
      <c r="F67" s="154" t="n"/>
      <c r="G67" s="57" t="n"/>
    </row>
    <row r="68">
      <c r="A68" s="196" t="n"/>
      <c r="B68" s="61" t="n"/>
      <c r="C68" s="93" t="n"/>
      <c r="D68" s="117" t="n"/>
      <c r="E68" s="155" t="n"/>
      <c r="F68" s="154" t="n"/>
      <c r="G68" s="57" t="n"/>
    </row>
    <row r="69">
      <c r="A69" s="196" t="n"/>
      <c r="B69" s="61" t="n"/>
      <c r="C69" s="93" t="n"/>
      <c r="D69" s="122" t="n"/>
      <c r="E69" s="155" t="n"/>
      <c r="F69" s="154" t="n"/>
      <c r="G69" s="57" t="n"/>
    </row>
    <row r="70">
      <c r="A70" s="196" t="n"/>
      <c r="B70" s="61" t="n"/>
      <c r="C70" s="93" t="n"/>
      <c r="D70" s="57" t="n"/>
      <c r="E70" s="155" t="n"/>
      <c r="F70" s="154" t="n"/>
      <c r="G70" s="57" t="n"/>
    </row>
    <row r="71" ht="13.5" customHeight="1" thickBot="1">
      <c r="A71" s="194" t="n"/>
      <c r="B71" s="118" t="n"/>
      <c r="C71" s="65" t="n"/>
      <c r="D71" s="58" t="n"/>
      <c r="E71" s="160" t="n"/>
      <c r="F71" s="163" t="n"/>
      <c r="G71" s="58" t="n"/>
    </row>
    <row r="72" ht="19.5" customHeight="1" thickBot="1">
      <c r="A72" s="304" t="inlineStr">
        <is>
          <t>Audit</t>
        </is>
      </c>
      <c r="B72" s="144" t="n"/>
      <c r="C72" s="145" t="n"/>
      <c r="D72" s="58" t="n"/>
      <c r="E72" s="160" t="n"/>
      <c r="F72" s="163" t="n"/>
      <c r="G72" s="92" t="n"/>
    </row>
    <row r="73">
      <c r="A73" s="308" t="inlineStr">
        <is>
          <t>Blank</t>
        </is>
      </c>
      <c r="B73" s="146" t="n"/>
      <c r="C73" s="63" t="n"/>
      <c r="D73" s="59" t="n"/>
      <c r="E73" s="155" t="n"/>
      <c r="F73" s="154" t="n"/>
      <c r="G73" s="167" t="n"/>
    </row>
    <row r="74">
      <c r="A74" s="209" t="n"/>
      <c r="B74" s="151" t="n"/>
      <c r="C74" s="64" t="n"/>
      <c r="D74" s="152" t="n"/>
      <c r="E74" s="153" t="n"/>
      <c r="F74" s="154" t="n"/>
      <c r="G74" s="166" t="n"/>
    </row>
    <row r="75">
      <c r="A75" s="209" t="n"/>
      <c r="B75" s="151" t="n"/>
      <c r="C75" s="64" t="n"/>
      <c r="D75" s="152" t="n"/>
      <c r="E75" s="153" t="n"/>
      <c r="F75" s="154" t="n"/>
      <c r="G75" s="166" t="n"/>
    </row>
    <row r="76">
      <c r="A76" s="209" t="n"/>
      <c r="B76" s="151" t="n"/>
      <c r="C76" s="64" t="n"/>
      <c r="D76" s="152" t="n"/>
      <c r="E76" s="153" t="n"/>
      <c r="F76" s="154" t="n"/>
      <c r="G76" s="166" t="n"/>
    </row>
    <row r="77">
      <c r="A77" s="209" t="n"/>
      <c r="B77" s="151" t="n"/>
      <c r="C77" s="64" t="n"/>
      <c r="D77" s="152" t="n"/>
      <c r="E77" s="153" t="n"/>
      <c r="F77" s="154" t="n"/>
      <c r="G77" s="166" t="n"/>
    </row>
    <row r="78">
      <c r="A78" s="209" t="n"/>
      <c r="B78" s="151" t="n"/>
      <c r="C78" s="64" t="n"/>
      <c r="D78" s="149" t="n"/>
      <c r="E78" s="153" t="n"/>
      <c r="F78" s="154" t="n"/>
      <c r="G78" s="166" t="n"/>
    </row>
    <row r="79">
      <c r="A79" s="209" t="n"/>
      <c r="B79" s="147" t="n"/>
      <c r="C79" s="93" t="n"/>
      <c r="D79" s="149" t="n"/>
      <c r="E79" s="153" t="n"/>
      <c r="F79" s="154" t="n"/>
      <c r="G79" s="166" t="n"/>
    </row>
    <row r="80">
      <c r="A80" s="209" t="n"/>
      <c r="B80" s="147" t="n"/>
      <c r="C80" s="93" t="n"/>
      <c r="D80" s="149" t="n"/>
      <c r="E80" s="153" t="n"/>
      <c r="F80" s="154" t="n"/>
      <c r="G80" s="166" t="n"/>
    </row>
    <row r="81">
      <c r="A81" s="209" t="n"/>
      <c r="B81" s="147" t="n"/>
      <c r="C81" s="93" t="n"/>
      <c r="D81" s="149" t="n"/>
      <c r="E81" s="153" t="n"/>
      <c r="F81" s="154" t="n"/>
      <c r="G81" s="166" t="n"/>
    </row>
    <row r="82">
      <c r="A82" s="209" t="n"/>
      <c r="B82" s="147" t="n"/>
      <c r="C82" s="93" t="n"/>
      <c r="D82" s="149" t="n"/>
      <c r="E82" s="153" t="n"/>
      <c r="F82" s="154" t="n"/>
      <c r="G82" s="166" t="n"/>
    </row>
    <row r="83">
      <c r="A83" s="209" t="n"/>
      <c r="B83" s="147" t="n"/>
      <c r="C83" s="93" t="n"/>
      <c r="D83" s="149" t="n"/>
      <c r="E83" s="153" t="n"/>
      <c r="F83" s="154" t="n"/>
      <c r="G83" s="166" t="n"/>
    </row>
    <row r="84">
      <c r="A84" s="209" t="n"/>
      <c r="B84" s="147" t="n"/>
      <c r="C84" s="93" t="n"/>
      <c r="D84" s="149" t="n"/>
      <c r="E84" s="153" t="n"/>
      <c r="F84" s="154" t="n"/>
      <c r="G84" s="166" t="n"/>
    </row>
    <row r="85">
      <c r="A85" s="209" t="n"/>
      <c r="B85" s="147" t="n"/>
      <c r="C85" s="93" t="n"/>
      <c r="D85" s="150" t="n"/>
      <c r="E85" s="153" t="n"/>
      <c r="F85" s="154" t="n"/>
      <c r="G85" s="166" t="n"/>
    </row>
    <row r="86">
      <c r="A86" s="209" t="n"/>
      <c r="B86" s="147" t="n"/>
      <c r="C86" s="93" t="n"/>
      <c r="D86" s="149" t="n"/>
      <c r="E86" s="153" t="n"/>
      <c r="F86" s="154" t="n"/>
      <c r="G86" s="166" t="n"/>
    </row>
    <row r="87">
      <c r="A87" s="209" t="n"/>
      <c r="B87" s="147" t="n"/>
      <c r="C87" s="93" t="n"/>
      <c r="D87" s="149" t="n"/>
      <c r="E87" s="153" t="n"/>
      <c r="F87" s="154" t="n"/>
      <c r="G87" s="166" t="n"/>
    </row>
    <row r="88">
      <c r="A88" s="209" t="n"/>
      <c r="B88" s="147" t="n"/>
      <c r="C88" s="93" t="n"/>
      <c r="D88" s="149" t="n"/>
      <c r="E88" s="153" t="n"/>
      <c r="F88" s="154" t="n"/>
      <c r="G88" s="166" t="n"/>
    </row>
    <row r="89">
      <c r="A89" s="209" t="n"/>
      <c r="B89" s="147" t="n"/>
      <c r="C89" s="93" t="n"/>
      <c r="D89" s="149" t="n"/>
      <c r="E89" s="153" t="n"/>
      <c r="F89" s="154" t="n"/>
      <c r="G89" s="166" t="n"/>
    </row>
    <row r="90">
      <c r="A90" s="209" t="n"/>
      <c r="B90" s="147" t="n"/>
      <c r="C90" s="93" t="n"/>
      <c r="D90" s="149" t="n"/>
      <c r="E90" s="153" t="n"/>
      <c r="F90" s="154" t="n"/>
      <c r="G90" s="166" t="n"/>
    </row>
    <row r="91">
      <c r="A91" s="209" t="n"/>
      <c r="B91" s="147" t="n"/>
      <c r="C91" s="93" t="n"/>
      <c r="D91" s="149" t="n"/>
      <c r="E91" s="153" t="n"/>
      <c r="F91" s="154" t="n"/>
      <c r="G91" s="166" t="n"/>
    </row>
    <row r="92">
      <c r="A92" s="209" t="n"/>
      <c r="B92" s="147" t="n"/>
      <c r="C92" s="93" t="n"/>
      <c r="D92" s="149" t="n"/>
      <c r="E92" s="153" t="n"/>
      <c r="F92" s="154" t="n"/>
      <c r="G92" s="166" t="n"/>
    </row>
    <row r="93">
      <c r="A93" s="209" t="n"/>
      <c r="B93" s="147" t="n"/>
      <c r="C93" s="93" t="n"/>
      <c r="D93" s="149" t="n"/>
      <c r="E93" s="153" t="n"/>
      <c r="F93" s="154" t="n"/>
      <c r="G93" s="166" t="n"/>
    </row>
    <row r="94">
      <c r="A94" s="209" t="n"/>
      <c r="B94" s="147" t="n"/>
      <c r="C94" s="93" t="n"/>
      <c r="D94" s="149" t="n"/>
      <c r="E94" s="153" t="n"/>
      <c r="F94" s="154" t="n"/>
      <c r="G94" s="166" t="n"/>
    </row>
    <row r="95">
      <c r="A95" s="209" t="n"/>
      <c r="B95" s="147" t="n"/>
      <c r="C95" s="93" t="n"/>
      <c r="D95" s="149" t="n"/>
      <c r="E95" s="153" t="n"/>
      <c r="F95" s="154" t="n"/>
      <c r="G95" s="166" t="n"/>
    </row>
    <row r="96">
      <c r="A96" s="209" t="n"/>
      <c r="B96" s="147" t="n"/>
      <c r="C96" s="93" t="n"/>
      <c r="D96" s="149" t="n"/>
      <c r="E96" s="153" t="n"/>
      <c r="F96" s="154" t="n"/>
      <c r="G96" s="166" t="n"/>
    </row>
    <row r="97">
      <c r="A97" s="209" t="n"/>
      <c r="B97" s="147" t="n"/>
      <c r="C97" s="93" t="n"/>
      <c r="D97" s="149" t="n"/>
      <c r="E97" s="153" t="n"/>
      <c r="F97" s="154" t="n"/>
      <c r="G97" s="166" t="n"/>
    </row>
    <row r="98">
      <c r="A98" s="209" t="n"/>
      <c r="B98" s="147" t="n"/>
      <c r="C98" s="93" t="n"/>
      <c r="D98" s="149" t="n"/>
      <c r="E98" s="153" t="n"/>
      <c r="F98" s="154" t="n"/>
      <c r="G98" s="166" t="n"/>
    </row>
    <row r="99">
      <c r="A99" s="209" t="n"/>
      <c r="B99" s="147" t="n"/>
      <c r="C99" s="93" t="n"/>
      <c r="D99" s="149" t="n"/>
      <c r="E99" s="153" t="n"/>
      <c r="F99" s="154" t="n"/>
      <c r="G99" s="166" t="n"/>
    </row>
    <row r="100">
      <c r="A100" s="209" t="n"/>
      <c r="B100" s="147" t="n"/>
      <c r="C100" s="93" t="n"/>
      <c r="D100" s="149" t="n"/>
      <c r="E100" s="153" t="n"/>
      <c r="F100" s="154" t="n"/>
      <c r="G100" s="166" t="n"/>
    </row>
    <row r="101">
      <c r="A101" s="209" t="n"/>
      <c r="B101" s="147" t="n"/>
      <c r="C101" s="93" t="n"/>
      <c r="D101" s="149" t="n"/>
      <c r="E101" s="153" t="n"/>
      <c r="F101" s="154" t="n"/>
      <c r="G101" s="166" t="n"/>
    </row>
    <row r="102">
      <c r="A102" s="209" t="n"/>
      <c r="B102" s="147" t="n"/>
      <c r="C102" s="93" t="n"/>
      <c r="D102" s="149" t="n"/>
      <c r="E102" s="153" t="n"/>
      <c r="F102" s="154" t="n"/>
      <c r="G102" s="166" t="n"/>
    </row>
    <row r="103">
      <c r="A103" s="209" t="n"/>
      <c r="B103" s="147" t="n"/>
      <c r="C103" s="93" t="n"/>
      <c r="D103" s="149" t="n"/>
      <c r="E103" s="153" t="n"/>
      <c r="F103" s="154" t="n"/>
      <c r="G103" s="57" t="n"/>
    </row>
    <row r="104">
      <c r="A104" s="209" t="n"/>
      <c r="B104" s="147" t="n"/>
      <c r="C104" s="93" t="n"/>
      <c r="D104" s="149" t="n"/>
      <c r="E104" s="153" t="n"/>
      <c r="F104" s="154" t="n"/>
      <c r="G104" s="166" t="n"/>
    </row>
    <row r="105">
      <c r="A105" s="209" t="n"/>
      <c r="B105" s="147" t="n"/>
      <c r="C105" s="93" t="n"/>
      <c r="D105" s="149" t="n"/>
      <c r="E105" s="153" t="n"/>
      <c r="F105" s="154" t="n"/>
      <c r="G105" s="166" t="n"/>
    </row>
    <row r="106">
      <c r="A106" s="209" t="n"/>
      <c r="B106" s="147" t="n"/>
      <c r="C106" s="93" t="n"/>
      <c r="D106" s="149" t="n"/>
      <c r="E106" s="153" t="n"/>
      <c r="F106" s="154" t="n"/>
      <c r="G106" s="166" t="n"/>
    </row>
    <row r="107">
      <c r="A107" s="209" t="n"/>
      <c r="B107" s="147" t="n"/>
      <c r="C107" s="93" t="n"/>
      <c r="D107" s="149" t="n"/>
      <c r="E107" s="153" t="n"/>
      <c r="F107" s="154" t="n"/>
      <c r="G107" s="166" t="n"/>
    </row>
    <row r="108">
      <c r="A108" s="209" t="n"/>
      <c r="B108" s="147" t="n"/>
      <c r="C108" s="93" t="n"/>
      <c r="D108" s="149" t="n"/>
      <c r="E108" s="153" t="n"/>
      <c r="F108" s="154" t="n"/>
      <c r="G108" s="57" t="n"/>
    </row>
    <row r="109">
      <c r="A109" s="209" t="n"/>
      <c r="B109" s="147" t="n"/>
      <c r="C109" s="93" t="n"/>
      <c r="D109" s="149" t="n"/>
      <c r="E109" s="153" t="n"/>
      <c r="F109" s="154" t="n"/>
      <c r="G109" s="57" t="n"/>
    </row>
    <row r="110" ht="13.5" customHeight="1" thickBot="1">
      <c r="A110" s="358" t="n"/>
      <c r="B110" s="148" t="n"/>
      <c r="C110" s="65" t="n"/>
      <c r="D110" s="121" t="n"/>
      <c r="E110" s="157" t="n"/>
      <c r="F110" s="163" t="n"/>
      <c r="G110" s="58" t="n"/>
    </row>
    <row r="111">
      <c r="A111" s="357" t="inlineStr">
        <is>
          <t>Exp. Or Test Sample</t>
        </is>
      </c>
      <c r="B111" s="60" t="n"/>
      <c r="C111" s="63" t="n"/>
      <c r="D111" s="56" t="n"/>
      <c r="E111" s="155" t="n"/>
      <c r="F111" s="154" t="n"/>
      <c r="G111" s="166" t="n"/>
    </row>
    <row r="112">
      <c r="A112" s="209" t="n"/>
      <c r="B112" s="61" t="n"/>
      <c r="C112" s="93" t="n"/>
      <c r="D112" s="57" t="n"/>
      <c r="E112" s="155" t="n"/>
      <c r="F112" s="154" t="n"/>
      <c r="G112" s="166" t="n"/>
    </row>
    <row r="113">
      <c r="A113" s="209" t="n"/>
      <c r="B113" s="61" t="n"/>
      <c r="C113" s="93" t="n"/>
      <c r="D113" s="57" t="n"/>
      <c r="E113" s="155" t="n"/>
      <c r="F113" s="154" t="n"/>
      <c r="G113" s="57" t="n"/>
    </row>
    <row r="114">
      <c r="A114" s="209" t="n"/>
      <c r="B114" s="61" t="n"/>
      <c r="C114" s="93" t="n"/>
      <c r="D114" s="57" t="n"/>
      <c r="E114" s="155" t="n"/>
      <c r="F114" s="154" t="n"/>
      <c r="G114" s="57" t="n"/>
    </row>
    <row r="115">
      <c r="A115" s="209" t="n"/>
      <c r="B115" s="61" t="n"/>
      <c r="C115" s="93" t="n"/>
      <c r="D115" s="57" t="n"/>
      <c r="E115" s="155" t="n"/>
      <c r="F115" s="154" t="n"/>
      <c r="G115" s="57" t="n"/>
    </row>
    <row r="116">
      <c r="A116" s="209" t="n"/>
      <c r="B116" s="61" t="n"/>
      <c r="C116" s="93" t="n"/>
      <c r="D116" s="57" t="n"/>
      <c r="E116" s="155" t="n"/>
      <c r="F116" s="154" t="n"/>
      <c r="G116" s="57" t="n"/>
    </row>
    <row r="117">
      <c r="A117" s="209" t="n"/>
      <c r="B117" s="61" t="n"/>
      <c r="C117" s="93" t="n"/>
      <c r="D117" s="57" t="n"/>
      <c r="E117" s="155" t="n"/>
      <c r="F117" s="154" t="n"/>
      <c r="G117" s="57" t="n"/>
    </row>
    <row r="118">
      <c r="A118" s="209" t="n"/>
      <c r="B118" s="61" t="n"/>
      <c r="C118" s="93" t="n"/>
      <c r="D118" s="57" t="n"/>
      <c r="E118" s="155" t="n"/>
      <c r="F118" s="154" t="n"/>
      <c r="G118" s="57" t="n"/>
    </row>
    <row r="119" ht="13.5" customHeight="1" thickBot="1">
      <c r="A119" s="205" t="n"/>
      <c r="B119" s="94" t="n"/>
      <c r="C119" s="65" t="n"/>
      <c r="D119" s="58" t="n"/>
      <c r="E119" s="160" t="n"/>
      <c r="F119" s="163" t="n"/>
      <c r="G119" s="58" t="n"/>
    </row>
    <row r="158">
      <c r="B158" s="10" t="n"/>
      <c r="C158" s="10" t="n"/>
      <c r="AD158" s="10" t="inlineStr">
        <is>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is>
      </c>
    </row>
  </sheetData>
  <mergeCells count="10">
    <mergeCell ref="B6:C6"/>
    <mergeCell ref="A62:A71"/>
    <mergeCell ref="A7:A14"/>
    <mergeCell ref="A1:G1"/>
    <mergeCell ref="A22:A61"/>
    <mergeCell ref="B3:C3"/>
    <mergeCell ref="A111:A119"/>
    <mergeCell ref="B4:C4"/>
    <mergeCell ref="A15:A21"/>
    <mergeCell ref="A73:A110"/>
  </mergeCells>
  <pageMargins left="0.61" right="0.37" top="0.62" bottom="0.79" header="0.27" footer="0.39"/>
  <pageSetup orientation="landscape" scale="56" fitToHeight="0" horizontalDpi="360" verticalDpi="360"/>
  <rowBreaks count="1" manualBreakCount="1">
    <brk id="61" min="0" max="6" man="1"/>
  </rowBreaks>
</worksheet>
</file>

<file path=xl/worksheets/sheet3.xml><?xml version="1.0" encoding="utf-8"?>
<worksheet xmlns="http://schemas.openxmlformats.org/spreadsheetml/2006/main">
  <sheetPr>
    <tabColor indexed="42"/>
    <outlinePr summaryBelow="1" summaryRight="1"/>
    <pageSetUpPr fitToPage="1"/>
  </sheetPr>
  <dimension ref="A1:AC89"/>
  <sheetViews>
    <sheetView view="pageBreakPreview" zoomScale="80" zoomScaleNormal="75" zoomScaleSheetLayoutView="80" workbookViewId="0">
      <selection activeCell="A9" sqref="A9"/>
    </sheetView>
  </sheetViews>
  <sheetFormatPr baseColWidth="8" defaultRowHeight="12.75"/>
  <cols>
    <col width="13.85546875" bestFit="1" customWidth="1" style="10" min="1" max="1"/>
    <col width="53.5703125" customWidth="1" style="10" min="2" max="2"/>
    <col width="36.42578125" customWidth="1" style="10" min="3" max="3"/>
    <col width="38" customWidth="1" style="10" min="4" max="4"/>
    <col width="21.28515625" customWidth="1" style="10" min="5" max="5"/>
    <col width="11.5703125" customWidth="1" style="10" min="6" max="6"/>
    <col width="9.140625" customWidth="1" style="10" min="7" max="7"/>
    <col width="5.140625" customWidth="1" style="10" min="8" max="8"/>
    <col width="12" customWidth="1" style="10" min="9" max="9"/>
    <col width="9.140625" customWidth="1" style="10" min="10" max="10"/>
    <col width="1.7109375" customWidth="1" style="10" min="11" max="11"/>
    <col width="14.140625" customWidth="1" style="10" min="12" max="12"/>
    <col width="9.140625" customWidth="1" style="10" min="13" max="15"/>
    <col width="10" bestFit="1" customWidth="1" style="10" min="16" max="16"/>
    <col width="9.140625" customWidth="1" style="10" min="17" max="255"/>
    <col width="12.28515625" customWidth="1" style="10" min="256" max="256"/>
    <col width="53.5703125" customWidth="1" style="10" min="257" max="257"/>
    <col width="11.42578125" customWidth="1" style="10" min="258" max="258"/>
    <col width="12.140625" customWidth="1" style="10" min="259" max="259"/>
    <col width="21.28515625" customWidth="1" style="10" min="260" max="260"/>
    <col width="11.5703125" customWidth="1" style="10" min="261" max="261"/>
    <col width="9.140625" customWidth="1" style="10" min="262" max="262"/>
    <col width="5.140625" customWidth="1" style="10" min="263" max="263"/>
    <col width="12" customWidth="1" style="10" min="264" max="264"/>
    <col width="9.140625" customWidth="1" style="10" min="265" max="265"/>
    <col width="1.7109375" customWidth="1" style="10" min="266" max="266"/>
    <col width="14.140625" customWidth="1" style="10" min="267" max="267"/>
    <col width="9.140625" customWidth="1" style="10" min="268" max="511"/>
    <col width="12.28515625" customWidth="1" style="10" min="512" max="512"/>
    <col width="53.5703125" customWidth="1" style="10" min="513" max="513"/>
    <col width="11.42578125" customWidth="1" style="10" min="514" max="514"/>
    <col width="12.140625" customWidth="1" style="10" min="515" max="515"/>
    <col width="21.28515625" customWidth="1" style="10" min="516" max="516"/>
    <col width="11.5703125" customWidth="1" style="10" min="517" max="517"/>
    <col width="9.140625" customWidth="1" style="10" min="518" max="518"/>
    <col width="5.140625" customWidth="1" style="10" min="519" max="519"/>
    <col width="12" customWidth="1" style="10" min="520" max="520"/>
    <col width="9.140625" customWidth="1" style="10" min="521" max="521"/>
    <col width="1.7109375" customWidth="1" style="10" min="522" max="522"/>
    <col width="14.140625" customWidth="1" style="10" min="523" max="523"/>
    <col width="9.140625" customWidth="1" style="10" min="524" max="767"/>
    <col width="12.28515625" customWidth="1" style="10" min="768" max="768"/>
    <col width="53.5703125" customWidth="1" style="10" min="769" max="769"/>
    <col width="11.42578125" customWidth="1" style="10" min="770" max="770"/>
    <col width="12.140625" customWidth="1" style="10" min="771" max="771"/>
    <col width="21.28515625" customWidth="1" style="10" min="772" max="772"/>
    <col width="11.5703125" customWidth="1" style="10" min="773" max="773"/>
    <col width="9.140625" customWidth="1" style="10" min="774" max="774"/>
    <col width="5.140625" customWidth="1" style="10" min="775" max="775"/>
    <col width="12" customWidth="1" style="10" min="776" max="776"/>
    <col width="9.140625" customWidth="1" style="10" min="777" max="777"/>
    <col width="1.7109375" customWidth="1" style="10" min="778" max="778"/>
    <col width="14.140625" customWidth="1" style="10" min="779" max="779"/>
    <col width="9.140625" customWidth="1" style="10" min="780" max="1023"/>
    <col width="12.28515625" customWidth="1" style="10" min="1024" max="1024"/>
    <col width="53.5703125" customWidth="1" style="10" min="1025" max="1025"/>
    <col width="11.42578125" customWidth="1" style="10" min="1026" max="1026"/>
    <col width="12.140625" customWidth="1" style="10" min="1027" max="1027"/>
    <col width="21.28515625" customWidth="1" style="10" min="1028" max="1028"/>
    <col width="11.5703125" customWidth="1" style="10" min="1029" max="1029"/>
    <col width="9.140625" customWidth="1" style="10" min="1030" max="1030"/>
    <col width="5.140625" customWidth="1" style="10" min="1031" max="1031"/>
    <col width="12" customWidth="1" style="10" min="1032" max="1032"/>
    <col width="9.140625" customWidth="1" style="10" min="1033" max="1033"/>
    <col width="1.7109375" customWidth="1" style="10" min="1034" max="1034"/>
    <col width="14.140625" customWidth="1" style="10" min="1035" max="1035"/>
    <col width="9.140625" customWidth="1" style="10" min="1036" max="1279"/>
    <col width="12.28515625" customWidth="1" style="10" min="1280" max="1280"/>
    <col width="53.5703125" customWidth="1" style="10" min="1281" max="1281"/>
    <col width="11.42578125" customWidth="1" style="10" min="1282" max="1282"/>
    <col width="12.140625" customWidth="1" style="10" min="1283" max="1283"/>
    <col width="21.28515625" customWidth="1" style="10" min="1284" max="1284"/>
    <col width="11.5703125" customWidth="1" style="10" min="1285" max="1285"/>
    <col width="9.140625" customWidth="1" style="10" min="1286" max="1286"/>
    <col width="5.140625" customWidth="1" style="10" min="1287" max="1287"/>
    <col width="12" customWidth="1" style="10" min="1288" max="1288"/>
    <col width="9.140625" customWidth="1" style="10" min="1289" max="1289"/>
    <col width="1.7109375" customWidth="1" style="10" min="1290" max="1290"/>
    <col width="14.140625" customWidth="1" style="10" min="1291" max="1291"/>
    <col width="9.140625" customWidth="1" style="10" min="1292" max="1535"/>
    <col width="12.28515625" customWidth="1" style="10" min="1536" max="1536"/>
    <col width="53.5703125" customWidth="1" style="10" min="1537" max="1537"/>
    <col width="11.42578125" customWidth="1" style="10" min="1538" max="1538"/>
    <col width="12.140625" customWidth="1" style="10" min="1539" max="1539"/>
    <col width="21.28515625" customWidth="1" style="10" min="1540" max="1540"/>
    <col width="11.5703125" customWidth="1" style="10" min="1541" max="1541"/>
    <col width="9.140625" customWidth="1" style="10" min="1542" max="1542"/>
    <col width="5.140625" customWidth="1" style="10" min="1543" max="1543"/>
    <col width="12" customWidth="1" style="10" min="1544" max="1544"/>
    <col width="9.140625" customWidth="1" style="10" min="1545" max="1545"/>
    <col width="1.7109375" customWidth="1" style="10" min="1546" max="1546"/>
    <col width="14.140625" customWidth="1" style="10" min="1547" max="1547"/>
    <col width="9.140625" customWidth="1" style="10" min="1548" max="1791"/>
    <col width="12.28515625" customWidth="1" style="10" min="1792" max="1792"/>
    <col width="53.5703125" customWidth="1" style="10" min="1793" max="1793"/>
    <col width="11.42578125" customWidth="1" style="10" min="1794" max="1794"/>
    <col width="12.140625" customWidth="1" style="10" min="1795" max="1795"/>
    <col width="21.28515625" customWidth="1" style="10" min="1796" max="1796"/>
    <col width="11.5703125" customWidth="1" style="10" min="1797" max="1797"/>
    <col width="9.140625" customWidth="1" style="10" min="1798" max="1798"/>
    <col width="5.140625" customWidth="1" style="10" min="1799" max="1799"/>
    <col width="12" customWidth="1" style="10" min="1800" max="1800"/>
    <col width="9.140625" customWidth="1" style="10" min="1801" max="1801"/>
    <col width="1.7109375" customWidth="1" style="10" min="1802" max="1802"/>
    <col width="14.140625" customWidth="1" style="10" min="1803" max="1803"/>
    <col width="9.140625" customWidth="1" style="10" min="1804" max="2047"/>
    <col width="12.28515625" customWidth="1" style="10" min="2048" max="2048"/>
    <col width="53.5703125" customWidth="1" style="10" min="2049" max="2049"/>
    <col width="11.42578125" customWidth="1" style="10" min="2050" max="2050"/>
    <col width="12.140625" customWidth="1" style="10" min="2051" max="2051"/>
    <col width="21.28515625" customWidth="1" style="10" min="2052" max="2052"/>
    <col width="11.5703125" customWidth="1" style="10" min="2053" max="2053"/>
    <col width="9.140625" customWidth="1" style="10" min="2054" max="2054"/>
    <col width="5.140625" customWidth="1" style="10" min="2055" max="2055"/>
    <col width="12" customWidth="1" style="10" min="2056" max="2056"/>
    <col width="9.140625" customWidth="1" style="10" min="2057" max="2057"/>
    <col width="1.7109375" customWidth="1" style="10" min="2058" max="2058"/>
    <col width="14.140625" customWidth="1" style="10" min="2059" max="2059"/>
    <col width="9.140625" customWidth="1" style="10" min="2060" max="2303"/>
    <col width="12.28515625" customWidth="1" style="10" min="2304" max="2304"/>
    <col width="53.5703125" customWidth="1" style="10" min="2305" max="2305"/>
    <col width="11.42578125" customWidth="1" style="10" min="2306" max="2306"/>
    <col width="12.140625" customWidth="1" style="10" min="2307" max="2307"/>
    <col width="21.28515625" customWidth="1" style="10" min="2308" max="2308"/>
    <col width="11.5703125" customWidth="1" style="10" min="2309" max="2309"/>
    <col width="9.140625" customWidth="1" style="10" min="2310" max="2310"/>
    <col width="5.140625" customWidth="1" style="10" min="2311" max="2311"/>
    <col width="12" customWidth="1" style="10" min="2312" max="2312"/>
    <col width="9.140625" customWidth="1" style="10" min="2313" max="2313"/>
    <col width="1.7109375" customWidth="1" style="10" min="2314" max="2314"/>
    <col width="14.140625" customWidth="1" style="10" min="2315" max="2315"/>
    <col width="9.140625" customWidth="1" style="10" min="2316" max="2559"/>
    <col width="12.28515625" customWidth="1" style="10" min="2560" max="2560"/>
    <col width="53.5703125" customWidth="1" style="10" min="2561" max="2561"/>
    <col width="11.42578125" customWidth="1" style="10" min="2562" max="2562"/>
    <col width="12.140625" customWidth="1" style="10" min="2563" max="2563"/>
    <col width="21.28515625" customWidth="1" style="10" min="2564" max="2564"/>
    <col width="11.5703125" customWidth="1" style="10" min="2565" max="2565"/>
    <col width="9.140625" customWidth="1" style="10" min="2566" max="2566"/>
    <col width="5.140625" customWidth="1" style="10" min="2567" max="2567"/>
    <col width="12" customWidth="1" style="10" min="2568" max="2568"/>
    <col width="9.140625" customWidth="1" style="10" min="2569" max="2569"/>
    <col width="1.7109375" customWidth="1" style="10" min="2570" max="2570"/>
    <col width="14.140625" customWidth="1" style="10" min="2571" max="2571"/>
    <col width="9.140625" customWidth="1" style="10" min="2572" max="2815"/>
    <col width="12.28515625" customWidth="1" style="10" min="2816" max="2816"/>
    <col width="53.5703125" customWidth="1" style="10" min="2817" max="2817"/>
    <col width="11.42578125" customWidth="1" style="10" min="2818" max="2818"/>
    <col width="12.140625" customWidth="1" style="10" min="2819" max="2819"/>
    <col width="21.28515625" customWidth="1" style="10" min="2820" max="2820"/>
    <col width="11.5703125" customWidth="1" style="10" min="2821" max="2821"/>
    <col width="9.140625" customWidth="1" style="10" min="2822" max="2822"/>
    <col width="5.140625" customWidth="1" style="10" min="2823" max="2823"/>
    <col width="12" customWidth="1" style="10" min="2824" max="2824"/>
    <col width="9.140625" customWidth="1" style="10" min="2825" max="2825"/>
    <col width="1.7109375" customWidth="1" style="10" min="2826" max="2826"/>
    <col width="14.140625" customWidth="1" style="10" min="2827" max="2827"/>
    <col width="9.140625" customWidth="1" style="10" min="2828" max="3071"/>
    <col width="12.28515625" customWidth="1" style="10" min="3072" max="3072"/>
    <col width="53.5703125" customWidth="1" style="10" min="3073" max="3073"/>
    <col width="11.42578125" customWidth="1" style="10" min="3074" max="3074"/>
    <col width="12.140625" customWidth="1" style="10" min="3075" max="3075"/>
    <col width="21.28515625" customWidth="1" style="10" min="3076" max="3076"/>
    <col width="11.5703125" customWidth="1" style="10" min="3077" max="3077"/>
    <col width="9.140625" customWidth="1" style="10" min="3078" max="3078"/>
    <col width="5.140625" customWidth="1" style="10" min="3079" max="3079"/>
    <col width="12" customWidth="1" style="10" min="3080" max="3080"/>
    <col width="9.140625" customWidth="1" style="10" min="3081" max="3081"/>
    <col width="1.7109375" customWidth="1" style="10" min="3082" max="3082"/>
    <col width="14.140625" customWidth="1" style="10" min="3083" max="3083"/>
    <col width="9.140625" customWidth="1" style="10" min="3084" max="3327"/>
    <col width="12.28515625" customWidth="1" style="10" min="3328" max="3328"/>
    <col width="53.5703125" customWidth="1" style="10" min="3329" max="3329"/>
    <col width="11.42578125" customWidth="1" style="10" min="3330" max="3330"/>
    <col width="12.140625" customWidth="1" style="10" min="3331" max="3331"/>
    <col width="21.28515625" customWidth="1" style="10" min="3332" max="3332"/>
    <col width="11.5703125" customWidth="1" style="10" min="3333" max="3333"/>
    <col width="9.140625" customWidth="1" style="10" min="3334" max="3334"/>
    <col width="5.140625" customWidth="1" style="10" min="3335" max="3335"/>
    <col width="12" customWidth="1" style="10" min="3336" max="3336"/>
    <col width="9.140625" customWidth="1" style="10" min="3337" max="3337"/>
    <col width="1.7109375" customWidth="1" style="10" min="3338" max="3338"/>
    <col width="14.140625" customWidth="1" style="10" min="3339" max="3339"/>
    <col width="9.140625" customWidth="1" style="10" min="3340" max="3583"/>
    <col width="12.28515625" customWidth="1" style="10" min="3584" max="3584"/>
    <col width="53.5703125" customWidth="1" style="10" min="3585" max="3585"/>
    <col width="11.42578125" customWidth="1" style="10" min="3586" max="3586"/>
    <col width="12.140625" customWidth="1" style="10" min="3587" max="3587"/>
    <col width="21.28515625" customWidth="1" style="10" min="3588" max="3588"/>
    <col width="11.5703125" customWidth="1" style="10" min="3589" max="3589"/>
    <col width="9.140625" customWidth="1" style="10" min="3590" max="3590"/>
    <col width="5.140625" customWidth="1" style="10" min="3591" max="3591"/>
    <col width="12" customWidth="1" style="10" min="3592" max="3592"/>
    <col width="9.140625" customWidth="1" style="10" min="3593" max="3593"/>
    <col width="1.7109375" customWidth="1" style="10" min="3594" max="3594"/>
    <col width="14.140625" customWidth="1" style="10" min="3595" max="3595"/>
    <col width="9.140625" customWidth="1" style="10" min="3596" max="3839"/>
    <col width="12.28515625" customWidth="1" style="10" min="3840" max="3840"/>
    <col width="53.5703125" customWidth="1" style="10" min="3841" max="3841"/>
    <col width="11.42578125" customWidth="1" style="10" min="3842" max="3842"/>
    <col width="12.140625" customWidth="1" style="10" min="3843" max="3843"/>
    <col width="21.28515625" customWidth="1" style="10" min="3844" max="3844"/>
    <col width="11.5703125" customWidth="1" style="10" min="3845" max="3845"/>
    <col width="9.140625" customWidth="1" style="10" min="3846" max="3846"/>
    <col width="5.140625" customWidth="1" style="10" min="3847" max="3847"/>
    <col width="12" customWidth="1" style="10" min="3848" max="3848"/>
    <col width="9.140625" customWidth="1" style="10" min="3849" max="3849"/>
    <col width="1.7109375" customWidth="1" style="10" min="3850" max="3850"/>
    <col width="14.140625" customWidth="1" style="10" min="3851" max="3851"/>
    <col width="9.140625" customWidth="1" style="10" min="3852" max="4095"/>
    <col width="12.28515625" customWidth="1" style="10" min="4096" max="4096"/>
    <col width="53.5703125" customWidth="1" style="10" min="4097" max="4097"/>
    <col width="11.42578125" customWidth="1" style="10" min="4098" max="4098"/>
    <col width="12.140625" customWidth="1" style="10" min="4099" max="4099"/>
    <col width="21.28515625" customWidth="1" style="10" min="4100" max="4100"/>
    <col width="11.5703125" customWidth="1" style="10" min="4101" max="4101"/>
    <col width="9.140625" customWidth="1" style="10" min="4102" max="4102"/>
    <col width="5.140625" customWidth="1" style="10" min="4103" max="4103"/>
    <col width="12" customWidth="1" style="10" min="4104" max="4104"/>
    <col width="9.140625" customWidth="1" style="10" min="4105" max="4105"/>
    <col width="1.7109375" customWidth="1" style="10" min="4106" max="4106"/>
    <col width="14.140625" customWidth="1" style="10" min="4107" max="4107"/>
    <col width="9.140625" customWidth="1" style="10" min="4108" max="4351"/>
    <col width="12.28515625" customWidth="1" style="10" min="4352" max="4352"/>
    <col width="53.5703125" customWidth="1" style="10" min="4353" max="4353"/>
    <col width="11.42578125" customWidth="1" style="10" min="4354" max="4354"/>
    <col width="12.140625" customWidth="1" style="10" min="4355" max="4355"/>
    <col width="21.28515625" customWidth="1" style="10" min="4356" max="4356"/>
    <col width="11.5703125" customWidth="1" style="10" min="4357" max="4357"/>
    <col width="9.140625" customWidth="1" style="10" min="4358" max="4358"/>
    <col width="5.140625" customWidth="1" style="10" min="4359" max="4359"/>
    <col width="12" customWidth="1" style="10" min="4360" max="4360"/>
    <col width="9.140625" customWidth="1" style="10" min="4361" max="4361"/>
    <col width="1.7109375" customWidth="1" style="10" min="4362" max="4362"/>
    <col width="14.140625" customWidth="1" style="10" min="4363" max="4363"/>
    <col width="9.140625" customWidth="1" style="10" min="4364" max="4607"/>
    <col width="12.28515625" customWidth="1" style="10" min="4608" max="4608"/>
    <col width="53.5703125" customWidth="1" style="10" min="4609" max="4609"/>
    <col width="11.42578125" customWidth="1" style="10" min="4610" max="4610"/>
    <col width="12.140625" customWidth="1" style="10" min="4611" max="4611"/>
    <col width="21.28515625" customWidth="1" style="10" min="4612" max="4612"/>
    <col width="11.5703125" customWidth="1" style="10" min="4613" max="4613"/>
    <col width="9.140625" customWidth="1" style="10" min="4614" max="4614"/>
    <col width="5.140625" customWidth="1" style="10" min="4615" max="4615"/>
    <col width="12" customWidth="1" style="10" min="4616" max="4616"/>
    <col width="9.140625" customWidth="1" style="10" min="4617" max="4617"/>
    <col width="1.7109375" customWidth="1" style="10" min="4618" max="4618"/>
    <col width="14.140625" customWidth="1" style="10" min="4619" max="4619"/>
    <col width="9.140625" customWidth="1" style="10" min="4620" max="4863"/>
    <col width="12.28515625" customWidth="1" style="10" min="4864" max="4864"/>
    <col width="53.5703125" customWidth="1" style="10" min="4865" max="4865"/>
    <col width="11.42578125" customWidth="1" style="10" min="4866" max="4866"/>
    <col width="12.140625" customWidth="1" style="10" min="4867" max="4867"/>
    <col width="21.28515625" customWidth="1" style="10" min="4868" max="4868"/>
    <col width="11.5703125" customWidth="1" style="10" min="4869" max="4869"/>
    <col width="9.140625" customWidth="1" style="10" min="4870" max="4870"/>
    <col width="5.140625" customWidth="1" style="10" min="4871" max="4871"/>
    <col width="12" customWidth="1" style="10" min="4872" max="4872"/>
    <col width="9.140625" customWidth="1" style="10" min="4873" max="4873"/>
    <col width="1.7109375" customWidth="1" style="10" min="4874" max="4874"/>
    <col width="14.140625" customWidth="1" style="10" min="4875" max="4875"/>
    <col width="9.140625" customWidth="1" style="10" min="4876" max="5119"/>
    <col width="12.28515625" customWidth="1" style="10" min="5120" max="5120"/>
    <col width="53.5703125" customWidth="1" style="10" min="5121" max="5121"/>
    <col width="11.42578125" customWidth="1" style="10" min="5122" max="5122"/>
    <col width="12.140625" customWidth="1" style="10" min="5123" max="5123"/>
    <col width="21.28515625" customWidth="1" style="10" min="5124" max="5124"/>
    <col width="11.5703125" customWidth="1" style="10" min="5125" max="5125"/>
    <col width="9.140625" customWidth="1" style="10" min="5126" max="5126"/>
    <col width="5.140625" customWidth="1" style="10" min="5127" max="5127"/>
    <col width="12" customWidth="1" style="10" min="5128" max="5128"/>
    <col width="9.140625" customWidth="1" style="10" min="5129" max="5129"/>
    <col width="1.7109375" customWidth="1" style="10" min="5130" max="5130"/>
    <col width="14.140625" customWidth="1" style="10" min="5131" max="5131"/>
    <col width="9.140625" customWidth="1" style="10" min="5132" max="5375"/>
    <col width="12.28515625" customWidth="1" style="10" min="5376" max="5376"/>
    <col width="53.5703125" customWidth="1" style="10" min="5377" max="5377"/>
    <col width="11.42578125" customWidth="1" style="10" min="5378" max="5378"/>
    <col width="12.140625" customWidth="1" style="10" min="5379" max="5379"/>
    <col width="21.28515625" customWidth="1" style="10" min="5380" max="5380"/>
    <col width="11.5703125" customWidth="1" style="10" min="5381" max="5381"/>
    <col width="9.140625" customWidth="1" style="10" min="5382" max="5382"/>
    <col width="5.140625" customWidth="1" style="10" min="5383" max="5383"/>
    <col width="12" customWidth="1" style="10" min="5384" max="5384"/>
    <col width="9.140625" customWidth="1" style="10" min="5385" max="5385"/>
    <col width="1.7109375" customWidth="1" style="10" min="5386" max="5386"/>
    <col width="14.140625" customWidth="1" style="10" min="5387" max="5387"/>
    <col width="9.140625" customWidth="1" style="10" min="5388" max="5631"/>
    <col width="12.28515625" customWidth="1" style="10" min="5632" max="5632"/>
    <col width="53.5703125" customWidth="1" style="10" min="5633" max="5633"/>
    <col width="11.42578125" customWidth="1" style="10" min="5634" max="5634"/>
    <col width="12.140625" customWidth="1" style="10" min="5635" max="5635"/>
    <col width="21.28515625" customWidth="1" style="10" min="5636" max="5636"/>
    <col width="11.5703125" customWidth="1" style="10" min="5637" max="5637"/>
    <col width="9.140625" customWidth="1" style="10" min="5638" max="5638"/>
    <col width="5.140625" customWidth="1" style="10" min="5639" max="5639"/>
    <col width="12" customWidth="1" style="10" min="5640" max="5640"/>
    <col width="9.140625" customWidth="1" style="10" min="5641" max="5641"/>
    <col width="1.7109375" customWidth="1" style="10" min="5642" max="5642"/>
    <col width="14.140625" customWidth="1" style="10" min="5643" max="5643"/>
    <col width="9.140625" customWidth="1" style="10" min="5644" max="5887"/>
    <col width="12.28515625" customWidth="1" style="10" min="5888" max="5888"/>
    <col width="53.5703125" customWidth="1" style="10" min="5889" max="5889"/>
    <col width="11.42578125" customWidth="1" style="10" min="5890" max="5890"/>
    <col width="12.140625" customWidth="1" style="10" min="5891" max="5891"/>
    <col width="21.28515625" customWidth="1" style="10" min="5892" max="5892"/>
    <col width="11.5703125" customWidth="1" style="10" min="5893" max="5893"/>
    <col width="9.140625" customWidth="1" style="10" min="5894" max="5894"/>
    <col width="5.140625" customWidth="1" style="10" min="5895" max="5895"/>
    <col width="12" customWidth="1" style="10" min="5896" max="5896"/>
    <col width="9.140625" customWidth="1" style="10" min="5897" max="5897"/>
    <col width="1.7109375" customWidth="1" style="10" min="5898" max="5898"/>
    <col width="14.140625" customWidth="1" style="10" min="5899" max="5899"/>
    <col width="9.140625" customWidth="1" style="10" min="5900" max="6143"/>
    <col width="12.28515625" customWidth="1" style="10" min="6144" max="6144"/>
    <col width="53.5703125" customWidth="1" style="10" min="6145" max="6145"/>
    <col width="11.42578125" customWidth="1" style="10" min="6146" max="6146"/>
    <col width="12.140625" customWidth="1" style="10" min="6147" max="6147"/>
    <col width="21.28515625" customWidth="1" style="10" min="6148" max="6148"/>
    <col width="11.5703125" customWidth="1" style="10" min="6149" max="6149"/>
    <col width="9.140625" customWidth="1" style="10" min="6150" max="6150"/>
    <col width="5.140625" customWidth="1" style="10" min="6151" max="6151"/>
    <col width="12" customWidth="1" style="10" min="6152" max="6152"/>
    <col width="9.140625" customWidth="1" style="10" min="6153" max="6153"/>
    <col width="1.7109375" customWidth="1" style="10" min="6154" max="6154"/>
    <col width="14.140625" customWidth="1" style="10" min="6155" max="6155"/>
    <col width="9.140625" customWidth="1" style="10" min="6156" max="6399"/>
    <col width="12.28515625" customWidth="1" style="10" min="6400" max="6400"/>
    <col width="53.5703125" customWidth="1" style="10" min="6401" max="6401"/>
    <col width="11.42578125" customWidth="1" style="10" min="6402" max="6402"/>
    <col width="12.140625" customWidth="1" style="10" min="6403" max="6403"/>
    <col width="21.28515625" customWidth="1" style="10" min="6404" max="6404"/>
    <col width="11.5703125" customWidth="1" style="10" min="6405" max="6405"/>
    <col width="9.140625" customWidth="1" style="10" min="6406" max="6406"/>
    <col width="5.140625" customWidth="1" style="10" min="6407" max="6407"/>
    <col width="12" customWidth="1" style="10" min="6408" max="6408"/>
    <col width="9.140625" customWidth="1" style="10" min="6409" max="6409"/>
    <col width="1.7109375" customWidth="1" style="10" min="6410" max="6410"/>
    <col width="14.140625" customWidth="1" style="10" min="6411" max="6411"/>
    <col width="9.140625" customWidth="1" style="10" min="6412" max="6655"/>
    <col width="12.28515625" customWidth="1" style="10" min="6656" max="6656"/>
    <col width="53.5703125" customWidth="1" style="10" min="6657" max="6657"/>
    <col width="11.42578125" customWidth="1" style="10" min="6658" max="6658"/>
    <col width="12.140625" customWidth="1" style="10" min="6659" max="6659"/>
    <col width="21.28515625" customWidth="1" style="10" min="6660" max="6660"/>
    <col width="11.5703125" customWidth="1" style="10" min="6661" max="6661"/>
    <col width="9.140625" customWidth="1" style="10" min="6662" max="6662"/>
    <col width="5.140625" customWidth="1" style="10" min="6663" max="6663"/>
    <col width="12" customWidth="1" style="10" min="6664" max="6664"/>
    <col width="9.140625" customWidth="1" style="10" min="6665" max="6665"/>
    <col width="1.7109375" customWidth="1" style="10" min="6666" max="6666"/>
    <col width="14.140625" customWidth="1" style="10" min="6667" max="6667"/>
    <col width="9.140625" customWidth="1" style="10" min="6668" max="6911"/>
    <col width="12.28515625" customWidth="1" style="10" min="6912" max="6912"/>
    <col width="53.5703125" customWidth="1" style="10" min="6913" max="6913"/>
    <col width="11.42578125" customWidth="1" style="10" min="6914" max="6914"/>
    <col width="12.140625" customWidth="1" style="10" min="6915" max="6915"/>
    <col width="21.28515625" customWidth="1" style="10" min="6916" max="6916"/>
    <col width="11.5703125" customWidth="1" style="10" min="6917" max="6917"/>
    <col width="9.140625" customWidth="1" style="10" min="6918" max="6918"/>
    <col width="5.140625" customWidth="1" style="10" min="6919" max="6919"/>
    <col width="12" customWidth="1" style="10" min="6920" max="6920"/>
    <col width="9.140625" customWidth="1" style="10" min="6921" max="6921"/>
    <col width="1.7109375" customWidth="1" style="10" min="6922" max="6922"/>
    <col width="14.140625" customWidth="1" style="10" min="6923" max="6923"/>
    <col width="9.140625" customWidth="1" style="10" min="6924" max="7167"/>
    <col width="12.28515625" customWidth="1" style="10" min="7168" max="7168"/>
    <col width="53.5703125" customWidth="1" style="10" min="7169" max="7169"/>
    <col width="11.42578125" customWidth="1" style="10" min="7170" max="7170"/>
    <col width="12.140625" customWidth="1" style="10" min="7171" max="7171"/>
    <col width="21.28515625" customWidth="1" style="10" min="7172" max="7172"/>
    <col width="11.5703125" customWidth="1" style="10" min="7173" max="7173"/>
    <col width="9.140625" customWidth="1" style="10" min="7174" max="7174"/>
    <col width="5.140625" customWidth="1" style="10" min="7175" max="7175"/>
    <col width="12" customWidth="1" style="10" min="7176" max="7176"/>
    <col width="9.140625" customWidth="1" style="10" min="7177" max="7177"/>
    <col width="1.7109375" customWidth="1" style="10" min="7178" max="7178"/>
    <col width="14.140625" customWidth="1" style="10" min="7179" max="7179"/>
    <col width="9.140625" customWidth="1" style="10" min="7180" max="7423"/>
    <col width="12.28515625" customWidth="1" style="10" min="7424" max="7424"/>
    <col width="53.5703125" customWidth="1" style="10" min="7425" max="7425"/>
    <col width="11.42578125" customWidth="1" style="10" min="7426" max="7426"/>
    <col width="12.140625" customWidth="1" style="10" min="7427" max="7427"/>
    <col width="21.28515625" customWidth="1" style="10" min="7428" max="7428"/>
    <col width="11.5703125" customWidth="1" style="10" min="7429" max="7429"/>
    <col width="9.140625" customWidth="1" style="10" min="7430" max="7430"/>
    <col width="5.140625" customWidth="1" style="10" min="7431" max="7431"/>
    <col width="12" customWidth="1" style="10" min="7432" max="7432"/>
    <col width="9.140625" customWidth="1" style="10" min="7433" max="7433"/>
    <col width="1.7109375" customWidth="1" style="10" min="7434" max="7434"/>
    <col width="14.140625" customWidth="1" style="10" min="7435" max="7435"/>
    <col width="9.140625" customWidth="1" style="10" min="7436" max="7679"/>
    <col width="12.28515625" customWidth="1" style="10" min="7680" max="7680"/>
    <col width="53.5703125" customWidth="1" style="10" min="7681" max="7681"/>
    <col width="11.42578125" customWidth="1" style="10" min="7682" max="7682"/>
    <col width="12.140625" customWidth="1" style="10" min="7683" max="7683"/>
    <col width="21.28515625" customWidth="1" style="10" min="7684" max="7684"/>
    <col width="11.5703125" customWidth="1" style="10" min="7685" max="7685"/>
    <col width="9.140625" customWidth="1" style="10" min="7686" max="7686"/>
    <col width="5.140625" customWidth="1" style="10" min="7687" max="7687"/>
    <col width="12" customWidth="1" style="10" min="7688" max="7688"/>
    <col width="9.140625" customWidth="1" style="10" min="7689" max="7689"/>
    <col width="1.7109375" customWidth="1" style="10" min="7690" max="7690"/>
    <col width="14.140625" customWidth="1" style="10" min="7691" max="7691"/>
    <col width="9.140625" customWidth="1" style="10" min="7692" max="7935"/>
    <col width="12.28515625" customWidth="1" style="10" min="7936" max="7936"/>
    <col width="53.5703125" customWidth="1" style="10" min="7937" max="7937"/>
    <col width="11.42578125" customWidth="1" style="10" min="7938" max="7938"/>
    <col width="12.140625" customWidth="1" style="10" min="7939" max="7939"/>
    <col width="21.28515625" customWidth="1" style="10" min="7940" max="7940"/>
    <col width="11.5703125" customWidth="1" style="10" min="7941" max="7941"/>
    <col width="9.140625" customWidth="1" style="10" min="7942" max="7942"/>
    <col width="5.140625" customWidth="1" style="10" min="7943" max="7943"/>
    <col width="12" customWidth="1" style="10" min="7944" max="7944"/>
    <col width="9.140625" customWidth="1" style="10" min="7945" max="7945"/>
    <col width="1.7109375" customWidth="1" style="10" min="7946" max="7946"/>
    <col width="14.140625" customWidth="1" style="10" min="7947" max="7947"/>
    <col width="9.140625" customWidth="1" style="10" min="7948" max="8191"/>
    <col width="12.28515625" customWidth="1" style="10" min="8192" max="8192"/>
    <col width="53.5703125" customWidth="1" style="10" min="8193" max="8193"/>
    <col width="11.42578125" customWidth="1" style="10" min="8194" max="8194"/>
    <col width="12.140625" customWidth="1" style="10" min="8195" max="8195"/>
    <col width="21.28515625" customWidth="1" style="10" min="8196" max="8196"/>
    <col width="11.5703125" customWidth="1" style="10" min="8197" max="8197"/>
    <col width="9.140625" customWidth="1" style="10" min="8198" max="8198"/>
    <col width="5.140625" customWidth="1" style="10" min="8199" max="8199"/>
    <col width="12" customWidth="1" style="10" min="8200" max="8200"/>
    <col width="9.140625" customWidth="1" style="10" min="8201" max="8201"/>
    <col width="1.7109375" customWidth="1" style="10" min="8202" max="8202"/>
    <col width="14.140625" customWidth="1" style="10" min="8203" max="8203"/>
    <col width="9.140625" customWidth="1" style="10" min="8204" max="8447"/>
    <col width="12.28515625" customWidth="1" style="10" min="8448" max="8448"/>
    <col width="53.5703125" customWidth="1" style="10" min="8449" max="8449"/>
    <col width="11.42578125" customWidth="1" style="10" min="8450" max="8450"/>
    <col width="12.140625" customWidth="1" style="10" min="8451" max="8451"/>
    <col width="21.28515625" customWidth="1" style="10" min="8452" max="8452"/>
    <col width="11.5703125" customWidth="1" style="10" min="8453" max="8453"/>
    <col width="9.140625" customWidth="1" style="10" min="8454" max="8454"/>
    <col width="5.140625" customWidth="1" style="10" min="8455" max="8455"/>
    <col width="12" customWidth="1" style="10" min="8456" max="8456"/>
    <col width="9.140625" customWidth="1" style="10" min="8457" max="8457"/>
    <col width="1.7109375" customWidth="1" style="10" min="8458" max="8458"/>
    <col width="14.140625" customWidth="1" style="10" min="8459" max="8459"/>
    <col width="9.140625" customWidth="1" style="10" min="8460" max="8703"/>
    <col width="12.28515625" customWidth="1" style="10" min="8704" max="8704"/>
    <col width="53.5703125" customWidth="1" style="10" min="8705" max="8705"/>
    <col width="11.42578125" customWidth="1" style="10" min="8706" max="8706"/>
    <col width="12.140625" customWidth="1" style="10" min="8707" max="8707"/>
    <col width="21.28515625" customWidth="1" style="10" min="8708" max="8708"/>
    <col width="11.5703125" customWidth="1" style="10" min="8709" max="8709"/>
    <col width="9.140625" customWidth="1" style="10" min="8710" max="8710"/>
    <col width="5.140625" customWidth="1" style="10" min="8711" max="8711"/>
    <col width="12" customWidth="1" style="10" min="8712" max="8712"/>
    <col width="9.140625" customWidth="1" style="10" min="8713" max="8713"/>
    <col width="1.7109375" customWidth="1" style="10" min="8714" max="8714"/>
    <col width="14.140625" customWidth="1" style="10" min="8715" max="8715"/>
    <col width="9.140625" customWidth="1" style="10" min="8716" max="8959"/>
    <col width="12.28515625" customWidth="1" style="10" min="8960" max="8960"/>
    <col width="53.5703125" customWidth="1" style="10" min="8961" max="8961"/>
    <col width="11.42578125" customWidth="1" style="10" min="8962" max="8962"/>
    <col width="12.140625" customWidth="1" style="10" min="8963" max="8963"/>
    <col width="21.28515625" customWidth="1" style="10" min="8964" max="8964"/>
    <col width="11.5703125" customWidth="1" style="10" min="8965" max="8965"/>
    <col width="9.140625" customWidth="1" style="10" min="8966" max="8966"/>
    <col width="5.140625" customWidth="1" style="10" min="8967" max="8967"/>
    <col width="12" customWidth="1" style="10" min="8968" max="8968"/>
    <col width="9.140625" customWidth="1" style="10" min="8969" max="8969"/>
    <col width="1.7109375" customWidth="1" style="10" min="8970" max="8970"/>
    <col width="14.140625" customWidth="1" style="10" min="8971" max="8971"/>
    <col width="9.140625" customWidth="1" style="10" min="8972" max="9215"/>
    <col width="12.28515625" customWidth="1" style="10" min="9216" max="9216"/>
    <col width="53.5703125" customWidth="1" style="10" min="9217" max="9217"/>
    <col width="11.42578125" customWidth="1" style="10" min="9218" max="9218"/>
    <col width="12.140625" customWidth="1" style="10" min="9219" max="9219"/>
    <col width="21.28515625" customWidth="1" style="10" min="9220" max="9220"/>
    <col width="11.5703125" customWidth="1" style="10" min="9221" max="9221"/>
    <col width="9.140625" customWidth="1" style="10" min="9222" max="9222"/>
    <col width="5.140625" customWidth="1" style="10" min="9223" max="9223"/>
    <col width="12" customWidth="1" style="10" min="9224" max="9224"/>
    <col width="9.140625" customWidth="1" style="10" min="9225" max="9225"/>
    <col width="1.7109375" customWidth="1" style="10" min="9226" max="9226"/>
    <col width="14.140625" customWidth="1" style="10" min="9227" max="9227"/>
    <col width="9.140625" customWidth="1" style="10" min="9228" max="9471"/>
    <col width="12.28515625" customWidth="1" style="10" min="9472" max="9472"/>
    <col width="53.5703125" customWidth="1" style="10" min="9473" max="9473"/>
    <col width="11.42578125" customWidth="1" style="10" min="9474" max="9474"/>
    <col width="12.140625" customWidth="1" style="10" min="9475" max="9475"/>
    <col width="21.28515625" customWidth="1" style="10" min="9476" max="9476"/>
    <col width="11.5703125" customWidth="1" style="10" min="9477" max="9477"/>
    <col width="9.140625" customWidth="1" style="10" min="9478" max="9478"/>
    <col width="5.140625" customWidth="1" style="10" min="9479" max="9479"/>
    <col width="12" customWidth="1" style="10" min="9480" max="9480"/>
    <col width="9.140625" customWidth="1" style="10" min="9481" max="9481"/>
    <col width="1.7109375" customWidth="1" style="10" min="9482" max="9482"/>
    <col width="14.140625" customWidth="1" style="10" min="9483" max="9483"/>
    <col width="9.140625" customWidth="1" style="10" min="9484" max="9727"/>
    <col width="12.28515625" customWidth="1" style="10" min="9728" max="9728"/>
    <col width="53.5703125" customWidth="1" style="10" min="9729" max="9729"/>
    <col width="11.42578125" customWidth="1" style="10" min="9730" max="9730"/>
    <col width="12.140625" customWidth="1" style="10" min="9731" max="9731"/>
    <col width="21.28515625" customWidth="1" style="10" min="9732" max="9732"/>
    <col width="11.5703125" customWidth="1" style="10" min="9733" max="9733"/>
    <col width="9.140625" customWidth="1" style="10" min="9734" max="9734"/>
    <col width="5.140625" customWidth="1" style="10" min="9735" max="9735"/>
    <col width="12" customWidth="1" style="10" min="9736" max="9736"/>
    <col width="9.140625" customWidth="1" style="10" min="9737" max="9737"/>
    <col width="1.7109375" customWidth="1" style="10" min="9738" max="9738"/>
    <col width="14.140625" customWidth="1" style="10" min="9739" max="9739"/>
    <col width="9.140625" customWidth="1" style="10" min="9740" max="9983"/>
    <col width="12.28515625" customWidth="1" style="10" min="9984" max="9984"/>
    <col width="53.5703125" customWidth="1" style="10" min="9985" max="9985"/>
    <col width="11.42578125" customWidth="1" style="10" min="9986" max="9986"/>
    <col width="12.140625" customWidth="1" style="10" min="9987" max="9987"/>
    <col width="21.28515625" customWidth="1" style="10" min="9988" max="9988"/>
    <col width="11.5703125" customWidth="1" style="10" min="9989" max="9989"/>
    <col width="9.140625" customWidth="1" style="10" min="9990" max="9990"/>
    <col width="5.140625" customWidth="1" style="10" min="9991" max="9991"/>
    <col width="12" customWidth="1" style="10" min="9992" max="9992"/>
    <col width="9.140625" customWidth="1" style="10" min="9993" max="9993"/>
    <col width="1.7109375" customWidth="1" style="10" min="9994" max="9994"/>
    <col width="14.140625" customWidth="1" style="10" min="9995" max="9995"/>
    <col width="9.140625" customWidth="1" style="10" min="9996" max="10239"/>
    <col width="12.28515625" customWidth="1" style="10" min="10240" max="10240"/>
    <col width="53.5703125" customWidth="1" style="10" min="10241" max="10241"/>
    <col width="11.42578125" customWidth="1" style="10" min="10242" max="10242"/>
    <col width="12.140625" customWidth="1" style="10" min="10243" max="10243"/>
    <col width="21.28515625" customWidth="1" style="10" min="10244" max="10244"/>
    <col width="11.5703125" customWidth="1" style="10" min="10245" max="10245"/>
    <col width="9.140625" customWidth="1" style="10" min="10246" max="10246"/>
    <col width="5.140625" customWidth="1" style="10" min="10247" max="10247"/>
    <col width="12" customWidth="1" style="10" min="10248" max="10248"/>
    <col width="9.140625" customWidth="1" style="10" min="10249" max="10249"/>
    <col width="1.7109375" customWidth="1" style="10" min="10250" max="10250"/>
    <col width="14.140625" customWidth="1" style="10" min="10251" max="10251"/>
    <col width="9.140625" customWidth="1" style="10" min="10252" max="10495"/>
    <col width="12.28515625" customWidth="1" style="10" min="10496" max="10496"/>
    <col width="53.5703125" customWidth="1" style="10" min="10497" max="10497"/>
    <col width="11.42578125" customWidth="1" style="10" min="10498" max="10498"/>
    <col width="12.140625" customWidth="1" style="10" min="10499" max="10499"/>
    <col width="21.28515625" customWidth="1" style="10" min="10500" max="10500"/>
    <col width="11.5703125" customWidth="1" style="10" min="10501" max="10501"/>
    <col width="9.140625" customWidth="1" style="10" min="10502" max="10502"/>
    <col width="5.140625" customWidth="1" style="10" min="10503" max="10503"/>
    <col width="12" customWidth="1" style="10" min="10504" max="10504"/>
    <col width="9.140625" customWidth="1" style="10" min="10505" max="10505"/>
    <col width="1.7109375" customWidth="1" style="10" min="10506" max="10506"/>
    <col width="14.140625" customWidth="1" style="10" min="10507" max="10507"/>
    <col width="9.140625" customWidth="1" style="10" min="10508" max="10751"/>
    <col width="12.28515625" customWidth="1" style="10" min="10752" max="10752"/>
    <col width="53.5703125" customWidth="1" style="10" min="10753" max="10753"/>
    <col width="11.42578125" customWidth="1" style="10" min="10754" max="10754"/>
    <col width="12.140625" customWidth="1" style="10" min="10755" max="10755"/>
    <col width="21.28515625" customWidth="1" style="10" min="10756" max="10756"/>
    <col width="11.5703125" customWidth="1" style="10" min="10757" max="10757"/>
    <col width="9.140625" customWidth="1" style="10" min="10758" max="10758"/>
    <col width="5.140625" customWidth="1" style="10" min="10759" max="10759"/>
    <col width="12" customWidth="1" style="10" min="10760" max="10760"/>
    <col width="9.140625" customWidth="1" style="10" min="10761" max="10761"/>
    <col width="1.7109375" customWidth="1" style="10" min="10762" max="10762"/>
    <col width="14.140625" customWidth="1" style="10" min="10763" max="10763"/>
    <col width="9.140625" customWidth="1" style="10" min="10764" max="11007"/>
    <col width="12.28515625" customWidth="1" style="10" min="11008" max="11008"/>
    <col width="53.5703125" customWidth="1" style="10" min="11009" max="11009"/>
    <col width="11.42578125" customWidth="1" style="10" min="11010" max="11010"/>
    <col width="12.140625" customWidth="1" style="10" min="11011" max="11011"/>
    <col width="21.28515625" customWidth="1" style="10" min="11012" max="11012"/>
    <col width="11.5703125" customWidth="1" style="10" min="11013" max="11013"/>
    <col width="9.140625" customWidth="1" style="10" min="11014" max="11014"/>
    <col width="5.140625" customWidth="1" style="10" min="11015" max="11015"/>
    <col width="12" customWidth="1" style="10" min="11016" max="11016"/>
    <col width="9.140625" customWidth="1" style="10" min="11017" max="11017"/>
    <col width="1.7109375" customWidth="1" style="10" min="11018" max="11018"/>
    <col width="14.140625" customWidth="1" style="10" min="11019" max="11019"/>
    <col width="9.140625" customWidth="1" style="10" min="11020" max="11263"/>
    <col width="12.28515625" customWidth="1" style="10" min="11264" max="11264"/>
    <col width="53.5703125" customWidth="1" style="10" min="11265" max="11265"/>
    <col width="11.42578125" customWidth="1" style="10" min="11266" max="11266"/>
    <col width="12.140625" customWidth="1" style="10" min="11267" max="11267"/>
    <col width="21.28515625" customWidth="1" style="10" min="11268" max="11268"/>
    <col width="11.5703125" customWidth="1" style="10" min="11269" max="11269"/>
    <col width="9.140625" customWidth="1" style="10" min="11270" max="11270"/>
    <col width="5.140625" customWidth="1" style="10" min="11271" max="11271"/>
    <col width="12" customWidth="1" style="10" min="11272" max="11272"/>
    <col width="9.140625" customWidth="1" style="10" min="11273" max="11273"/>
    <col width="1.7109375" customWidth="1" style="10" min="11274" max="11274"/>
    <col width="14.140625" customWidth="1" style="10" min="11275" max="11275"/>
    <col width="9.140625" customWidth="1" style="10" min="11276" max="11519"/>
    <col width="12.28515625" customWidth="1" style="10" min="11520" max="11520"/>
    <col width="53.5703125" customWidth="1" style="10" min="11521" max="11521"/>
    <col width="11.42578125" customWidth="1" style="10" min="11522" max="11522"/>
    <col width="12.140625" customWidth="1" style="10" min="11523" max="11523"/>
    <col width="21.28515625" customWidth="1" style="10" min="11524" max="11524"/>
    <col width="11.5703125" customWidth="1" style="10" min="11525" max="11525"/>
    <col width="9.140625" customWidth="1" style="10" min="11526" max="11526"/>
    <col width="5.140625" customWidth="1" style="10" min="11527" max="11527"/>
    <col width="12" customWidth="1" style="10" min="11528" max="11528"/>
    <col width="9.140625" customWidth="1" style="10" min="11529" max="11529"/>
    <col width="1.7109375" customWidth="1" style="10" min="11530" max="11530"/>
    <col width="14.140625" customWidth="1" style="10" min="11531" max="11531"/>
    <col width="9.140625" customWidth="1" style="10" min="11532" max="11775"/>
    <col width="12.28515625" customWidth="1" style="10" min="11776" max="11776"/>
    <col width="53.5703125" customWidth="1" style="10" min="11777" max="11777"/>
    <col width="11.42578125" customWidth="1" style="10" min="11778" max="11778"/>
    <col width="12.140625" customWidth="1" style="10" min="11779" max="11779"/>
    <col width="21.28515625" customWidth="1" style="10" min="11780" max="11780"/>
    <col width="11.5703125" customWidth="1" style="10" min="11781" max="11781"/>
    <col width="9.140625" customWidth="1" style="10" min="11782" max="11782"/>
    <col width="5.140625" customWidth="1" style="10" min="11783" max="11783"/>
    <col width="12" customWidth="1" style="10" min="11784" max="11784"/>
    <col width="9.140625" customWidth="1" style="10" min="11785" max="11785"/>
    <col width="1.7109375" customWidth="1" style="10" min="11786" max="11786"/>
    <col width="14.140625" customWidth="1" style="10" min="11787" max="11787"/>
    <col width="9.140625" customWidth="1" style="10" min="11788" max="12031"/>
    <col width="12.28515625" customWidth="1" style="10" min="12032" max="12032"/>
    <col width="53.5703125" customWidth="1" style="10" min="12033" max="12033"/>
    <col width="11.42578125" customWidth="1" style="10" min="12034" max="12034"/>
    <col width="12.140625" customWidth="1" style="10" min="12035" max="12035"/>
    <col width="21.28515625" customWidth="1" style="10" min="12036" max="12036"/>
    <col width="11.5703125" customWidth="1" style="10" min="12037" max="12037"/>
    <col width="9.140625" customWidth="1" style="10" min="12038" max="12038"/>
    <col width="5.140625" customWidth="1" style="10" min="12039" max="12039"/>
    <col width="12" customWidth="1" style="10" min="12040" max="12040"/>
    <col width="9.140625" customWidth="1" style="10" min="12041" max="12041"/>
    <col width="1.7109375" customWidth="1" style="10" min="12042" max="12042"/>
    <col width="14.140625" customWidth="1" style="10" min="12043" max="12043"/>
    <col width="9.140625" customWidth="1" style="10" min="12044" max="12287"/>
    <col width="12.28515625" customWidth="1" style="10" min="12288" max="12288"/>
    <col width="53.5703125" customWidth="1" style="10" min="12289" max="12289"/>
    <col width="11.42578125" customWidth="1" style="10" min="12290" max="12290"/>
    <col width="12.140625" customWidth="1" style="10" min="12291" max="12291"/>
    <col width="21.28515625" customWidth="1" style="10" min="12292" max="12292"/>
    <col width="11.5703125" customWidth="1" style="10" min="12293" max="12293"/>
    <col width="9.140625" customWidth="1" style="10" min="12294" max="12294"/>
    <col width="5.140625" customWidth="1" style="10" min="12295" max="12295"/>
    <col width="12" customWidth="1" style="10" min="12296" max="12296"/>
    <col width="9.140625" customWidth="1" style="10" min="12297" max="12297"/>
    <col width="1.7109375" customWidth="1" style="10" min="12298" max="12298"/>
    <col width="14.140625" customWidth="1" style="10" min="12299" max="12299"/>
    <col width="9.140625" customWidth="1" style="10" min="12300" max="12543"/>
    <col width="12.28515625" customWidth="1" style="10" min="12544" max="12544"/>
    <col width="53.5703125" customWidth="1" style="10" min="12545" max="12545"/>
    <col width="11.42578125" customWidth="1" style="10" min="12546" max="12546"/>
    <col width="12.140625" customWidth="1" style="10" min="12547" max="12547"/>
    <col width="21.28515625" customWidth="1" style="10" min="12548" max="12548"/>
    <col width="11.5703125" customWidth="1" style="10" min="12549" max="12549"/>
    <col width="9.140625" customWidth="1" style="10" min="12550" max="12550"/>
    <col width="5.140625" customWidth="1" style="10" min="12551" max="12551"/>
    <col width="12" customWidth="1" style="10" min="12552" max="12552"/>
    <col width="9.140625" customWidth="1" style="10" min="12553" max="12553"/>
    <col width="1.7109375" customWidth="1" style="10" min="12554" max="12554"/>
    <col width="14.140625" customWidth="1" style="10" min="12555" max="12555"/>
    <col width="9.140625" customWidth="1" style="10" min="12556" max="12799"/>
    <col width="12.28515625" customWidth="1" style="10" min="12800" max="12800"/>
    <col width="53.5703125" customWidth="1" style="10" min="12801" max="12801"/>
    <col width="11.42578125" customWidth="1" style="10" min="12802" max="12802"/>
    <col width="12.140625" customWidth="1" style="10" min="12803" max="12803"/>
    <col width="21.28515625" customWidth="1" style="10" min="12804" max="12804"/>
    <col width="11.5703125" customWidth="1" style="10" min="12805" max="12805"/>
    <col width="9.140625" customWidth="1" style="10" min="12806" max="12806"/>
    <col width="5.140625" customWidth="1" style="10" min="12807" max="12807"/>
    <col width="12" customWidth="1" style="10" min="12808" max="12808"/>
    <col width="9.140625" customWidth="1" style="10" min="12809" max="12809"/>
    <col width="1.7109375" customWidth="1" style="10" min="12810" max="12810"/>
    <col width="14.140625" customWidth="1" style="10" min="12811" max="12811"/>
    <col width="9.140625" customWidth="1" style="10" min="12812" max="13055"/>
    <col width="12.28515625" customWidth="1" style="10" min="13056" max="13056"/>
    <col width="53.5703125" customWidth="1" style="10" min="13057" max="13057"/>
    <col width="11.42578125" customWidth="1" style="10" min="13058" max="13058"/>
    <col width="12.140625" customWidth="1" style="10" min="13059" max="13059"/>
    <col width="21.28515625" customWidth="1" style="10" min="13060" max="13060"/>
    <col width="11.5703125" customWidth="1" style="10" min="13061" max="13061"/>
    <col width="9.140625" customWidth="1" style="10" min="13062" max="13062"/>
    <col width="5.140625" customWidth="1" style="10" min="13063" max="13063"/>
    <col width="12" customWidth="1" style="10" min="13064" max="13064"/>
    <col width="9.140625" customWidth="1" style="10" min="13065" max="13065"/>
    <col width="1.7109375" customWidth="1" style="10" min="13066" max="13066"/>
    <col width="14.140625" customWidth="1" style="10" min="13067" max="13067"/>
    <col width="9.140625" customWidth="1" style="10" min="13068" max="13311"/>
    <col width="12.28515625" customWidth="1" style="10" min="13312" max="13312"/>
    <col width="53.5703125" customWidth="1" style="10" min="13313" max="13313"/>
    <col width="11.42578125" customWidth="1" style="10" min="13314" max="13314"/>
    <col width="12.140625" customWidth="1" style="10" min="13315" max="13315"/>
    <col width="21.28515625" customWidth="1" style="10" min="13316" max="13316"/>
    <col width="11.5703125" customWidth="1" style="10" min="13317" max="13317"/>
    <col width="9.140625" customWidth="1" style="10" min="13318" max="13318"/>
    <col width="5.140625" customWidth="1" style="10" min="13319" max="13319"/>
    <col width="12" customWidth="1" style="10" min="13320" max="13320"/>
    <col width="9.140625" customWidth="1" style="10" min="13321" max="13321"/>
    <col width="1.7109375" customWidth="1" style="10" min="13322" max="13322"/>
    <col width="14.140625" customWidth="1" style="10" min="13323" max="13323"/>
    <col width="9.140625" customWidth="1" style="10" min="13324" max="13567"/>
    <col width="12.28515625" customWidth="1" style="10" min="13568" max="13568"/>
    <col width="53.5703125" customWidth="1" style="10" min="13569" max="13569"/>
    <col width="11.42578125" customWidth="1" style="10" min="13570" max="13570"/>
    <col width="12.140625" customWidth="1" style="10" min="13571" max="13571"/>
    <col width="21.28515625" customWidth="1" style="10" min="13572" max="13572"/>
    <col width="11.5703125" customWidth="1" style="10" min="13573" max="13573"/>
    <col width="9.140625" customWidth="1" style="10" min="13574" max="13574"/>
    <col width="5.140625" customWidth="1" style="10" min="13575" max="13575"/>
    <col width="12" customWidth="1" style="10" min="13576" max="13576"/>
    <col width="9.140625" customWidth="1" style="10" min="13577" max="13577"/>
    <col width="1.7109375" customWidth="1" style="10" min="13578" max="13578"/>
    <col width="14.140625" customWidth="1" style="10" min="13579" max="13579"/>
    <col width="9.140625" customWidth="1" style="10" min="13580" max="13823"/>
    <col width="12.28515625" customWidth="1" style="10" min="13824" max="13824"/>
    <col width="53.5703125" customWidth="1" style="10" min="13825" max="13825"/>
    <col width="11.42578125" customWidth="1" style="10" min="13826" max="13826"/>
    <col width="12.140625" customWidth="1" style="10" min="13827" max="13827"/>
    <col width="21.28515625" customWidth="1" style="10" min="13828" max="13828"/>
    <col width="11.5703125" customWidth="1" style="10" min="13829" max="13829"/>
    <col width="9.140625" customWidth="1" style="10" min="13830" max="13830"/>
    <col width="5.140625" customWidth="1" style="10" min="13831" max="13831"/>
    <col width="12" customWidth="1" style="10" min="13832" max="13832"/>
    <col width="9.140625" customWidth="1" style="10" min="13833" max="13833"/>
    <col width="1.7109375" customWidth="1" style="10" min="13834" max="13834"/>
    <col width="14.140625" customWidth="1" style="10" min="13835" max="13835"/>
    <col width="9.140625" customWidth="1" style="10" min="13836" max="14079"/>
    <col width="12.28515625" customWidth="1" style="10" min="14080" max="14080"/>
    <col width="53.5703125" customWidth="1" style="10" min="14081" max="14081"/>
    <col width="11.42578125" customWidth="1" style="10" min="14082" max="14082"/>
    <col width="12.140625" customWidth="1" style="10" min="14083" max="14083"/>
    <col width="21.28515625" customWidth="1" style="10" min="14084" max="14084"/>
    <col width="11.5703125" customWidth="1" style="10" min="14085" max="14085"/>
    <col width="9.140625" customWidth="1" style="10" min="14086" max="14086"/>
    <col width="5.140625" customWidth="1" style="10" min="14087" max="14087"/>
    <col width="12" customWidth="1" style="10" min="14088" max="14088"/>
    <col width="9.140625" customWidth="1" style="10" min="14089" max="14089"/>
    <col width="1.7109375" customWidth="1" style="10" min="14090" max="14090"/>
    <col width="14.140625" customWidth="1" style="10" min="14091" max="14091"/>
    <col width="9.140625" customWidth="1" style="10" min="14092" max="14335"/>
    <col width="12.28515625" customWidth="1" style="10" min="14336" max="14336"/>
    <col width="53.5703125" customWidth="1" style="10" min="14337" max="14337"/>
    <col width="11.42578125" customWidth="1" style="10" min="14338" max="14338"/>
    <col width="12.140625" customWidth="1" style="10" min="14339" max="14339"/>
    <col width="21.28515625" customWidth="1" style="10" min="14340" max="14340"/>
    <col width="11.5703125" customWidth="1" style="10" min="14341" max="14341"/>
    <col width="9.140625" customWidth="1" style="10" min="14342" max="14342"/>
    <col width="5.140625" customWidth="1" style="10" min="14343" max="14343"/>
    <col width="12" customWidth="1" style="10" min="14344" max="14344"/>
    <col width="9.140625" customWidth="1" style="10" min="14345" max="14345"/>
    <col width="1.7109375" customWidth="1" style="10" min="14346" max="14346"/>
    <col width="14.140625" customWidth="1" style="10" min="14347" max="14347"/>
    <col width="9.140625" customWidth="1" style="10" min="14348" max="14591"/>
    <col width="12.28515625" customWidth="1" style="10" min="14592" max="14592"/>
    <col width="53.5703125" customWidth="1" style="10" min="14593" max="14593"/>
    <col width="11.42578125" customWidth="1" style="10" min="14594" max="14594"/>
    <col width="12.140625" customWidth="1" style="10" min="14595" max="14595"/>
    <col width="21.28515625" customWidth="1" style="10" min="14596" max="14596"/>
    <col width="11.5703125" customWidth="1" style="10" min="14597" max="14597"/>
    <col width="9.140625" customWidth="1" style="10" min="14598" max="14598"/>
    <col width="5.140625" customWidth="1" style="10" min="14599" max="14599"/>
    <col width="12" customWidth="1" style="10" min="14600" max="14600"/>
    <col width="9.140625" customWidth="1" style="10" min="14601" max="14601"/>
    <col width="1.7109375" customWidth="1" style="10" min="14602" max="14602"/>
    <col width="14.140625" customWidth="1" style="10" min="14603" max="14603"/>
    <col width="9.140625" customWidth="1" style="10" min="14604" max="14847"/>
    <col width="12.28515625" customWidth="1" style="10" min="14848" max="14848"/>
    <col width="53.5703125" customWidth="1" style="10" min="14849" max="14849"/>
    <col width="11.42578125" customWidth="1" style="10" min="14850" max="14850"/>
    <col width="12.140625" customWidth="1" style="10" min="14851" max="14851"/>
    <col width="21.28515625" customWidth="1" style="10" min="14852" max="14852"/>
    <col width="11.5703125" customWidth="1" style="10" min="14853" max="14853"/>
    <col width="9.140625" customWidth="1" style="10" min="14854" max="14854"/>
    <col width="5.140625" customWidth="1" style="10" min="14855" max="14855"/>
    <col width="12" customWidth="1" style="10" min="14856" max="14856"/>
    <col width="9.140625" customWidth="1" style="10" min="14857" max="14857"/>
    <col width="1.7109375" customWidth="1" style="10" min="14858" max="14858"/>
    <col width="14.140625" customWidth="1" style="10" min="14859" max="14859"/>
    <col width="9.140625" customWidth="1" style="10" min="14860" max="15103"/>
    <col width="12.28515625" customWidth="1" style="10" min="15104" max="15104"/>
    <col width="53.5703125" customWidth="1" style="10" min="15105" max="15105"/>
    <col width="11.42578125" customWidth="1" style="10" min="15106" max="15106"/>
    <col width="12.140625" customWidth="1" style="10" min="15107" max="15107"/>
    <col width="21.28515625" customWidth="1" style="10" min="15108" max="15108"/>
    <col width="11.5703125" customWidth="1" style="10" min="15109" max="15109"/>
    <col width="9.140625" customWidth="1" style="10" min="15110" max="15110"/>
    <col width="5.140625" customWidth="1" style="10" min="15111" max="15111"/>
    <col width="12" customWidth="1" style="10" min="15112" max="15112"/>
    <col width="9.140625" customWidth="1" style="10" min="15113" max="15113"/>
    <col width="1.7109375" customWidth="1" style="10" min="15114" max="15114"/>
    <col width="14.140625" customWidth="1" style="10" min="15115" max="15115"/>
    <col width="9.140625" customWidth="1" style="10" min="15116" max="15359"/>
    <col width="12.28515625" customWidth="1" style="10" min="15360" max="15360"/>
    <col width="53.5703125" customWidth="1" style="10" min="15361" max="15361"/>
    <col width="11.42578125" customWidth="1" style="10" min="15362" max="15362"/>
    <col width="12.140625" customWidth="1" style="10" min="15363" max="15363"/>
    <col width="21.28515625" customWidth="1" style="10" min="15364" max="15364"/>
    <col width="11.5703125" customWidth="1" style="10" min="15365" max="15365"/>
    <col width="9.140625" customWidth="1" style="10" min="15366" max="15366"/>
    <col width="5.140625" customWidth="1" style="10" min="15367" max="15367"/>
    <col width="12" customWidth="1" style="10" min="15368" max="15368"/>
    <col width="9.140625" customWidth="1" style="10" min="15369" max="15369"/>
    <col width="1.7109375" customWidth="1" style="10" min="15370" max="15370"/>
    <col width="14.140625" customWidth="1" style="10" min="15371" max="15371"/>
    <col width="9.140625" customWidth="1" style="10" min="15372" max="15615"/>
    <col width="12.28515625" customWidth="1" style="10" min="15616" max="15616"/>
    <col width="53.5703125" customWidth="1" style="10" min="15617" max="15617"/>
    <col width="11.42578125" customWidth="1" style="10" min="15618" max="15618"/>
    <col width="12.140625" customWidth="1" style="10" min="15619" max="15619"/>
    <col width="21.28515625" customWidth="1" style="10" min="15620" max="15620"/>
    <col width="11.5703125" customWidth="1" style="10" min="15621" max="15621"/>
    <col width="9.140625" customWidth="1" style="10" min="15622" max="15622"/>
    <col width="5.140625" customWidth="1" style="10" min="15623" max="15623"/>
    <col width="12" customWidth="1" style="10" min="15624" max="15624"/>
    <col width="9.140625" customWidth="1" style="10" min="15625" max="15625"/>
    <col width="1.7109375" customWidth="1" style="10" min="15626" max="15626"/>
    <col width="14.140625" customWidth="1" style="10" min="15627" max="15627"/>
    <col width="9.140625" customWidth="1" style="10" min="15628" max="15871"/>
    <col width="12.28515625" customWidth="1" style="10" min="15872" max="15872"/>
    <col width="53.5703125" customWidth="1" style="10" min="15873" max="15873"/>
    <col width="11.42578125" customWidth="1" style="10" min="15874" max="15874"/>
    <col width="12.140625" customWidth="1" style="10" min="15875" max="15875"/>
    <col width="21.28515625" customWidth="1" style="10" min="15876" max="15876"/>
    <col width="11.5703125" customWidth="1" style="10" min="15877" max="15877"/>
    <col width="9.140625" customWidth="1" style="10" min="15878" max="15878"/>
    <col width="5.140625" customWidth="1" style="10" min="15879" max="15879"/>
    <col width="12" customWidth="1" style="10" min="15880" max="15880"/>
    <col width="9.140625" customWidth="1" style="10" min="15881" max="15881"/>
    <col width="1.7109375" customWidth="1" style="10" min="15882" max="15882"/>
    <col width="14.140625" customWidth="1" style="10" min="15883" max="15883"/>
    <col width="9.140625" customWidth="1" style="10" min="15884" max="16127"/>
    <col width="12.28515625" customWidth="1" style="10" min="16128" max="16128"/>
    <col width="53.5703125" customWidth="1" style="10" min="16129" max="16129"/>
    <col width="11.42578125" customWidth="1" style="10" min="16130" max="16130"/>
    <col width="12.140625" customWidth="1" style="10" min="16131" max="16131"/>
    <col width="21.28515625" customWidth="1" style="10" min="16132" max="16132"/>
    <col width="11.5703125" customWidth="1" style="10" min="16133" max="16133"/>
    <col width="9.140625" customWidth="1" style="10" min="16134" max="16134"/>
    <col width="5.140625" customWidth="1" style="10" min="16135" max="16135"/>
    <col width="12" customWidth="1" style="10" min="16136" max="16136"/>
    <col width="9.140625" customWidth="1" style="10" min="16137" max="16137"/>
    <col width="1.7109375" customWidth="1" style="10" min="16138" max="16138"/>
    <col width="14.140625" customWidth="1" style="10" min="16139" max="16139"/>
    <col width="9.140625" customWidth="1" style="10" min="16140" max="16384"/>
  </cols>
  <sheetData>
    <row r="1" ht="58.5" customHeight="1">
      <c r="A1" s="15" t="n"/>
      <c r="B1" s="15" t="n"/>
      <c r="C1" s="15" t="n"/>
      <c r="D1" s="15" t="n"/>
      <c r="E1" s="15" t="n"/>
      <c r="F1" s="15" t="n"/>
      <c r="G1" s="15" t="n"/>
      <c r="H1" s="15" t="n"/>
      <c r="I1" s="15" t="n"/>
      <c r="J1" s="15" t="n"/>
      <c r="K1" s="44" t="n"/>
      <c r="L1" s="44" t="n"/>
    </row>
    <row r="2" ht="15" customHeight="1"/>
    <row r="3" ht="26.25" customHeight="1" thickBot="1">
      <c r="A3" s="5" t="inlineStr">
        <is>
          <t>Site</t>
        </is>
      </c>
      <c r="B3" s="34">
        <f>'Validator Notes'!B4</f>
        <v/>
      </c>
      <c r="J3" s="35" t="n"/>
      <c r="K3" s="35" t="n"/>
      <c r="L3" s="35" t="n"/>
    </row>
    <row r="4" ht="24.75" customHeight="1" thickBot="1">
      <c r="A4" s="5" t="inlineStr">
        <is>
          <t>Month/Year</t>
        </is>
      </c>
      <c r="B4" s="36">
        <f>'Validator Notes'!B5</f>
        <v/>
      </c>
    </row>
    <row r="5" ht="25.5" customHeight="1" thickBot="1">
      <c r="A5" s="5" t="inlineStr">
        <is>
          <t>Validator</t>
        </is>
      </c>
      <c r="B5" s="36">
        <f>'Validator Notes'!B6</f>
        <v/>
      </c>
    </row>
    <row r="6" ht="15" customHeight="1" thickBot="1"/>
    <row r="7" ht="15" customHeight="1">
      <c r="A7" s="71" t="n"/>
      <c r="B7" s="72" t="n"/>
      <c r="C7" s="312" t="inlineStr">
        <is>
          <t>Batch</t>
        </is>
      </c>
      <c r="D7" s="359" t="n"/>
      <c r="E7" s="312" t="inlineStr">
        <is>
          <t>single file rpo</t>
        </is>
      </c>
      <c r="F7" s="312" t="inlineStr">
        <is>
          <t>Data Range</t>
        </is>
      </c>
      <c r="G7" s="360" t="n"/>
      <c r="H7" s="360" t="n"/>
      <c r="I7" s="360" t="n"/>
      <c r="J7" s="359" t="n"/>
      <c r="K7" s="312" t="n"/>
      <c r="L7" s="74" t="inlineStr">
        <is>
          <t>Date</t>
        </is>
      </c>
    </row>
    <row r="8" ht="15" customHeight="1">
      <c r="A8" s="98" t="inlineStr">
        <is>
          <t>Column</t>
        </is>
      </c>
      <c r="B8" s="54" t="inlineStr">
        <is>
          <t>Corrections Made</t>
        </is>
      </c>
      <c r="C8" s="75" t="inlineStr">
        <is>
          <t>Sequence</t>
        </is>
      </c>
      <c r="D8" s="75" t="inlineStr">
        <is>
          <t>method</t>
        </is>
      </c>
      <c r="E8" s="75" t="inlineStr">
        <is>
          <t>data file</t>
        </is>
      </c>
      <c r="F8" s="75" t="inlineStr">
        <is>
          <t>Date</t>
        </is>
      </c>
      <c r="G8" s="75" t="inlineStr">
        <is>
          <t>Hour</t>
        </is>
      </c>
      <c r="H8" s="76" t="inlineStr">
        <is>
          <t>-</t>
        </is>
      </c>
      <c r="I8" s="75" t="inlineStr">
        <is>
          <t>Date</t>
        </is>
      </c>
      <c r="J8" s="75" t="inlineStr">
        <is>
          <t>Hour</t>
        </is>
      </c>
      <c r="K8" s="75" t="n"/>
      <c r="L8" s="77" t="inlineStr">
        <is>
          <t>RPO</t>
        </is>
      </c>
    </row>
    <row r="9" ht="33" customHeight="1">
      <c r="A9" s="50" t="n"/>
      <c r="B9" s="48" t="n"/>
      <c r="C9" s="49" t="n"/>
      <c r="D9" s="49" t="n"/>
      <c r="E9" s="48" t="n"/>
      <c r="F9" s="51" t="n"/>
      <c r="G9" s="52" t="n"/>
      <c r="H9" s="53" t="n"/>
      <c r="I9" s="51" t="n"/>
      <c r="J9" s="52" t="n"/>
      <c r="K9" s="53" t="n"/>
      <c r="L9" s="51" t="n"/>
    </row>
    <row r="10" ht="33" customHeight="1">
      <c r="A10" s="50" t="n"/>
      <c r="B10" s="48" t="n"/>
      <c r="C10" s="49" t="n"/>
      <c r="D10" s="49" t="n"/>
      <c r="E10" s="48" t="n"/>
      <c r="F10" s="51" t="n"/>
      <c r="G10" s="52" t="n"/>
      <c r="H10" s="53" t="n"/>
      <c r="I10" s="51" t="n"/>
      <c r="J10" s="52" t="n"/>
      <c r="K10" s="53" t="n"/>
      <c r="L10" s="51" t="n"/>
    </row>
    <row r="11" ht="33" customHeight="1">
      <c r="A11" s="50" t="n"/>
      <c r="B11" s="48" t="n"/>
      <c r="C11" s="49" t="n"/>
      <c r="D11" s="49" t="n"/>
      <c r="E11" s="48" t="n"/>
      <c r="F11" s="51" t="n"/>
      <c r="G11" s="52" t="n"/>
      <c r="H11" s="53" t="n"/>
      <c r="I11" s="51" t="n"/>
      <c r="J11" s="52" t="n"/>
      <c r="K11" s="53" t="n"/>
      <c r="L11" s="51" t="n"/>
    </row>
    <row r="12" ht="33" customHeight="1">
      <c r="A12" s="50" t="n"/>
      <c r="B12" s="48" t="n"/>
      <c r="C12" s="49" t="n"/>
      <c r="D12" s="49" t="n"/>
      <c r="E12" s="48" t="n"/>
      <c r="F12" s="51" t="n"/>
      <c r="G12" s="52" t="n"/>
      <c r="H12" s="53" t="n"/>
      <c r="I12" s="51" t="n"/>
      <c r="J12" s="52" t="n"/>
      <c r="K12" s="53" t="n"/>
      <c r="L12" s="51" t="n"/>
    </row>
    <row r="13" ht="33" customHeight="1">
      <c r="A13" s="50" t="n"/>
      <c r="B13" s="48" t="n"/>
      <c r="C13" s="49" t="n"/>
      <c r="D13" s="49" t="n"/>
      <c r="E13" s="48" t="n"/>
      <c r="F13" s="51" t="n"/>
      <c r="G13" s="52" t="n"/>
      <c r="H13" s="53" t="n"/>
      <c r="I13" s="51" t="n"/>
      <c r="J13" s="52" t="n"/>
      <c r="K13" s="53" t="n"/>
      <c r="L13" s="51" t="n"/>
    </row>
    <row r="14" ht="33" customHeight="1">
      <c r="A14" s="50" t="n"/>
      <c r="B14" s="48" t="n"/>
      <c r="C14" s="49" t="n"/>
      <c r="D14" s="49" t="n"/>
      <c r="E14" s="48" t="n"/>
      <c r="F14" s="51" t="n"/>
      <c r="G14" s="52" t="n"/>
      <c r="H14" s="53" t="n"/>
      <c r="I14" s="51" t="n"/>
      <c r="J14" s="52" t="n"/>
      <c r="K14" s="53" t="n"/>
      <c r="L14" s="51" t="n"/>
    </row>
    <row r="15" ht="33" customHeight="1">
      <c r="A15" s="50" t="n"/>
      <c r="B15" s="48" t="n"/>
      <c r="C15" s="49" t="n"/>
      <c r="D15" s="49" t="n"/>
      <c r="E15" s="48" t="n"/>
      <c r="F15" s="51" t="n"/>
      <c r="G15" s="52" t="n"/>
      <c r="H15" s="53" t="n"/>
      <c r="I15" s="51" t="n"/>
      <c r="J15" s="52" t="n"/>
      <c r="K15" s="53" t="n"/>
      <c r="L15" s="51" t="n"/>
    </row>
    <row r="16" ht="33" customHeight="1">
      <c r="A16" s="50" t="n"/>
      <c r="B16" s="48" t="n"/>
      <c r="C16" s="49" t="n"/>
      <c r="D16" s="49" t="n"/>
      <c r="E16" s="48" t="n"/>
      <c r="F16" s="51" t="n"/>
      <c r="G16" s="52" t="n"/>
      <c r="H16" s="53" t="n"/>
      <c r="I16" s="51" t="n"/>
      <c r="J16" s="52" t="n"/>
      <c r="K16" s="53" t="n"/>
      <c r="L16" s="51" t="n"/>
    </row>
    <row r="17" ht="33" customHeight="1">
      <c r="A17" s="50" t="n"/>
      <c r="B17" s="48" t="n"/>
      <c r="C17" s="49" t="n"/>
      <c r="D17" s="49" t="n"/>
      <c r="E17" s="48" t="n"/>
      <c r="F17" s="51" t="n"/>
      <c r="G17" s="52" t="n"/>
      <c r="H17" s="53" t="n"/>
      <c r="I17" s="51" t="n"/>
      <c r="J17" s="52" t="n"/>
      <c r="K17" s="53" t="n"/>
      <c r="L17" s="51" t="n"/>
    </row>
    <row r="18" ht="33" customHeight="1">
      <c r="A18" s="50" t="n"/>
      <c r="B18" s="48" t="n"/>
      <c r="C18" s="49" t="n"/>
      <c r="D18" s="49" t="n"/>
      <c r="E18" s="48" t="n"/>
      <c r="F18" s="51" t="n"/>
      <c r="G18" s="52" t="n"/>
      <c r="H18" s="53" t="n"/>
      <c r="I18" s="51" t="n"/>
      <c r="J18" s="52" t="n"/>
      <c r="K18" s="53" t="n"/>
      <c r="L18" s="51" t="n"/>
    </row>
    <row r="19" ht="33" customHeight="1">
      <c r="A19" s="50" t="n"/>
      <c r="B19" s="48" t="n"/>
      <c r="C19" s="49" t="n"/>
      <c r="D19" s="49" t="n"/>
      <c r="E19" s="48" t="n"/>
      <c r="F19" s="51" t="n"/>
      <c r="G19" s="143" t="n"/>
      <c r="H19" s="53" t="n"/>
      <c r="I19" s="51" t="n"/>
      <c r="J19" s="52" t="n"/>
      <c r="K19" s="53" t="n"/>
      <c r="L19" s="51" t="n"/>
    </row>
    <row r="20" ht="33" customHeight="1">
      <c r="A20" s="50" t="n"/>
      <c r="B20" s="48" t="n"/>
      <c r="C20" s="49" t="n"/>
      <c r="D20" s="49" t="n"/>
      <c r="E20" s="48" t="n"/>
      <c r="F20" s="51" t="n"/>
      <c r="G20" s="52" t="n"/>
      <c r="H20" s="53" t="n"/>
      <c r="I20" s="51" t="n"/>
      <c r="J20" s="52" t="n"/>
      <c r="K20" s="53" t="n"/>
      <c r="L20" s="51" t="n"/>
    </row>
    <row r="21" ht="33" customHeight="1">
      <c r="A21" s="50" t="n"/>
      <c r="B21" s="48" t="n"/>
      <c r="C21" s="49" t="n"/>
      <c r="D21" s="49" t="n"/>
      <c r="E21" s="48" t="n"/>
      <c r="F21" s="51" t="n"/>
      <c r="G21" s="143" t="n"/>
      <c r="H21" s="53" t="n"/>
      <c r="I21" s="51" t="n"/>
      <c r="J21" s="52" t="n"/>
      <c r="K21" s="53" t="n"/>
      <c r="L21" s="51" t="n"/>
    </row>
    <row r="22" ht="33" customHeight="1">
      <c r="A22" s="50" t="n"/>
      <c r="B22" s="48" t="n"/>
      <c r="C22" s="49" t="n"/>
      <c r="D22" s="49" t="n"/>
      <c r="E22" s="48" t="n"/>
      <c r="F22" s="51" t="n"/>
      <c r="G22" s="143" t="n"/>
      <c r="H22" s="53" t="n"/>
      <c r="I22" s="51" t="n"/>
      <c r="J22" s="52" t="n"/>
      <c r="K22" s="53" t="n"/>
      <c r="L22" s="51" t="n"/>
    </row>
    <row r="23" ht="33" customHeight="1">
      <c r="A23" s="50" t="n"/>
      <c r="B23" s="48" t="n"/>
      <c r="C23" s="49" t="n"/>
      <c r="D23" s="49" t="n"/>
      <c r="E23" s="48" t="n"/>
      <c r="F23" s="51" t="n"/>
      <c r="G23" s="143" t="n"/>
      <c r="H23" s="53" t="n"/>
      <c r="I23" s="51" t="n"/>
      <c r="J23" s="52" t="n"/>
      <c r="K23" s="53" t="n"/>
      <c r="L23" s="51" t="n"/>
    </row>
    <row r="24" ht="33" customHeight="1">
      <c r="A24" s="50" t="n"/>
      <c r="B24" s="48" t="n"/>
      <c r="C24" s="49" t="n"/>
      <c r="D24" s="49" t="n"/>
      <c r="E24" s="48" t="n"/>
      <c r="F24" s="51" t="n"/>
      <c r="G24" s="143" t="n"/>
      <c r="H24" s="53" t="n"/>
      <c r="I24" s="51" t="n"/>
      <c r="J24" s="52" t="n"/>
      <c r="K24" s="53" t="n"/>
      <c r="L24" s="51" t="n"/>
    </row>
    <row r="25" ht="33" customHeight="1">
      <c r="A25" s="50" t="n"/>
      <c r="B25" s="48" t="n"/>
      <c r="C25" s="49" t="n"/>
      <c r="D25" s="49" t="n"/>
      <c r="E25" s="48" t="n"/>
      <c r="F25" s="51" t="n"/>
      <c r="G25" s="143" t="n"/>
      <c r="H25" s="53" t="n"/>
      <c r="I25" s="51" t="n"/>
      <c r="J25" s="52" t="n"/>
      <c r="K25" s="53" t="n"/>
      <c r="L25" s="51" t="n"/>
    </row>
    <row r="26" ht="33" customHeight="1">
      <c r="A26" s="50" t="n"/>
      <c r="B26" s="48" t="n"/>
      <c r="C26" s="49" t="n"/>
      <c r="D26" s="49" t="n"/>
      <c r="E26" s="48" t="n"/>
      <c r="F26" s="51" t="n"/>
      <c r="G26" s="143" t="n"/>
      <c r="H26" s="53" t="n"/>
      <c r="I26" s="51" t="n"/>
      <c r="J26" s="52" t="n"/>
      <c r="K26" s="53" t="n"/>
      <c r="L26" s="51" t="n"/>
    </row>
    <row r="27" ht="33" customHeight="1">
      <c r="A27" s="50" t="n"/>
      <c r="B27" s="48" t="n"/>
      <c r="C27" s="49" t="n"/>
      <c r="D27" s="49" t="n"/>
      <c r="E27" s="48" t="n"/>
      <c r="F27" s="51" t="n"/>
      <c r="G27" s="143" t="n"/>
      <c r="H27" s="53" t="n"/>
      <c r="I27" s="51" t="n"/>
      <c r="J27" s="52" t="n"/>
      <c r="K27" s="53" t="n"/>
      <c r="L27" s="51" t="n"/>
    </row>
    <row r="28" ht="33" customHeight="1">
      <c r="A28" s="50" t="n"/>
      <c r="B28" s="48" t="n"/>
      <c r="C28" s="49" t="n"/>
      <c r="D28" s="49" t="n"/>
      <c r="E28" s="48" t="n"/>
      <c r="F28" s="51" t="n"/>
      <c r="G28" s="143" t="n"/>
      <c r="H28" s="53" t="n"/>
      <c r="I28" s="51" t="n"/>
      <c r="J28" s="52" t="n"/>
      <c r="K28" s="53" t="n"/>
      <c r="L28" s="51" t="n"/>
    </row>
    <row r="29" ht="33" customHeight="1">
      <c r="A29" s="50" t="n"/>
      <c r="B29" s="48" t="n"/>
      <c r="C29" s="49" t="n"/>
      <c r="D29" s="49" t="n"/>
      <c r="E29" s="48" t="n"/>
      <c r="F29" s="51" t="n"/>
      <c r="G29" s="143" t="n"/>
      <c r="H29" s="53" t="n"/>
      <c r="I29" s="51" t="n"/>
      <c r="J29" s="52" t="n"/>
      <c r="K29" s="53" t="n"/>
      <c r="L29" s="51" t="n"/>
    </row>
    <row r="30" ht="33" customHeight="1" thickBot="1">
      <c r="A30" s="50" t="n"/>
      <c r="B30" s="48" t="n"/>
      <c r="C30" s="49" t="n"/>
      <c r="D30" s="49" t="n"/>
      <c r="E30" s="48" t="n"/>
      <c r="F30" s="51" t="n"/>
      <c r="G30" s="143" t="n"/>
      <c r="H30" s="53" t="n"/>
      <c r="I30" s="51" t="n"/>
      <c r="J30" s="52" t="n"/>
      <c r="K30" s="53" t="n"/>
      <c r="L30" s="51" t="n"/>
    </row>
    <row r="31" ht="15" customHeight="1">
      <c r="A31" s="71" t="n"/>
      <c r="B31" s="72" t="n"/>
      <c r="C31" s="312" t="inlineStr">
        <is>
          <t>Batch</t>
        </is>
      </c>
      <c r="D31" s="359" t="n"/>
      <c r="E31" s="312" t="inlineStr">
        <is>
          <t>single file rpo</t>
        </is>
      </c>
      <c r="F31" s="312" t="inlineStr">
        <is>
          <t>Data Range</t>
        </is>
      </c>
      <c r="G31" s="360" t="n"/>
      <c r="H31" s="360" t="n"/>
      <c r="I31" s="360" t="n"/>
      <c r="J31" s="359" t="n"/>
      <c r="K31" s="312" t="n"/>
      <c r="L31" s="74" t="inlineStr">
        <is>
          <t>Date</t>
        </is>
      </c>
    </row>
    <row r="32" ht="15" customHeight="1">
      <c r="A32" s="98" t="inlineStr">
        <is>
          <t>Column</t>
        </is>
      </c>
      <c r="B32" s="54" t="inlineStr">
        <is>
          <t>Corrections Made</t>
        </is>
      </c>
      <c r="C32" s="75" t="inlineStr">
        <is>
          <t>Sequence</t>
        </is>
      </c>
      <c r="D32" s="75" t="inlineStr">
        <is>
          <t>method</t>
        </is>
      </c>
      <c r="E32" s="75" t="inlineStr">
        <is>
          <t>data file</t>
        </is>
      </c>
      <c r="F32" s="75" t="inlineStr">
        <is>
          <t>Date</t>
        </is>
      </c>
      <c r="G32" s="75" t="inlineStr">
        <is>
          <t>Hour</t>
        </is>
      </c>
      <c r="H32" s="76" t="inlineStr">
        <is>
          <t>-</t>
        </is>
      </c>
      <c r="I32" s="75" t="inlineStr">
        <is>
          <t>Date</t>
        </is>
      </c>
      <c r="J32" s="75" t="inlineStr">
        <is>
          <t>Hour</t>
        </is>
      </c>
      <c r="K32" s="75" t="n"/>
      <c r="L32" s="77" t="inlineStr">
        <is>
          <t>RPO</t>
        </is>
      </c>
    </row>
    <row r="33" ht="33" customHeight="1">
      <c r="A33" s="50" t="n"/>
      <c r="B33" s="48" t="n"/>
      <c r="C33" s="49" t="n"/>
      <c r="D33" s="49" t="n"/>
      <c r="E33" s="48" t="n"/>
      <c r="F33" s="51" t="n"/>
      <c r="G33" s="52" t="n"/>
      <c r="H33" s="53" t="n"/>
      <c r="I33" s="51" t="n"/>
      <c r="J33" s="52" t="n"/>
      <c r="K33" s="53" t="n"/>
      <c r="L33" s="51" t="n"/>
    </row>
    <row r="34" ht="33" customHeight="1">
      <c r="A34" s="50" t="n"/>
      <c r="B34" s="48" t="n"/>
      <c r="C34" s="49" t="n"/>
      <c r="D34" s="49" t="n"/>
      <c r="E34" s="48" t="n"/>
      <c r="F34" s="51" t="n"/>
      <c r="G34" s="143" t="n"/>
      <c r="H34" s="53" t="n"/>
      <c r="I34" s="51" t="n"/>
      <c r="J34" s="52" t="n"/>
      <c r="K34" s="53" t="n"/>
      <c r="L34" s="51" t="n"/>
    </row>
    <row r="35" ht="33" customHeight="1">
      <c r="A35" s="50" t="n"/>
      <c r="B35" s="48" t="n"/>
      <c r="C35" s="49" t="n"/>
      <c r="D35" s="49" t="n"/>
      <c r="E35" s="48" t="n"/>
      <c r="F35" s="51" t="n"/>
      <c r="G35" s="52" t="n"/>
      <c r="H35" s="53" t="n"/>
      <c r="I35" s="51" t="n"/>
      <c r="J35" s="52" t="n"/>
      <c r="K35" s="53" t="n"/>
      <c r="L35" s="51" t="n"/>
    </row>
    <row r="36" ht="33" customHeight="1">
      <c r="A36" s="50" t="n"/>
      <c r="B36" s="48" t="n"/>
      <c r="C36" s="49" t="n"/>
      <c r="D36" s="49" t="n"/>
      <c r="E36" s="48" t="n"/>
      <c r="F36" s="51" t="n"/>
      <c r="G36" s="52" t="n"/>
      <c r="H36" s="53" t="n"/>
      <c r="I36" s="51" t="n"/>
      <c r="J36" s="52" t="n"/>
      <c r="K36" s="53" t="n"/>
      <c r="L36" s="51" t="n"/>
    </row>
    <row r="37" ht="33" customHeight="1">
      <c r="A37" s="50" t="n"/>
      <c r="B37" s="48" t="n"/>
      <c r="C37" s="49" t="n"/>
      <c r="D37" s="49" t="n"/>
      <c r="E37" s="48" t="n"/>
      <c r="F37" s="51" t="n"/>
      <c r="G37" s="52" t="n"/>
      <c r="H37" s="53" t="n"/>
      <c r="I37" s="51" t="n"/>
      <c r="J37" s="52" t="n"/>
      <c r="K37" s="53" t="n"/>
      <c r="L37" s="51" t="n"/>
    </row>
    <row r="38" ht="33" customHeight="1">
      <c r="A38" s="50" t="n"/>
      <c r="B38" s="48" t="n"/>
      <c r="C38" s="49" t="n"/>
      <c r="D38" s="49" t="n"/>
      <c r="E38" s="48" t="n"/>
      <c r="F38" s="51" t="n"/>
      <c r="G38" s="52" t="n"/>
      <c r="H38" s="53" t="n"/>
      <c r="I38" s="51" t="n"/>
      <c r="J38" s="52" t="n"/>
      <c r="K38" s="53" t="n"/>
      <c r="L38" s="51" t="n"/>
    </row>
    <row r="39" ht="33" customHeight="1">
      <c r="A39" s="50" t="n"/>
      <c r="B39" s="48" t="n"/>
      <c r="C39" s="49" t="n"/>
      <c r="D39" s="49" t="n"/>
      <c r="E39" s="48" t="n"/>
      <c r="F39" s="51" t="n"/>
      <c r="G39" s="52" t="n"/>
      <c r="H39" s="53" t="n"/>
      <c r="I39" s="51" t="n"/>
      <c r="J39" s="52" t="n"/>
      <c r="K39" s="53" t="n"/>
      <c r="L39" s="51" t="n"/>
    </row>
    <row r="40" ht="33" customHeight="1">
      <c r="A40" s="50" t="n"/>
      <c r="B40" s="48" t="n"/>
      <c r="C40" s="49" t="n"/>
      <c r="D40" s="49" t="n"/>
      <c r="E40" s="48" t="n"/>
      <c r="F40" s="51" t="n"/>
      <c r="G40" s="52" t="n"/>
      <c r="H40" s="53" t="n"/>
      <c r="I40" s="51" t="n"/>
      <c r="J40" s="52" t="n"/>
      <c r="K40" s="53" t="n"/>
      <c r="L40" s="51" t="n"/>
    </row>
    <row r="41" ht="33" customHeight="1">
      <c r="A41" s="50" t="n"/>
      <c r="B41" s="48" t="n"/>
      <c r="C41" s="49" t="n"/>
      <c r="D41" s="49" t="n"/>
      <c r="E41" s="48" t="n"/>
      <c r="F41" s="51" t="n"/>
      <c r="G41" s="52" t="n"/>
      <c r="H41" s="53" t="n"/>
      <c r="I41" s="51" t="n"/>
      <c r="J41" s="52" t="n"/>
      <c r="K41" s="53" t="n"/>
      <c r="L41" s="51" t="n"/>
    </row>
    <row r="42" ht="33" customHeight="1">
      <c r="A42" s="50" t="n"/>
      <c r="B42" s="48" t="n"/>
      <c r="C42" s="49" t="n"/>
      <c r="D42" s="49" t="n"/>
      <c r="E42" s="48" t="n"/>
      <c r="F42" s="51" t="n"/>
      <c r="G42" s="52" t="n"/>
      <c r="H42" s="53" t="n"/>
      <c r="I42" s="51" t="n"/>
      <c r="J42" s="52" t="n"/>
      <c r="K42" s="53" t="n"/>
      <c r="L42" s="51" t="n"/>
    </row>
    <row r="43" ht="33" customHeight="1">
      <c r="A43" s="50" t="n"/>
      <c r="B43" s="48" t="n"/>
      <c r="C43" s="49" t="n"/>
      <c r="D43" s="49" t="n"/>
      <c r="E43" s="48" t="n"/>
      <c r="F43" s="51" t="n"/>
      <c r="G43" s="52" t="n"/>
      <c r="H43" s="53" t="n"/>
      <c r="I43" s="51" t="n"/>
      <c r="J43" s="52" t="n"/>
      <c r="K43" s="53" t="n"/>
      <c r="L43" s="51" t="n"/>
    </row>
    <row r="44" ht="33" customHeight="1">
      <c r="A44" s="50" t="n"/>
      <c r="B44" s="48" t="n"/>
      <c r="C44" s="49" t="n"/>
      <c r="D44" s="49" t="n"/>
      <c r="E44" s="48" t="n"/>
      <c r="F44" s="51" t="n"/>
      <c r="G44" s="52" t="n"/>
      <c r="H44" s="53" t="n"/>
      <c r="I44" s="51" t="n"/>
      <c r="J44" s="52" t="n"/>
      <c r="K44" s="53" t="n"/>
      <c r="L44" s="51" t="n"/>
    </row>
    <row r="45" ht="33" customHeight="1">
      <c r="A45" s="50" t="n"/>
      <c r="B45" s="48" t="n"/>
      <c r="C45" s="49" t="n"/>
      <c r="D45" s="49" t="n"/>
      <c r="E45" s="48" t="n"/>
      <c r="F45" s="51" t="n"/>
      <c r="G45" s="52" t="n"/>
      <c r="H45" s="53" t="n"/>
      <c r="I45" s="51" t="n"/>
      <c r="J45" s="52" t="n"/>
      <c r="K45" s="53" t="n"/>
      <c r="L45" s="51" t="n"/>
    </row>
    <row r="46" ht="33" customHeight="1">
      <c r="A46" s="50" t="n"/>
      <c r="B46" s="48" t="n"/>
      <c r="C46" s="49" t="n"/>
      <c r="D46" s="49" t="n"/>
      <c r="E46" s="48" t="n"/>
      <c r="F46" s="51" t="n"/>
      <c r="G46" s="52" t="n"/>
      <c r="H46" s="53" t="n"/>
      <c r="I46" s="51" t="n"/>
      <c r="J46" s="52" t="n"/>
      <c r="K46" s="53" t="n"/>
      <c r="L46" s="51" t="n"/>
    </row>
    <row r="47" ht="33" customHeight="1">
      <c r="A47" s="50" t="n"/>
      <c r="B47" s="48" t="n"/>
      <c r="C47" s="49" t="n"/>
      <c r="D47" s="49" t="n"/>
      <c r="E47" s="48" t="n"/>
      <c r="F47" s="51" t="n"/>
      <c r="G47" s="52" t="n"/>
      <c r="H47" s="53" t="n"/>
      <c r="I47" s="51" t="n"/>
      <c r="J47" s="52" t="n"/>
      <c r="K47" s="53" t="n"/>
      <c r="L47" s="51" t="n"/>
    </row>
    <row r="48" ht="33" customHeight="1">
      <c r="A48" s="50" t="n"/>
      <c r="B48" s="48" t="n"/>
      <c r="C48" s="49" t="n"/>
      <c r="D48" s="49" t="n"/>
      <c r="E48" s="48" t="n"/>
      <c r="F48" s="51" t="n"/>
      <c r="G48" s="52" t="n"/>
      <c r="H48" s="53" t="n"/>
      <c r="I48" s="51" t="n"/>
      <c r="J48" s="52" t="n"/>
      <c r="K48" s="53" t="n"/>
      <c r="L48" s="51" t="n"/>
    </row>
    <row r="49" ht="33" customHeight="1">
      <c r="A49" s="50" t="n"/>
      <c r="B49" s="48" t="n"/>
      <c r="C49" s="49" t="n"/>
      <c r="D49" s="49" t="n"/>
      <c r="E49" s="48" t="n"/>
      <c r="F49" s="51" t="n"/>
      <c r="G49" s="52" t="n"/>
      <c r="H49" s="53" t="n"/>
      <c r="I49" s="51" t="n"/>
      <c r="J49" s="52" t="n"/>
      <c r="K49" s="53" t="n"/>
      <c r="L49" s="51" t="n"/>
    </row>
    <row r="50" ht="33" customHeight="1">
      <c r="A50" s="50" t="n"/>
      <c r="B50" s="48" t="n"/>
      <c r="C50" s="49" t="n"/>
      <c r="D50" s="49" t="n"/>
      <c r="E50" s="48" t="n"/>
      <c r="F50" s="51" t="n"/>
      <c r="G50" s="52" t="n"/>
      <c r="H50" s="53" t="n"/>
      <c r="I50" s="51" t="n"/>
      <c r="J50" s="52" t="n"/>
      <c r="K50" s="53" t="n"/>
      <c r="L50" s="51" t="n"/>
    </row>
    <row r="51" ht="33" customHeight="1">
      <c r="A51" s="50" t="n"/>
      <c r="B51" s="48" t="n"/>
      <c r="C51" s="49" t="n"/>
      <c r="D51" s="49" t="n"/>
      <c r="E51" s="48" t="n"/>
      <c r="F51" s="51" t="n"/>
      <c r="G51" s="52" t="n"/>
      <c r="H51" s="53" t="n"/>
      <c r="I51" s="51" t="n"/>
      <c r="J51" s="52" t="n"/>
      <c r="K51" s="53" t="n"/>
      <c r="L51" s="51" t="n"/>
    </row>
    <row r="52" ht="33" customHeight="1">
      <c r="A52" s="50" t="n"/>
      <c r="B52" s="48" t="n"/>
      <c r="C52" s="49" t="n"/>
      <c r="D52" s="49" t="n"/>
      <c r="E52" s="48" t="n"/>
      <c r="F52" s="51" t="n"/>
      <c r="G52" s="52" t="n"/>
      <c r="H52" s="53" t="n"/>
      <c r="I52" s="51" t="n"/>
      <c r="J52" s="52" t="n"/>
      <c r="K52" s="53" t="n"/>
      <c r="L52" s="51" t="n"/>
    </row>
    <row r="53" ht="33" customHeight="1">
      <c r="A53" s="50" t="n"/>
      <c r="B53" s="48" t="n"/>
      <c r="C53" s="49" t="n"/>
      <c r="D53" s="49" t="n"/>
      <c r="E53" s="48" t="n"/>
      <c r="F53" s="51" t="n"/>
      <c r="G53" s="52" t="n"/>
      <c r="H53" s="53" t="n"/>
      <c r="I53" s="51" t="n"/>
      <c r="J53" s="52" t="n"/>
      <c r="K53" s="53" t="n"/>
      <c r="L53" s="51" t="n"/>
    </row>
    <row r="54" ht="33" customHeight="1">
      <c r="A54" s="50" t="n"/>
      <c r="B54" s="48" t="n"/>
      <c r="C54" s="49" t="n"/>
      <c r="D54" s="49" t="n"/>
      <c r="E54" s="48" t="n"/>
      <c r="F54" s="51" t="n"/>
      <c r="G54" s="52" t="n"/>
      <c r="H54" s="53" t="n"/>
      <c r="I54" s="51" t="n"/>
      <c r="J54" s="52" t="n"/>
      <c r="K54" s="53" t="n"/>
      <c r="L54" s="51" t="n"/>
    </row>
    <row r="55" ht="33" customHeight="1">
      <c r="A55" s="50" t="n"/>
      <c r="B55" s="48" t="n"/>
      <c r="C55" s="49" t="n"/>
      <c r="D55" s="49" t="n"/>
      <c r="E55" s="48" t="n"/>
      <c r="F55" s="51" t="n"/>
      <c r="G55" s="52" t="n"/>
      <c r="H55" s="53" t="n"/>
      <c r="I55" s="51" t="n"/>
      <c r="J55" s="52" t="n"/>
      <c r="K55" s="53" t="n"/>
      <c r="L55" s="51" t="n"/>
    </row>
    <row r="56" ht="33" customHeight="1">
      <c r="A56" s="50" t="n"/>
      <c r="B56" s="48" t="n"/>
      <c r="C56" s="49" t="n"/>
      <c r="D56" s="49" t="n"/>
      <c r="E56" s="48" t="n"/>
      <c r="F56" s="51" t="n"/>
      <c r="G56" s="52" t="n"/>
      <c r="H56" s="53" t="n"/>
      <c r="I56" s="51" t="n"/>
      <c r="J56" s="52" t="n"/>
      <c r="K56" s="53" t="n"/>
      <c r="L56" s="51" t="n"/>
    </row>
    <row r="57" ht="33" customHeight="1">
      <c r="A57" s="50" t="n"/>
      <c r="B57" s="48" t="n"/>
      <c r="C57" s="49" t="n"/>
      <c r="D57" s="49" t="n"/>
      <c r="E57" s="48" t="n"/>
      <c r="F57" s="51" t="n"/>
      <c r="G57" s="52" t="n"/>
      <c r="H57" s="53" t="n"/>
      <c r="I57" s="51" t="n"/>
      <c r="J57" s="52" t="n"/>
      <c r="K57" s="53" t="n"/>
      <c r="L57" s="51" t="n"/>
    </row>
    <row r="58" ht="33" customHeight="1">
      <c r="A58" s="50" t="n"/>
      <c r="B58" s="48" t="n"/>
      <c r="C58" s="49" t="n"/>
      <c r="D58" s="49" t="n"/>
      <c r="E58" s="48" t="n"/>
      <c r="F58" s="51" t="n"/>
      <c r="G58" s="52" t="n"/>
      <c r="H58" s="53" t="n"/>
      <c r="I58" s="51" t="n"/>
      <c r="J58" s="52" t="n"/>
      <c r="K58" s="53" t="n"/>
      <c r="L58" s="51" t="n"/>
    </row>
    <row r="59" ht="33" customHeight="1" thickBot="1">
      <c r="A59" s="50" t="n"/>
      <c r="B59" s="48" t="n"/>
      <c r="C59" s="49" t="n"/>
      <c r="D59" s="49" t="n"/>
      <c r="E59" s="48" t="n"/>
      <c r="F59" s="51" t="n"/>
      <c r="G59" s="52" t="n"/>
      <c r="H59" s="53" t="n"/>
      <c r="I59" s="51" t="n"/>
      <c r="J59" s="52" t="n"/>
      <c r="K59" s="53" t="n"/>
      <c r="L59" s="51" t="n"/>
    </row>
    <row r="60" ht="15" customHeight="1">
      <c r="A60" s="71" t="n"/>
      <c r="B60" s="72" t="n"/>
      <c r="C60" s="312" t="inlineStr">
        <is>
          <t>Batch</t>
        </is>
      </c>
      <c r="D60" s="359" t="n"/>
      <c r="E60" s="312" t="inlineStr">
        <is>
          <t>single file rpo</t>
        </is>
      </c>
      <c r="F60" s="312" t="inlineStr">
        <is>
          <t>Data Range</t>
        </is>
      </c>
      <c r="G60" s="360" t="n"/>
      <c r="H60" s="360" t="n"/>
      <c r="I60" s="360" t="n"/>
      <c r="J60" s="359" t="n"/>
      <c r="K60" s="312" t="n"/>
      <c r="L60" s="74" t="inlineStr">
        <is>
          <t>Date</t>
        </is>
      </c>
    </row>
    <row r="61" ht="15" customHeight="1">
      <c r="A61" s="98" t="inlineStr">
        <is>
          <t>Column</t>
        </is>
      </c>
      <c r="B61" s="54" t="inlineStr">
        <is>
          <t>Corrections Made</t>
        </is>
      </c>
      <c r="C61" s="75" t="inlineStr">
        <is>
          <t>Sequence</t>
        </is>
      </c>
      <c r="D61" s="75" t="inlineStr">
        <is>
          <t>method</t>
        </is>
      </c>
      <c r="E61" s="75" t="inlineStr">
        <is>
          <t>data file</t>
        </is>
      </c>
      <c r="F61" s="75" t="inlineStr">
        <is>
          <t>Date</t>
        </is>
      </c>
      <c r="G61" s="75" t="inlineStr">
        <is>
          <t>Hour</t>
        </is>
      </c>
      <c r="H61" s="76" t="inlineStr">
        <is>
          <t>-</t>
        </is>
      </c>
      <c r="I61" s="75" t="inlineStr">
        <is>
          <t>Date</t>
        </is>
      </c>
      <c r="J61" s="75" t="inlineStr">
        <is>
          <t>Hour</t>
        </is>
      </c>
      <c r="K61" s="75" t="n"/>
      <c r="L61" s="77" t="inlineStr">
        <is>
          <t>RPO</t>
        </is>
      </c>
    </row>
    <row r="62" ht="33" customHeight="1">
      <c r="A62" s="50" t="n"/>
      <c r="B62" s="48" t="n"/>
      <c r="C62" s="49" t="n"/>
      <c r="D62" s="49" t="n"/>
      <c r="E62" s="48" t="n"/>
      <c r="F62" s="51" t="n"/>
      <c r="G62" s="52" t="n"/>
      <c r="H62" s="53" t="n"/>
      <c r="I62" s="51" t="n"/>
      <c r="J62" s="52" t="n"/>
      <c r="K62" s="53" t="n"/>
      <c r="L62" s="51" t="n"/>
    </row>
    <row r="63" ht="33" customHeight="1">
      <c r="A63" s="50" t="n"/>
      <c r="B63" s="48" t="n"/>
      <c r="C63" s="49" t="n"/>
      <c r="D63" s="49" t="n"/>
      <c r="E63" s="48" t="n"/>
      <c r="F63" s="51" t="n"/>
      <c r="G63" s="52" t="n"/>
      <c r="H63" s="53" t="n"/>
      <c r="I63" s="51" t="n"/>
      <c r="J63" s="52" t="n"/>
      <c r="K63" s="53" t="n"/>
      <c r="L63" s="51" t="n"/>
    </row>
    <row r="64" ht="33" customHeight="1">
      <c r="A64" s="50" t="n"/>
      <c r="B64" s="48" t="n"/>
      <c r="C64" s="49" t="n"/>
      <c r="D64" s="49" t="n"/>
      <c r="E64" s="48" t="n"/>
      <c r="F64" s="51" t="n"/>
      <c r="G64" s="52" t="n"/>
      <c r="H64" s="53" t="n"/>
      <c r="I64" s="51" t="n"/>
      <c r="J64" s="52" t="n"/>
      <c r="K64" s="53" t="n"/>
      <c r="L64" s="51" t="n"/>
    </row>
    <row r="65" ht="33" customHeight="1">
      <c r="A65" s="50" t="n"/>
      <c r="B65" s="48" t="n"/>
      <c r="C65" s="49" t="n"/>
      <c r="D65" s="49" t="n"/>
      <c r="E65" s="48" t="n"/>
      <c r="F65" s="51" t="n"/>
      <c r="G65" s="52" t="n"/>
      <c r="H65" s="53" t="n"/>
      <c r="I65" s="51" t="n"/>
      <c r="J65" s="52" t="n"/>
      <c r="K65" s="53" t="n"/>
      <c r="L65" s="51" t="n"/>
    </row>
    <row r="66" ht="33" customHeight="1">
      <c r="A66" s="50" t="n"/>
      <c r="B66" s="48" t="n"/>
      <c r="C66" s="49" t="n"/>
      <c r="D66" s="49" t="n"/>
      <c r="E66" s="48" t="n"/>
      <c r="F66" s="51" t="n"/>
      <c r="G66" s="52" t="n"/>
      <c r="H66" s="53" t="n"/>
      <c r="I66" s="51" t="n"/>
      <c r="J66" s="52" t="n"/>
      <c r="K66" s="53" t="n"/>
      <c r="L66" s="51" t="n"/>
    </row>
    <row r="67" ht="33" customHeight="1">
      <c r="A67" s="50" t="n"/>
      <c r="B67" s="48" t="n"/>
      <c r="C67" s="49" t="n"/>
      <c r="D67" s="49" t="n"/>
      <c r="E67" s="48" t="n"/>
      <c r="F67" s="51" t="n"/>
      <c r="G67" s="52" t="n"/>
      <c r="H67" s="53" t="n"/>
      <c r="I67" s="51" t="n"/>
      <c r="J67" s="52" t="n"/>
      <c r="K67" s="53" t="n"/>
      <c r="L67" s="51" t="n"/>
    </row>
    <row r="68" ht="33" customHeight="1">
      <c r="A68" s="50" t="n"/>
      <c r="B68" s="48" t="n"/>
      <c r="C68" s="49" t="n"/>
      <c r="D68" s="49" t="n"/>
      <c r="E68" s="48" t="n"/>
      <c r="F68" s="51" t="n"/>
      <c r="G68" s="52" t="n"/>
      <c r="H68" s="53" t="n"/>
      <c r="I68" s="51" t="n"/>
      <c r="J68" s="52" t="n"/>
      <c r="K68" s="53" t="n"/>
      <c r="L68" s="51" t="n"/>
    </row>
    <row r="69" ht="33" customHeight="1">
      <c r="A69" s="50" t="n"/>
      <c r="B69" s="48" t="n"/>
      <c r="C69" s="49" t="n"/>
      <c r="D69" s="49" t="n"/>
      <c r="E69" s="48" t="n"/>
      <c r="F69" s="51" t="n"/>
      <c r="G69" s="52" t="n"/>
      <c r="H69" s="53" t="n"/>
      <c r="I69" s="51" t="n"/>
      <c r="J69" s="52" t="n"/>
      <c r="K69" s="53" t="n"/>
      <c r="L69" s="51" t="n"/>
    </row>
    <row r="70" ht="33" customHeight="1">
      <c r="A70" s="50" t="n"/>
      <c r="B70" s="48" t="n"/>
      <c r="C70" s="49" t="n"/>
      <c r="D70" s="49" t="n"/>
      <c r="E70" s="48" t="n"/>
      <c r="F70" s="51" t="n"/>
      <c r="G70" s="52" t="n"/>
      <c r="H70" s="53" t="n"/>
      <c r="I70" s="51" t="n"/>
      <c r="J70" s="52" t="n"/>
      <c r="K70" s="53" t="n"/>
      <c r="L70" s="51" t="n"/>
    </row>
    <row r="71" ht="33" customHeight="1">
      <c r="A71" s="50" t="n"/>
      <c r="B71" s="48" t="n"/>
      <c r="C71" s="49" t="n"/>
      <c r="D71" s="49" t="n"/>
      <c r="E71" s="48" t="n"/>
      <c r="F71" s="51" t="n"/>
      <c r="G71" s="52" t="n"/>
      <c r="H71" s="53" t="n"/>
      <c r="I71" s="51" t="n"/>
      <c r="J71" s="52" t="n"/>
      <c r="K71" s="53" t="n"/>
      <c r="L71" s="51" t="n"/>
    </row>
    <row r="72" ht="33" customHeight="1">
      <c r="A72" s="50" t="n"/>
      <c r="B72" s="48" t="n"/>
      <c r="C72" s="49" t="n"/>
      <c r="D72" s="49" t="n"/>
      <c r="E72" s="48" t="n"/>
      <c r="F72" s="51" t="n"/>
      <c r="G72" s="52" t="n"/>
      <c r="H72" s="53" t="n"/>
      <c r="I72" s="51" t="n"/>
      <c r="J72" s="52" t="n"/>
      <c r="K72" s="53" t="n"/>
      <c r="L72" s="51" t="n"/>
    </row>
    <row r="73" ht="33" customHeight="1">
      <c r="A73" s="50" t="n"/>
      <c r="B73" s="48" t="n"/>
      <c r="C73" s="49" t="n"/>
      <c r="D73" s="49" t="n"/>
      <c r="E73" s="48" t="n"/>
      <c r="F73" s="51" t="n"/>
      <c r="G73" s="52" t="n"/>
      <c r="H73" s="53" t="n"/>
      <c r="I73" s="51" t="n"/>
      <c r="J73" s="52" t="n"/>
      <c r="K73" s="53" t="n"/>
      <c r="L73" s="51" t="n"/>
    </row>
    <row r="74" ht="33" customHeight="1">
      <c r="A74" s="50" t="n"/>
      <c r="B74" s="48" t="n"/>
      <c r="C74" s="49" t="n"/>
      <c r="D74" s="49" t="n"/>
      <c r="E74" s="48" t="n"/>
      <c r="F74" s="51" t="n"/>
      <c r="G74" s="52" t="n"/>
      <c r="H74" s="53" t="n"/>
      <c r="I74" s="51" t="n"/>
      <c r="J74" s="52" t="n"/>
      <c r="K74" s="53" t="n"/>
      <c r="L74" s="51" t="n"/>
    </row>
    <row r="75" ht="33" customHeight="1">
      <c r="A75" s="50" t="n"/>
      <c r="B75" s="48" t="n"/>
      <c r="C75" s="49" t="n"/>
      <c r="D75" s="49" t="n"/>
      <c r="E75" s="48" t="n"/>
      <c r="F75" s="51" t="n"/>
      <c r="G75" s="52" t="n"/>
      <c r="H75" s="53" t="n"/>
      <c r="I75" s="51" t="n"/>
      <c r="J75" s="52" t="n"/>
      <c r="K75" s="53" t="n"/>
      <c r="L75" s="51" t="n"/>
    </row>
    <row r="76" ht="33" customHeight="1">
      <c r="A76" s="50" t="n"/>
      <c r="B76" s="48" t="n"/>
      <c r="C76" s="49" t="n"/>
      <c r="D76" s="49" t="n"/>
      <c r="E76" s="48" t="n"/>
      <c r="F76" s="51" t="n"/>
      <c r="G76" s="52" t="n"/>
      <c r="H76" s="53" t="n"/>
      <c r="I76" s="51" t="n"/>
      <c r="J76" s="52" t="n"/>
      <c r="K76" s="53" t="n"/>
      <c r="L76" s="51" t="n"/>
    </row>
    <row r="77" ht="33" customHeight="1">
      <c r="A77" s="50" t="n"/>
      <c r="B77" s="48" t="n"/>
      <c r="C77" s="49" t="n"/>
      <c r="D77" s="49" t="n"/>
      <c r="E77" s="48" t="n"/>
      <c r="F77" s="51" t="n"/>
      <c r="G77" s="52" t="n"/>
      <c r="H77" s="53" t="n"/>
      <c r="I77" s="51" t="n"/>
      <c r="J77" s="52" t="n"/>
      <c r="K77" s="53" t="n"/>
      <c r="L77" s="51" t="n"/>
    </row>
    <row r="78" ht="33" customHeight="1">
      <c r="A78" s="50" t="n"/>
      <c r="B78" s="48" t="n"/>
      <c r="C78" s="49" t="n"/>
      <c r="D78" s="49" t="n"/>
      <c r="E78" s="48" t="n"/>
      <c r="F78" s="51" t="n"/>
      <c r="G78" s="52" t="n"/>
      <c r="H78" s="53" t="n"/>
      <c r="I78" s="51" t="n"/>
      <c r="J78" s="52" t="n"/>
      <c r="K78" s="53" t="n"/>
      <c r="L78" s="51" t="n"/>
    </row>
    <row r="79" ht="33" customHeight="1">
      <c r="A79" s="50" t="n"/>
      <c r="B79" s="48" t="n"/>
      <c r="C79" s="49" t="n"/>
      <c r="D79" s="49" t="n"/>
      <c r="E79" s="48" t="n"/>
      <c r="F79" s="51" t="n"/>
      <c r="G79" s="52" t="n"/>
      <c r="H79" s="53" t="n"/>
      <c r="I79" s="51" t="n"/>
      <c r="J79" s="52" t="n"/>
      <c r="K79" s="53" t="n"/>
      <c r="L79" s="51" t="n"/>
    </row>
    <row r="80" ht="33" customHeight="1">
      <c r="A80" s="50" t="n"/>
      <c r="B80" s="48" t="n"/>
      <c r="C80" s="49" t="n"/>
      <c r="D80" s="49" t="n"/>
      <c r="E80" s="48" t="n"/>
      <c r="F80" s="51" t="n"/>
      <c r="G80" s="52" t="n"/>
      <c r="H80" s="53" t="n"/>
      <c r="I80" s="51" t="n"/>
      <c r="J80" s="52" t="n"/>
      <c r="K80" s="53" t="n"/>
      <c r="L80" s="51" t="n"/>
    </row>
    <row r="81" ht="33" customHeight="1">
      <c r="A81" s="50" t="n"/>
      <c r="B81" s="48" t="n"/>
      <c r="C81" s="49" t="n"/>
      <c r="D81" s="49" t="n"/>
      <c r="E81" s="48" t="n"/>
      <c r="F81" s="51" t="n"/>
      <c r="G81" s="52" t="n"/>
      <c r="H81" s="53" t="n"/>
      <c r="I81" s="51" t="n"/>
      <c r="J81" s="52" t="n"/>
      <c r="K81" s="53" t="n"/>
      <c r="L81" s="51" t="n"/>
    </row>
    <row r="82" ht="33" customHeight="1">
      <c r="A82" s="50" t="n"/>
      <c r="B82" s="48" t="n"/>
      <c r="C82" s="49" t="n"/>
      <c r="D82" s="49" t="n"/>
      <c r="E82" s="48" t="n"/>
      <c r="F82" s="51" t="n"/>
      <c r="G82" s="52" t="n"/>
      <c r="H82" s="53" t="n"/>
      <c r="I82" s="51" t="n"/>
      <c r="J82" s="52" t="n"/>
      <c r="K82" s="53" t="n"/>
      <c r="L82" s="51" t="n"/>
    </row>
    <row r="83" ht="33" customHeight="1">
      <c r="A83" s="50" t="n"/>
      <c r="B83" s="48" t="n"/>
      <c r="C83" s="49" t="n"/>
      <c r="D83" s="49" t="n"/>
      <c r="E83" s="48" t="n"/>
      <c r="F83" s="51" t="n"/>
      <c r="G83" s="52" t="n"/>
      <c r="H83" s="53" t="n"/>
      <c r="I83" s="51" t="n"/>
      <c r="J83" s="52" t="n"/>
      <c r="K83" s="53" t="n"/>
      <c r="L83" s="51" t="n"/>
    </row>
    <row r="84" ht="33" customHeight="1">
      <c r="A84" s="50" t="n"/>
      <c r="B84" s="48" t="n"/>
      <c r="C84" s="49" t="n"/>
      <c r="D84" s="49" t="n"/>
      <c r="E84" s="48" t="n"/>
      <c r="F84" s="51" t="n"/>
      <c r="G84" s="52" t="n"/>
      <c r="H84" s="53" t="n"/>
      <c r="I84" s="51" t="n"/>
      <c r="J84" s="52" t="n"/>
      <c r="K84" s="53" t="n"/>
      <c r="L84" s="51" t="n"/>
    </row>
    <row r="85" ht="33" customHeight="1">
      <c r="A85" s="50" t="n"/>
      <c r="B85" s="48" t="n"/>
      <c r="C85" s="49" t="n"/>
      <c r="D85" s="49" t="n"/>
      <c r="E85" s="48" t="n"/>
      <c r="F85" s="51" t="n"/>
      <c r="G85" s="52" t="n"/>
      <c r="H85" s="53" t="n"/>
      <c r="I85" s="51" t="n"/>
      <c r="J85" s="52" t="n"/>
      <c r="K85" s="53" t="n"/>
      <c r="L85" s="51" t="n"/>
    </row>
    <row r="86" ht="33" customHeight="1">
      <c r="A86" s="50" t="n"/>
      <c r="B86" s="48" t="n"/>
      <c r="C86" s="49" t="n"/>
      <c r="D86" s="49" t="n"/>
      <c r="E86" s="48" t="n"/>
      <c r="F86" s="51" t="n"/>
      <c r="G86" s="52" t="n"/>
      <c r="H86" s="53" t="n"/>
      <c r="I86" s="51" t="n"/>
      <c r="J86" s="52" t="n"/>
      <c r="K86" s="53" t="n"/>
      <c r="L86" s="51" t="n"/>
    </row>
    <row r="87" ht="33" customHeight="1">
      <c r="A87" s="50" t="n"/>
      <c r="B87" s="48" t="n"/>
      <c r="C87" s="49" t="n"/>
      <c r="D87" s="49" t="n"/>
      <c r="E87" s="48" t="n"/>
      <c r="F87" s="51" t="n"/>
      <c r="G87" s="52" t="n"/>
      <c r="H87" s="53" t="n"/>
      <c r="I87" s="51" t="n"/>
      <c r="J87" s="52" t="n"/>
      <c r="K87" s="53" t="n"/>
      <c r="L87" s="51" t="n"/>
    </row>
    <row r="88" ht="33" customHeight="1">
      <c r="A88" s="50" t="n"/>
      <c r="B88" s="48" t="n"/>
      <c r="C88" s="49" t="n"/>
      <c r="D88" s="49" t="n"/>
      <c r="E88" s="48" t="n"/>
      <c r="F88" s="51" t="n"/>
      <c r="G88" s="52" t="n"/>
      <c r="H88" s="53" t="n"/>
      <c r="I88" s="51" t="n"/>
      <c r="J88" s="52" t="n"/>
      <c r="K88" s="53" t="n"/>
      <c r="L88" s="51" t="n"/>
    </row>
    <row r="89">
      <c r="AC89" s="10" t="inlineStr">
        <is>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is>
      </c>
    </row>
  </sheetData>
  <mergeCells count="6">
    <mergeCell ref="F7:J7"/>
    <mergeCell ref="C7:D7"/>
    <mergeCell ref="C60:D60"/>
    <mergeCell ref="F60:J60"/>
    <mergeCell ref="F31:J31"/>
    <mergeCell ref="C31:D31"/>
  </mergeCells>
  <pageMargins left="0.61" right="0.37" top="0.62" bottom="0.79" header="0.27" footer="0.39"/>
  <pageSetup orientation="landscape" scale="57" fitToHeight="0" horizontalDpi="360" verticalDpi="360"/>
  <rowBreaks count="2" manualBreakCount="2">
    <brk id="30" min="0" max="11" man="1"/>
    <brk id="59" min="0" max="11" man="1"/>
  </rowBreaks>
</worksheet>
</file>

<file path=xl/worksheets/sheet4.xml><?xml version="1.0" encoding="utf-8"?>
<worksheet xmlns="http://schemas.openxmlformats.org/spreadsheetml/2006/main">
  <sheetPr>
    <tabColor indexed="42"/>
    <outlinePr summaryBelow="1" summaryRight="1"/>
    <pageSetUpPr fitToPage="1"/>
  </sheetPr>
  <dimension ref="A1:BH193"/>
  <sheetViews>
    <sheetView view="pageBreakPreview" topLeftCell="C118" zoomScaleNormal="80" zoomScaleSheetLayoutView="100" workbookViewId="0">
      <selection activeCell="AC126" sqref="AC126"/>
    </sheetView>
  </sheetViews>
  <sheetFormatPr baseColWidth="8" defaultRowHeight="15.75"/>
  <cols>
    <col width="4.7109375" customWidth="1" style="33" min="1" max="2"/>
    <col width="18.7109375" bestFit="1" customWidth="1" style="13" min="3" max="3"/>
    <col width="2" customWidth="1" style="10" min="4" max="4"/>
    <col width="4.28515625" customWidth="1" style="10" min="5" max="53"/>
    <col width="4.7109375" customWidth="1" style="10" min="54" max="54"/>
    <col width="4.7109375" customWidth="1" style="136" min="55" max="55"/>
    <col width="4.7109375" customWidth="1" style="33" min="56" max="59"/>
    <col width="7.5703125" customWidth="1" style="33" min="60" max="60"/>
    <col width="4.7109375" customWidth="1" style="10" min="61" max="124"/>
    <col width="9.140625" customWidth="1" style="10" min="125" max="256"/>
    <col width="15.7109375" customWidth="1" style="10" min="257" max="257"/>
    <col width="2" customWidth="1" style="10" min="258" max="258"/>
    <col width="3.7109375" customWidth="1" style="10" min="259" max="307"/>
    <col width="4.7109375" customWidth="1" style="10" min="308" max="380"/>
    <col width="9.140625" customWidth="1" style="10" min="381" max="512"/>
    <col width="15.7109375" customWidth="1" style="10" min="513" max="513"/>
    <col width="2" customWidth="1" style="10" min="514" max="514"/>
    <col width="3.7109375" customWidth="1" style="10" min="515" max="563"/>
    <col width="4.7109375" customWidth="1" style="10" min="564" max="636"/>
    <col width="9.140625" customWidth="1" style="10" min="637" max="768"/>
    <col width="15.7109375" customWidth="1" style="10" min="769" max="769"/>
    <col width="2" customWidth="1" style="10" min="770" max="770"/>
    <col width="3.7109375" customWidth="1" style="10" min="771" max="819"/>
    <col width="4.7109375" customWidth="1" style="10" min="820" max="892"/>
    <col width="9.140625" customWidth="1" style="10" min="893" max="1024"/>
    <col width="15.7109375" customWidth="1" style="10" min="1025" max="1025"/>
    <col width="2" customWidth="1" style="10" min="1026" max="1026"/>
    <col width="3.7109375" customWidth="1" style="10" min="1027" max="1075"/>
    <col width="4.7109375" customWidth="1" style="10" min="1076" max="1148"/>
    <col width="9.140625" customWidth="1" style="10" min="1149" max="1280"/>
    <col width="15.7109375" customWidth="1" style="10" min="1281" max="1281"/>
    <col width="2" customWidth="1" style="10" min="1282" max="1282"/>
    <col width="3.7109375" customWidth="1" style="10" min="1283" max="1331"/>
    <col width="4.7109375" customWidth="1" style="10" min="1332" max="1404"/>
    <col width="9.140625" customWidth="1" style="10" min="1405" max="1536"/>
    <col width="15.7109375" customWidth="1" style="10" min="1537" max="1537"/>
    <col width="2" customWidth="1" style="10" min="1538" max="1538"/>
    <col width="3.7109375" customWidth="1" style="10" min="1539" max="1587"/>
    <col width="4.7109375" customWidth="1" style="10" min="1588" max="1660"/>
    <col width="9.140625" customWidth="1" style="10" min="1661" max="1792"/>
    <col width="15.7109375" customWidth="1" style="10" min="1793" max="1793"/>
    <col width="2" customWidth="1" style="10" min="1794" max="1794"/>
    <col width="3.7109375" customWidth="1" style="10" min="1795" max="1843"/>
    <col width="4.7109375" customWidth="1" style="10" min="1844" max="1916"/>
    <col width="9.140625" customWidth="1" style="10" min="1917" max="2048"/>
    <col width="15.7109375" customWidth="1" style="10" min="2049" max="2049"/>
    <col width="2" customWidth="1" style="10" min="2050" max="2050"/>
    <col width="3.7109375" customWidth="1" style="10" min="2051" max="2099"/>
    <col width="4.7109375" customWidth="1" style="10" min="2100" max="2172"/>
    <col width="9.140625" customWidth="1" style="10" min="2173" max="2304"/>
    <col width="15.7109375" customWidth="1" style="10" min="2305" max="2305"/>
    <col width="2" customWidth="1" style="10" min="2306" max="2306"/>
    <col width="3.7109375" customWidth="1" style="10" min="2307" max="2355"/>
    <col width="4.7109375" customWidth="1" style="10" min="2356" max="2428"/>
    <col width="9.140625" customWidth="1" style="10" min="2429" max="2560"/>
    <col width="15.7109375" customWidth="1" style="10" min="2561" max="2561"/>
    <col width="2" customWidth="1" style="10" min="2562" max="2562"/>
    <col width="3.7109375" customWidth="1" style="10" min="2563" max="2611"/>
    <col width="4.7109375" customWidth="1" style="10" min="2612" max="2684"/>
    <col width="9.140625" customWidth="1" style="10" min="2685" max="2816"/>
    <col width="15.7109375" customWidth="1" style="10" min="2817" max="2817"/>
    <col width="2" customWidth="1" style="10" min="2818" max="2818"/>
    <col width="3.7109375" customWidth="1" style="10" min="2819" max="2867"/>
    <col width="4.7109375" customWidth="1" style="10" min="2868" max="2940"/>
    <col width="9.140625" customWidth="1" style="10" min="2941" max="3072"/>
    <col width="15.7109375" customWidth="1" style="10" min="3073" max="3073"/>
    <col width="2" customWidth="1" style="10" min="3074" max="3074"/>
    <col width="3.7109375" customWidth="1" style="10" min="3075" max="3123"/>
    <col width="4.7109375" customWidth="1" style="10" min="3124" max="3196"/>
    <col width="9.140625" customWidth="1" style="10" min="3197" max="3328"/>
    <col width="15.7109375" customWidth="1" style="10" min="3329" max="3329"/>
    <col width="2" customWidth="1" style="10" min="3330" max="3330"/>
    <col width="3.7109375" customWidth="1" style="10" min="3331" max="3379"/>
    <col width="4.7109375" customWidth="1" style="10" min="3380" max="3452"/>
    <col width="9.140625" customWidth="1" style="10" min="3453" max="3584"/>
    <col width="15.7109375" customWidth="1" style="10" min="3585" max="3585"/>
    <col width="2" customWidth="1" style="10" min="3586" max="3586"/>
    <col width="3.7109375" customWidth="1" style="10" min="3587" max="3635"/>
    <col width="4.7109375" customWidth="1" style="10" min="3636" max="3708"/>
    <col width="9.140625" customWidth="1" style="10" min="3709" max="3840"/>
    <col width="15.7109375" customWidth="1" style="10" min="3841" max="3841"/>
    <col width="2" customWidth="1" style="10" min="3842" max="3842"/>
    <col width="3.7109375" customWidth="1" style="10" min="3843" max="3891"/>
    <col width="4.7109375" customWidth="1" style="10" min="3892" max="3964"/>
    <col width="9.140625" customWidth="1" style="10" min="3965" max="4096"/>
    <col width="15.7109375" customWidth="1" style="10" min="4097" max="4097"/>
    <col width="2" customWidth="1" style="10" min="4098" max="4098"/>
    <col width="3.7109375" customWidth="1" style="10" min="4099" max="4147"/>
    <col width="4.7109375" customWidth="1" style="10" min="4148" max="4220"/>
    <col width="9.140625" customWidth="1" style="10" min="4221" max="4352"/>
    <col width="15.7109375" customWidth="1" style="10" min="4353" max="4353"/>
    <col width="2" customWidth="1" style="10" min="4354" max="4354"/>
    <col width="3.7109375" customWidth="1" style="10" min="4355" max="4403"/>
    <col width="4.7109375" customWidth="1" style="10" min="4404" max="4476"/>
    <col width="9.140625" customWidth="1" style="10" min="4477" max="4608"/>
    <col width="15.7109375" customWidth="1" style="10" min="4609" max="4609"/>
    <col width="2" customWidth="1" style="10" min="4610" max="4610"/>
    <col width="3.7109375" customWidth="1" style="10" min="4611" max="4659"/>
    <col width="4.7109375" customWidth="1" style="10" min="4660" max="4732"/>
    <col width="9.140625" customWidth="1" style="10" min="4733" max="4864"/>
    <col width="15.7109375" customWidth="1" style="10" min="4865" max="4865"/>
    <col width="2" customWidth="1" style="10" min="4866" max="4866"/>
    <col width="3.7109375" customWidth="1" style="10" min="4867" max="4915"/>
    <col width="4.7109375" customWidth="1" style="10" min="4916" max="4988"/>
    <col width="9.140625" customWidth="1" style="10" min="4989" max="5120"/>
    <col width="15.7109375" customWidth="1" style="10" min="5121" max="5121"/>
    <col width="2" customWidth="1" style="10" min="5122" max="5122"/>
    <col width="3.7109375" customWidth="1" style="10" min="5123" max="5171"/>
    <col width="4.7109375" customWidth="1" style="10" min="5172" max="5244"/>
    <col width="9.140625" customWidth="1" style="10" min="5245" max="5376"/>
    <col width="15.7109375" customWidth="1" style="10" min="5377" max="5377"/>
    <col width="2" customWidth="1" style="10" min="5378" max="5378"/>
    <col width="3.7109375" customWidth="1" style="10" min="5379" max="5427"/>
    <col width="4.7109375" customWidth="1" style="10" min="5428" max="5500"/>
    <col width="9.140625" customWidth="1" style="10" min="5501" max="5632"/>
    <col width="15.7109375" customWidth="1" style="10" min="5633" max="5633"/>
    <col width="2" customWidth="1" style="10" min="5634" max="5634"/>
    <col width="3.7109375" customWidth="1" style="10" min="5635" max="5683"/>
    <col width="4.7109375" customWidth="1" style="10" min="5684" max="5756"/>
    <col width="9.140625" customWidth="1" style="10" min="5757" max="5888"/>
    <col width="15.7109375" customWidth="1" style="10" min="5889" max="5889"/>
    <col width="2" customWidth="1" style="10" min="5890" max="5890"/>
    <col width="3.7109375" customWidth="1" style="10" min="5891" max="5939"/>
    <col width="4.7109375" customWidth="1" style="10" min="5940" max="6012"/>
    <col width="9.140625" customWidth="1" style="10" min="6013" max="6144"/>
    <col width="15.7109375" customWidth="1" style="10" min="6145" max="6145"/>
    <col width="2" customWidth="1" style="10" min="6146" max="6146"/>
    <col width="3.7109375" customWidth="1" style="10" min="6147" max="6195"/>
    <col width="4.7109375" customWidth="1" style="10" min="6196" max="6268"/>
    <col width="9.140625" customWidth="1" style="10" min="6269" max="6400"/>
    <col width="15.7109375" customWidth="1" style="10" min="6401" max="6401"/>
    <col width="2" customWidth="1" style="10" min="6402" max="6402"/>
    <col width="3.7109375" customWidth="1" style="10" min="6403" max="6451"/>
    <col width="4.7109375" customWidth="1" style="10" min="6452" max="6524"/>
    <col width="9.140625" customWidth="1" style="10" min="6525" max="6656"/>
    <col width="15.7109375" customWidth="1" style="10" min="6657" max="6657"/>
    <col width="2" customWidth="1" style="10" min="6658" max="6658"/>
    <col width="3.7109375" customWidth="1" style="10" min="6659" max="6707"/>
    <col width="4.7109375" customWidth="1" style="10" min="6708" max="6780"/>
    <col width="9.140625" customWidth="1" style="10" min="6781" max="6912"/>
    <col width="15.7109375" customWidth="1" style="10" min="6913" max="6913"/>
    <col width="2" customWidth="1" style="10" min="6914" max="6914"/>
    <col width="3.7109375" customWidth="1" style="10" min="6915" max="6963"/>
    <col width="4.7109375" customWidth="1" style="10" min="6964" max="7036"/>
    <col width="9.140625" customWidth="1" style="10" min="7037" max="7168"/>
    <col width="15.7109375" customWidth="1" style="10" min="7169" max="7169"/>
    <col width="2" customWidth="1" style="10" min="7170" max="7170"/>
    <col width="3.7109375" customWidth="1" style="10" min="7171" max="7219"/>
    <col width="4.7109375" customWidth="1" style="10" min="7220" max="7292"/>
    <col width="9.140625" customWidth="1" style="10" min="7293" max="7424"/>
    <col width="15.7109375" customWidth="1" style="10" min="7425" max="7425"/>
    <col width="2" customWidth="1" style="10" min="7426" max="7426"/>
    <col width="3.7109375" customWidth="1" style="10" min="7427" max="7475"/>
    <col width="4.7109375" customWidth="1" style="10" min="7476" max="7548"/>
    <col width="9.140625" customWidth="1" style="10" min="7549" max="7680"/>
    <col width="15.7109375" customWidth="1" style="10" min="7681" max="7681"/>
    <col width="2" customWidth="1" style="10" min="7682" max="7682"/>
    <col width="3.7109375" customWidth="1" style="10" min="7683" max="7731"/>
    <col width="4.7109375" customWidth="1" style="10" min="7732" max="7804"/>
    <col width="9.140625" customWidth="1" style="10" min="7805" max="7936"/>
    <col width="15.7109375" customWidth="1" style="10" min="7937" max="7937"/>
    <col width="2" customWidth="1" style="10" min="7938" max="7938"/>
    <col width="3.7109375" customWidth="1" style="10" min="7939" max="7987"/>
    <col width="4.7109375" customWidth="1" style="10" min="7988" max="8060"/>
    <col width="9.140625" customWidth="1" style="10" min="8061" max="8192"/>
    <col width="15.7109375" customWidth="1" style="10" min="8193" max="8193"/>
    <col width="2" customWidth="1" style="10" min="8194" max="8194"/>
    <col width="3.7109375" customWidth="1" style="10" min="8195" max="8243"/>
    <col width="4.7109375" customWidth="1" style="10" min="8244" max="8316"/>
    <col width="9.140625" customWidth="1" style="10" min="8317" max="8448"/>
    <col width="15.7109375" customWidth="1" style="10" min="8449" max="8449"/>
    <col width="2" customWidth="1" style="10" min="8450" max="8450"/>
    <col width="3.7109375" customWidth="1" style="10" min="8451" max="8499"/>
    <col width="4.7109375" customWidth="1" style="10" min="8500" max="8572"/>
    <col width="9.140625" customWidth="1" style="10" min="8573" max="8704"/>
    <col width="15.7109375" customWidth="1" style="10" min="8705" max="8705"/>
    <col width="2" customWidth="1" style="10" min="8706" max="8706"/>
    <col width="3.7109375" customWidth="1" style="10" min="8707" max="8755"/>
    <col width="4.7109375" customWidth="1" style="10" min="8756" max="8828"/>
    <col width="9.140625" customWidth="1" style="10" min="8829" max="8960"/>
    <col width="15.7109375" customWidth="1" style="10" min="8961" max="8961"/>
    <col width="2" customWidth="1" style="10" min="8962" max="8962"/>
    <col width="3.7109375" customWidth="1" style="10" min="8963" max="9011"/>
    <col width="4.7109375" customWidth="1" style="10" min="9012" max="9084"/>
    <col width="9.140625" customWidth="1" style="10" min="9085" max="9216"/>
    <col width="15.7109375" customWidth="1" style="10" min="9217" max="9217"/>
    <col width="2" customWidth="1" style="10" min="9218" max="9218"/>
    <col width="3.7109375" customWidth="1" style="10" min="9219" max="9267"/>
    <col width="4.7109375" customWidth="1" style="10" min="9268" max="9340"/>
    <col width="9.140625" customWidth="1" style="10" min="9341" max="9472"/>
    <col width="15.7109375" customWidth="1" style="10" min="9473" max="9473"/>
    <col width="2" customWidth="1" style="10" min="9474" max="9474"/>
    <col width="3.7109375" customWidth="1" style="10" min="9475" max="9523"/>
    <col width="4.7109375" customWidth="1" style="10" min="9524" max="9596"/>
    <col width="9.140625" customWidth="1" style="10" min="9597" max="9728"/>
    <col width="15.7109375" customWidth="1" style="10" min="9729" max="9729"/>
    <col width="2" customWidth="1" style="10" min="9730" max="9730"/>
    <col width="3.7109375" customWidth="1" style="10" min="9731" max="9779"/>
    <col width="4.7109375" customWidth="1" style="10" min="9780" max="9852"/>
    <col width="9.140625" customWidth="1" style="10" min="9853" max="9984"/>
    <col width="15.7109375" customWidth="1" style="10" min="9985" max="9985"/>
    <col width="2" customWidth="1" style="10" min="9986" max="9986"/>
    <col width="3.7109375" customWidth="1" style="10" min="9987" max="10035"/>
    <col width="4.7109375" customWidth="1" style="10" min="10036" max="10108"/>
    <col width="9.140625" customWidth="1" style="10" min="10109" max="10240"/>
    <col width="15.7109375" customWidth="1" style="10" min="10241" max="10241"/>
    <col width="2" customWidth="1" style="10" min="10242" max="10242"/>
    <col width="3.7109375" customWidth="1" style="10" min="10243" max="10291"/>
    <col width="4.7109375" customWidth="1" style="10" min="10292" max="10364"/>
    <col width="9.140625" customWidth="1" style="10" min="10365" max="10496"/>
    <col width="15.7109375" customWidth="1" style="10" min="10497" max="10497"/>
    <col width="2" customWidth="1" style="10" min="10498" max="10498"/>
    <col width="3.7109375" customWidth="1" style="10" min="10499" max="10547"/>
    <col width="4.7109375" customWidth="1" style="10" min="10548" max="10620"/>
    <col width="9.140625" customWidth="1" style="10" min="10621" max="10752"/>
    <col width="15.7109375" customWidth="1" style="10" min="10753" max="10753"/>
    <col width="2" customWidth="1" style="10" min="10754" max="10754"/>
    <col width="3.7109375" customWidth="1" style="10" min="10755" max="10803"/>
    <col width="4.7109375" customWidth="1" style="10" min="10804" max="10876"/>
    <col width="9.140625" customWidth="1" style="10" min="10877" max="11008"/>
    <col width="15.7109375" customWidth="1" style="10" min="11009" max="11009"/>
    <col width="2" customWidth="1" style="10" min="11010" max="11010"/>
    <col width="3.7109375" customWidth="1" style="10" min="11011" max="11059"/>
    <col width="4.7109375" customWidth="1" style="10" min="11060" max="11132"/>
    <col width="9.140625" customWidth="1" style="10" min="11133" max="11264"/>
    <col width="15.7109375" customWidth="1" style="10" min="11265" max="11265"/>
    <col width="2" customWidth="1" style="10" min="11266" max="11266"/>
    <col width="3.7109375" customWidth="1" style="10" min="11267" max="11315"/>
    <col width="4.7109375" customWidth="1" style="10" min="11316" max="11388"/>
    <col width="9.140625" customWidth="1" style="10" min="11389" max="11520"/>
    <col width="15.7109375" customWidth="1" style="10" min="11521" max="11521"/>
    <col width="2" customWidth="1" style="10" min="11522" max="11522"/>
    <col width="3.7109375" customWidth="1" style="10" min="11523" max="11571"/>
    <col width="4.7109375" customWidth="1" style="10" min="11572" max="11644"/>
    <col width="9.140625" customWidth="1" style="10" min="11645" max="11776"/>
    <col width="15.7109375" customWidth="1" style="10" min="11777" max="11777"/>
    <col width="2" customWidth="1" style="10" min="11778" max="11778"/>
    <col width="3.7109375" customWidth="1" style="10" min="11779" max="11827"/>
    <col width="4.7109375" customWidth="1" style="10" min="11828" max="11900"/>
    <col width="9.140625" customWidth="1" style="10" min="11901" max="12032"/>
    <col width="15.7109375" customWidth="1" style="10" min="12033" max="12033"/>
    <col width="2" customWidth="1" style="10" min="12034" max="12034"/>
    <col width="3.7109375" customWidth="1" style="10" min="12035" max="12083"/>
    <col width="4.7109375" customWidth="1" style="10" min="12084" max="12156"/>
    <col width="9.140625" customWidth="1" style="10" min="12157" max="12288"/>
    <col width="15.7109375" customWidth="1" style="10" min="12289" max="12289"/>
    <col width="2" customWidth="1" style="10" min="12290" max="12290"/>
    <col width="3.7109375" customWidth="1" style="10" min="12291" max="12339"/>
    <col width="4.7109375" customWidth="1" style="10" min="12340" max="12412"/>
    <col width="9.140625" customWidth="1" style="10" min="12413" max="12544"/>
    <col width="15.7109375" customWidth="1" style="10" min="12545" max="12545"/>
    <col width="2" customWidth="1" style="10" min="12546" max="12546"/>
    <col width="3.7109375" customWidth="1" style="10" min="12547" max="12595"/>
    <col width="4.7109375" customWidth="1" style="10" min="12596" max="12668"/>
    <col width="9.140625" customWidth="1" style="10" min="12669" max="12800"/>
    <col width="15.7109375" customWidth="1" style="10" min="12801" max="12801"/>
    <col width="2" customWidth="1" style="10" min="12802" max="12802"/>
    <col width="3.7109375" customWidth="1" style="10" min="12803" max="12851"/>
    <col width="4.7109375" customWidth="1" style="10" min="12852" max="12924"/>
    <col width="9.140625" customWidth="1" style="10" min="12925" max="13056"/>
    <col width="15.7109375" customWidth="1" style="10" min="13057" max="13057"/>
    <col width="2" customWidth="1" style="10" min="13058" max="13058"/>
    <col width="3.7109375" customWidth="1" style="10" min="13059" max="13107"/>
    <col width="4.7109375" customWidth="1" style="10" min="13108" max="13180"/>
    <col width="9.140625" customWidth="1" style="10" min="13181" max="13312"/>
    <col width="15.7109375" customWidth="1" style="10" min="13313" max="13313"/>
    <col width="2" customWidth="1" style="10" min="13314" max="13314"/>
    <col width="3.7109375" customWidth="1" style="10" min="13315" max="13363"/>
    <col width="4.7109375" customWidth="1" style="10" min="13364" max="13436"/>
    <col width="9.140625" customWidth="1" style="10" min="13437" max="13568"/>
    <col width="15.7109375" customWidth="1" style="10" min="13569" max="13569"/>
    <col width="2" customWidth="1" style="10" min="13570" max="13570"/>
    <col width="3.7109375" customWidth="1" style="10" min="13571" max="13619"/>
    <col width="4.7109375" customWidth="1" style="10" min="13620" max="13692"/>
    <col width="9.140625" customWidth="1" style="10" min="13693" max="13824"/>
    <col width="15.7109375" customWidth="1" style="10" min="13825" max="13825"/>
    <col width="2" customWidth="1" style="10" min="13826" max="13826"/>
    <col width="3.7109375" customWidth="1" style="10" min="13827" max="13875"/>
    <col width="4.7109375" customWidth="1" style="10" min="13876" max="13948"/>
    <col width="9.140625" customWidth="1" style="10" min="13949" max="14080"/>
    <col width="15.7109375" customWidth="1" style="10" min="14081" max="14081"/>
    <col width="2" customWidth="1" style="10" min="14082" max="14082"/>
    <col width="3.7109375" customWidth="1" style="10" min="14083" max="14131"/>
    <col width="4.7109375" customWidth="1" style="10" min="14132" max="14204"/>
    <col width="9.140625" customWidth="1" style="10" min="14205" max="14336"/>
    <col width="15.7109375" customWidth="1" style="10" min="14337" max="14337"/>
    <col width="2" customWidth="1" style="10" min="14338" max="14338"/>
    <col width="3.7109375" customWidth="1" style="10" min="14339" max="14387"/>
    <col width="4.7109375" customWidth="1" style="10" min="14388" max="14460"/>
    <col width="9.140625" customWidth="1" style="10" min="14461" max="14592"/>
    <col width="15.7109375" customWidth="1" style="10" min="14593" max="14593"/>
    <col width="2" customWidth="1" style="10" min="14594" max="14594"/>
    <col width="3.7109375" customWidth="1" style="10" min="14595" max="14643"/>
    <col width="4.7109375" customWidth="1" style="10" min="14644" max="14716"/>
    <col width="9.140625" customWidth="1" style="10" min="14717" max="14848"/>
    <col width="15.7109375" customWidth="1" style="10" min="14849" max="14849"/>
    <col width="2" customWidth="1" style="10" min="14850" max="14850"/>
    <col width="3.7109375" customWidth="1" style="10" min="14851" max="14899"/>
    <col width="4.7109375" customWidth="1" style="10" min="14900" max="14972"/>
    <col width="9.140625" customWidth="1" style="10" min="14973" max="15104"/>
    <col width="15.7109375" customWidth="1" style="10" min="15105" max="15105"/>
    <col width="2" customWidth="1" style="10" min="15106" max="15106"/>
    <col width="3.7109375" customWidth="1" style="10" min="15107" max="15155"/>
    <col width="4.7109375" customWidth="1" style="10" min="15156" max="15228"/>
    <col width="9.140625" customWidth="1" style="10" min="15229" max="15360"/>
    <col width="15.7109375" customWidth="1" style="10" min="15361" max="15361"/>
    <col width="2" customWidth="1" style="10" min="15362" max="15362"/>
    <col width="3.7109375" customWidth="1" style="10" min="15363" max="15411"/>
    <col width="4.7109375" customWidth="1" style="10" min="15412" max="15484"/>
    <col width="9.140625" customWidth="1" style="10" min="15485" max="15616"/>
    <col width="15.7109375" customWidth="1" style="10" min="15617" max="15617"/>
    <col width="2" customWidth="1" style="10" min="15618" max="15618"/>
    <col width="3.7109375" customWidth="1" style="10" min="15619" max="15667"/>
    <col width="4.7109375" customWidth="1" style="10" min="15668" max="15740"/>
    <col width="9.140625" customWidth="1" style="10" min="15741" max="15872"/>
    <col width="15.7109375" customWidth="1" style="10" min="15873" max="15873"/>
    <col width="2" customWidth="1" style="10" min="15874" max="15874"/>
    <col width="3.7109375" customWidth="1" style="10" min="15875" max="15923"/>
    <col width="4.7109375" customWidth="1" style="10" min="15924" max="15996"/>
    <col width="9.140625" customWidth="1" style="10" min="15997" max="16128"/>
    <col width="15.7109375" customWidth="1" style="10" min="16129" max="16129"/>
    <col width="2" customWidth="1" style="10" min="16130" max="16130"/>
    <col width="3.7109375" customWidth="1" style="10" min="16131" max="16179"/>
    <col width="4.7109375" customWidth="1" style="10" min="16180" max="16252"/>
    <col width="9.140625" customWidth="1" style="10" min="16253" max="16384"/>
  </cols>
  <sheetData>
    <row r="1">
      <c r="A1" s="14" t="n"/>
      <c r="B1" s="14" t="n"/>
      <c r="BB1" s="11" t="n"/>
      <c r="BC1" s="129" t="n"/>
      <c r="BD1" s="14" t="n"/>
      <c r="BE1" s="14" t="n"/>
      <c r="BF1" s="14" t="n"/>
      <c r="BG1" s="14" t="n"/>
      <c r="BH1" s="14" t="n"/>
    </row>
    <row r="2" ht="16.5" customHeight="1" thickBot="1">
      <c r="A2" s="14" t="n"/>
      <c r="B2" s="14" t="n"/>
      <c r="C2" s="315" t="inlineStr">
        <is>
          <t>Reprocess Plan</t>
        </is>
      </c>
      <c r="N2" s="12" t="inlineStr">
        <is>
          <t>Site:</t>
        </is>
      </c>
      <c r="O2" s="13" t="n"/>
      <c r="P2" s="314">
        <f>'Validator Notes'!B4</f>
        <v/>
      </c>
      <c r="Q2" s="193" t="n"/>
      <c r="R2" s="193" t="n"/>
      <c r="S2" s="193" t="n"/>
      <c r="T2" s="193" t="n"/>
      <c r="U2" s="193" t="n"/>
      <c r="V2" s="12" t="inlineStr">
        <is>
          <t>Month/Year:</t>
        </is>
      </c>
      <c r="W2" s="13" t="n"/>
      <c r="X2" s="13" t="n"/>
      <c r="Y2" s="13" t="n"/>
      <c r="Z2" s="314">
        <f>'Validator Notes'!B5</f>
        <v/>
      </c>
      <c r="AA2" s="193" t="n"/>
      <c r="AB2" s="193" t="n"/>
      <c r="AC2" s="193" t="n"/>
      <c r="AD2" s="193" t="n"/>
      <c r="AE2" s="193" t="n"/>
      <c r="AZ2" s="10" t="inlineStr">
        <is>
          <t>Pg.</t>
        </is>
      </c>
      <c r="BA2" s="10" t="n">
        <v>1</v>
      </c>
      <c r="BB2" s="11" t="n"/>
      <c r="BC2" s="129" t="n"/>
      <c r="BD2" s="14" t="n"/>
      <c r="BE2" s="14" t="n"/>
      <c r="BF2" s="14" t="n"/>
      <c r="BG2" s="14" t="n"/>
      <c r="BH2" s="14" t="n"/>
    </row>
    <row r="3">
      <c r="A3" s="14" t="n"/>
      <c r="B3" s="14" t="n"/>
      <c r="N3" s="12" t="n"/>
      <c r="V3" s="12" t="n"/>
      <c r="BB3" s="11" t="n"/>
      <c r="BC3" s="129" t="n"/>
      <c r="BD3" s="14" t="n"/>
      <c r="BE3" s="14" t="n"/>
      <c r="BF3" s="14" t="n"/>
      <c r="BG3" s="14" t="n"/>
      <c r="BH3" s="14" t="n"/>
    </row>
    <row r="4" ht="18.75" customFormat="1" customHeight="1" s="15">
      <c r="A4" s="29" t="n"/>
      <c r="B4" s="29" t="n"/>
      <c r="E4" s="16" t="n">
        <v>1</v>
      </c>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D4" s="16" t="n">
        <v>2</v>
      </c>
      <c r="AE4" s="16" t="n"/>
      <c r="AF4" s="16" t="n"/>
      <c r="AG4" s="16" t="n"/>
      <c r="AH4" s="16" t="n"/>
      <c r="AI4" s="16" t="n"/>
      <c r="AJ4" s="16" t="n"/>
      <c r="AK4" s="16" t="n"/>
      <c r="AL4" s="16" t="n"/>
      <c r="AM4" s="16" t="n"/>
      <c r="AN4" s="16" t="n"/>
      <c r="AO4" s="16" t="n"/>
      <c r="AP4" s="16" t="n"/>
      <c r="AQ4" s="16" t="n"/>
      <c r="AR4" s="16" t="n"/>
      <c r="AS4" s="16" t="n"/>
      <c r="AT4" s="16" t="n"/>
      <c r="AU4" s="16" t="n"/>
      <c r="AV4" s="16" t="n"/>
      <c r="AW4" s="16" t="n"/>
      <c r="AX4" s="16" t="n"/>
      <c r="AY4" s="16" t="n"/>
      <c r="AZ4" s="16" t="n"/>
      <c r="BA4" s="16" t="n"/>
      <c r="BB4" s="18" t="n"/>
      <c r="BC4" s="130" t="n"/>
      <c r="BD4" s="325" t="inlineStr">
        <is>
          <t>CVS</t>
        </is>
      </c>
      <c r="BE4" s="322" t="n"/>
      <c r="BF4" s="322" t="n"/>
      <c r="BG4" s="322" t="n"/>
      <c r="BH4" s="323" t="n"/>
    </row>
    <row r="5" ht="15" customFormat="1" customHeight="1" s="19">
      <c r="A5" s="30" t="n"/>
      <c r="B5" s="30" t="n"/>
      <c r="E5" s="39" t="n">
        <v>0</v>
      </c>
      <c r="F5" s="39" t="n">
        <v>1</v>
      </c>
      <c r="G5" s="39" t="n">
        <v>2</v>
      </c>
      <c r="H5" s="39" t="n">
        <v>3</v>
      </c>
      <c r="I5" s="39" t="n">
        <v>4</v>
      </c>
      <c r="J5" s="39" t="n">
        <v>5</v>
      </c>
      <c r="K5" s="39" t="n">
        <v>6</v>
      </c>
      <c r="L5" s="39" t="n">
        <v>7</v>
      </c>
      <c r="M5" s="39" t="n">
        <v>8</v>
      </c>
      <c r="N5" s="39" t="n">
        <v>9</v>
      </c>
      <c r="O5" s="39" t="n">
        <v>10</v>
      </c>
      <c r="P5" s="39" t="n">
        <v>11</v>
      </c>
      <c r="Q5" s="39" t="n">
        <v>12</v>
      </c>
      <c r="R5" s="39" t="n">
        <v>13</v>
      </c>
      <c r="S5" s="39" t="n">
        <v>14</v>
      </c>
      <c r="T5" s="39" t="n">
        <v>15</v>
      </c>
      <c r="U5" s="39" t="n">
        <v>16</v>
      </c>
      <c r="V5" s="39" t="n">
        <v>17</v>
      </c>
      <c r="W5" s="39" t="n">
        <v>18</v>
      </c>
      <c r="X5" s="39" t="n">
        <v>19</v>
      </c>
      <c r="Y5" s="39" t="n">
        <v>20</v>
      </c>
      <c r="Z5" s="39" t="n">
        <v>21</v>
      </c>
      <c r="AA5" s="39" t="n">
        <v>22</v>
      </c>
      <c r="AB5" s="39" t="n">
        <v>23</v>
      </c>
      <c r="AD5" s="39" t="n">
        <v>0</v>
      </c>
      <c r="AE5" s="39" t="n">
        <v>1</v>
      </c>
      <c r="AF5" s="39" t="n">
        <v>2</v>
      </c>
      <c r="AG5" s="39" t="n">
        <v>3</v>
      </c>
      <c r="AH5" s="39" t="n">
        <v>4</v>
      </c>
      <c r="AI5" s="39" t="n">
        <v>5</v>
      </c>
      <c r="AJ5" s="39" t="n">
        <v>6</v>
      </c>
      <c r="AK5" s="39" t="n">
        <v>7</v>
      </c>
      <c r="AL5" s="39" t="n">
        <v>8</v>
      </c>
      <c r="AM5" s="39" t="n">
        <v>9</v>
      </c>
      <c r="AN5" s="39" t="n">
        <v>10</v>
      </c>
      <c r="AO5" s="39" t="n">
        <v>11</v>
      </c>
      <c r="AP5" s="39" t="n">
        <v>12</v>
      </c>
      <c r="AQ5" s="39" t="n">
        <v>13</v>
      </c>
      <c r="AR5" s="39" t="n">
        <v>14</v>
      </c>
      <c r="AS5" s="39" t="n">
        <v>15</v>
      </c>
      <c r="AT5" s="39" t="n">
        <v>16</v>
      </c>
      <c r="AU5" s="39" t="n">
        <v>17</v>
      </c>
      <c r="AV5" s="39" t="n">
        <v>18</v>
      </c>
      <c r="AW5" s="39" t="n">
        <v>19</v>
      </c>
      <c r="AX5" s="39" t="n">
        <v>20</v>
      </c>
      <c r="AY5" s="39" t="n">
        <v>21</v>
      </c>
      <c r="AZ5" s="39" t="n">
        <v>22</v>
      </c>
      <c r="BA5" s="39" t="n">
        <v>23</v>
      </c>
      <c r="BB5" s="20" t="n"/>
      <c r="BC5" s="28" t="n"/>
      <c r="BD5" s="326" t="inlineStr">
        <is>
          <t>Blank</t>
        </is>
      </c>
      <c r="BE5" s="322" t="n"/>
      <c r="BF5" s="322" t="n"/>
      <c r="BG5" s="322" t="n"/>
      <c r="BH5" s="323" t="n"/>
    </row>
    <row r="6" ht="15" customFormat="1" customHeight="1" s="21">
      <c r="A6" s="31" t="n"/>
      <c r="B6" s="31" t="n"/>
      <c r="E6" s="40" t="inlineStr">
        <is>
          <t>A</t>
        </is>
      </c>
      <c r="F6" s="40" t="inlineStr">
        <is>
          <t>B</t>
        </is>
      </c>
      <c r="G6" s="40" t="inlineStr">
        <is>
          <t>C</t>
        </is>
      </c>
      <c r="H6" s="40" t="inlineStr">
        <is>
          <t>D</t>
        </is>
      </c>
      <c r="I6" s="40" t="inlineStr">
        <is>
          <t>E</t>
        </is>
      </c>
      <c r="J6" s="40" t="inlineStr">
        <is>
          <t>F</t>
        </is>
      </c>
      <c r="K6" s="40" t="inlineStr">
        <is>
          <t>G</t>
        </is>
      </c>
      <c r="L6" s="40" t="inlineStr">
        <is>
          <t>H</t>
        </is>
      </c>
      <c r="M6" s="40" t="inlineStr">
        <is>
          <t>I</t>
        </is>
      </c>
      <c r="N6" s="40" t="inlineStr">
        <is>
          <t>J</t>
        </is>
      </c>
      <c r="O6" s="40" t="inlineStr">
        <is>
          <t>K</t>
        </is>
      </c>
      <c r="P6" s="40" t="inlineStr">
        <is>
          <t>L</t>
        </is>
      </c>
      <c r="Q6" s="40" t="inlineStr">
        <is>
          <t>M</t>
        </is>
      </c>
      <c r="R6" s="40" t="inlineStr">
        <is>
          <t>N</t>
        </is>
      </c>
      <c r="S6" s="40" t="inlineStr">
        <is>
          <t>O</t>
        </is>
      </c>
      <c r="T6" s="40" t="inlineStr">
        <is>
          <t>P</t>
        </is>
      </c>
      <c r="U6" s="40" t="inlineStr">
        <is>
          <t>Q</t>
        </is>
      </c>
      <c r="V6" s="40" t="inlineStr">
        <is>
          <t>R</t>
        </is>
      </c>
      <c r="W6" s="40" t="inlineStr">
        <is>
          <t>S</t>
        </is>
      </c>
      <c r="X6" s="40" t="inlineStr">
        <is>
          <t>T</t>
        </is>
      </c>
      <c r="Y6" s="40" t="inlineStr">
        <is>
          <t>U</t>
        </is>
      </c>
      <c r="Z6" s="40" t="inlineStr">
        <is>
          <t>V</t>
        </is>
      </c>
      <c r="AA6" s="40" t="inlineStr">
        <is>
          <t>W</t>
        </is>
      </c>
      <c r="AB6" s="40" t="inlineStr">
        <is>
          <t>X</t>
        </is>
      </c>
      <c r="AD6" s="40" t="inlineStr">
        <is>
          <t>A</t>
        </is>
      </c>
      <c r="AE6" s="40" t="inlineStr">
        <is>
          <t>B</t>
        </is>
      </c>
      <c r="AF6" s="40" t="inlineStr">
        <is>
          <t>C</t>
        </is>
      </c>
      <c r="AG6" s="40" t="inlineStr">
        <is>
          <t>D</t>
        </is>
      </c>
      <c r="AH6" s="40" t="inlineStr">
        <is>
          <t>E</t>
        </is>
      </c>
      <c r="AI6" s="40" t="inlineStr">
        <is>
          <t>F</t>
        </is>
      </c>
      <c r="AJ6" s="40" t="inlineStr">
        <is>
          <t>G</t>
        </is>
      </c>
      <c r="AK6" s="40" t="inlineStr">
        <is>
          <t>H</t>
        </is>
      </c>
      <c r="AL6" s="40" t="inlineStr">
        <is>
          <t>I</t>
        </is>
      </c>
      <c r="AM6" s="40" t="inlineStr">
        <is>
          <t>J</t>
        </is>
      </c>
      <c r="AN6" s="40" t="inlineStr">
        <is>
          <t>K</t>
        </is>
      </c>
      <c r="AO6" s="40" t="inlineStr">
        <is>
          <t>L</t>
        </is>
      </c>
      <c r="AP6" s="40" t="inlineStr">
        <is>
          <t>M</t>
        </is>
      </c>
      <c r="AQ6" s="40" t="inlineStr">
        <is>
          <t>N</t>
        </is>
      </c>
      <c r="AR6" s="40" t="inlineStr">
        <is>
          <t>O</t>
        </is>
      </c>
      <c r="AS6" s="40" t="inlineStr">
        <is>
          <t>P</t>
        </is>
      </c>
      <c r="AT6" s="40" t="inlineStr">
        <is>
          <t>Q</t>
        </is>
      </c>
      <c r="AU6" s="40" t="inlineStr">
        <is>
          <t>R</t>
        </is>
      </c>
      <c r="AV6" s="40" t="inlineStr">
        <is>
          <t>S</t>
        </is>
      </c>
      <c r="AW6" s="40" t="inlineStr">
        <is>
          <t>T</t>
        </is>
      </c>
      <c r="AX6" s="40" t="inlineStr">
        <is>
          <t>U</t>
        </is>
      </c>
      <c r="AY6" s="40" t="inlineStr">
        <is>
          <t>V</t>
        </is>
      </c>
      <c r="AZ6" s="40" t="inlineStr">
        <is>
          <t>W</t>
        </is>
      </c>
      <c r="BA6" s="40" t="inlineStr">
        <is>
          <t>X</t>
        </is>
      </c>
      <c r="BB6" s="22" t="n"/>
      <c r="BC6" s="125" t="n"/>
      <c r="BD6" s="317" t="inlineStr">
        <is>
          <t>LCS</t>
        </is>
      </c>
      <c r="BE6" s="322" t="n"/>
      <c r="BF6" s="322" t="n"/>
      <c r="BG6" s="322" t="n"/>
      <c r="BH6" s="323" t="n"/>
    </row>
    <row r="7">
      <c r="A7" s="67" t="n"/>
      <c r="B7" s="14" t="n"/>
      <c r="C7" s="23" t="inlineStr">
        <is>
          <t>Checked PLOT</t>
        </is>
      </c>
      <c r="E7" s="138" t="n"/>
      <c r="F7" s="138" t="n"/>
      <c r="G7" s="138" t="n"/>
      <c r="H7" s="138" t="n"/>
      <c r="I7" s="138" t="n"/>
      <c r="J7" s="138" t="n"/>
      <c r="K7" s="138" t="n"/>
      <c r="L7" s="138" t="n"/>
      <c r="M7" s="138" t="n"/>
      <c r="N7" s="138" t="n"/>
      <c r="O7" s="138" t="n"/>
      <c r="P7" s="138" t="n"/>
      <c r="Q7" s="138" t="n"/>
      <c r="R7" s="138" t="n"/>
      <c r="S7" s="138" t="n"/>
      <c r="T7" s="138" t="n"/>
      <c r="U7" s="138" t="n"/>
      <c r="V7" s="138" t="n"/>
      <c r="W7" s="138" t="n"/>
      <c r="X7" s="138" t="n"/>
      <c r="Y7" s="138" t="n"/>
      <c r="Z7" s="138" t="n"/>
      <c r="AA7" s="138" t="n"/>
      <c r="AB7" s="138" t="n"/>
      <c r="AC7" s="42" t="n"/>
      <c r="AD7" s="138" t="n"/>
      <c r="AE7" s="138" t="n"/>
      <c r="AF7" s="138" t="n"/>
      <c r="AG7" s="138" t="n"/>
      <c r="AH7" s="138" t="n"/>
      <c r="AI7" s="138" t="n"/>
      <c r="AJ7" s="138" t="n"/>
      <c r="AK7" s="138" t="n"/>
      <c r="AL7" s="138" t="n"/>
      <c r="AM7" s="138" t="n"/>
      <c r="AN7" s="138" t="n"/>
      <c r="AO7" s="138" t="n"/>
      <c r="AP7" s="138" t="n"/>
      <c r="AQ7" s="138" t="n"/>
      <c r="AR7" s="138" t="n"/>
      <c r="AS7" s="138" t="n"/>
      <c r="AT7" s="138" t="n"/>
      <c r="AU7" s="138" t="n"/>
      <c r="AV7" s="138" t="n"/>
      <c r="AW7" s="138" t="n"/>
      <c r="AX7" s="138" t="n"/>
      <c r="AY7" s="138" t="n"/>
      <c r="AZ7" s="138" t="n"/>
      <c r="BA7" s="138" t="n"/>
      <c r="BB7" s="11" t="n"/>
      <c r="BC7" s="126" t="n"/>
      <c r="BD7" s="317" t="inlineStr">
        <is>
          <t>RTS</t>
        </is>
      </c>
      <c r="BE7" s="322" t="n"/>
      <c r="BF7" s="322" t="n"/>
      <c r="BG7" s="322" t="n"/>
      <c r="BH7" s="323" t="n"/>
    </row>
    <row r="8">
      <c r="A8" s="67" t="n"/>
      <c r="B8" s="14" t="n"/>
      <c r="C8" s="23" t="inlineStr">
        <is>
          <t>RPO PLOT</t>
        </is>
      </c>
      <c r="E8" s="138" t="n"/>
      <c r="F8" s="138" t="n"/>
      <c r="G8" s="138" t="n"/>
      <c r="H8" s="138" t="n"/>
      <c r="I8" s="138" t="n"/>
      <c r="J8" s="138" t="n"/>
      <c r="K8" s="138" t="n"/>
      <c r="L8" s="138" t="n"/>
      <c r="M8" s="138" t="n"/>
      <c r="N8" s="138" t="n"/>
      <c r="O8" s="138" t="n"/>
      <c r="P8" s="138" t="n"/>
      <c r="Q8" s="138" t="n"/>
      <c r="R8" s="138" t="n"/>
      <c r="S8" s="138" t="n"/>
      <c r="T8" s="138" t="n"/>
      <c r="U8" s="138" t="n"/>
      <c r="V8" s="138" t="n"/>
      <c r="W8" s="138" t="n"/>
      <c r="X8" s="138" t="n"/>
      <c r="Y8" s="138" t="n"/>
      <c r="Z8" s="138" t="n"/>
      <c r="AA8" s="138" t="n"/>
      <c r="AB8" s="138" t="n"/>
      <c r="AC8" s="42" t="n"/>
      <c r="AD8" s="138" t="n"/>
      <c r="AE8" s="138" t="n"/>
      <c r="AF8" s="138" t="n"/>
      <c r="AG8" s="138" t="n"/>
      <c r="AH8" s="138" t="n"/>
      <c r="AI8" s="138" t="n"/>
      <c r="AJ8" s="138" t="n"/>
      <c r="AK8" s="138" t="n"/>
      <c r="AL8" s="138" t="n"/>
      <c r="AM8" s="138" t="n"/>
      <c r="AN8" s="138" t="n"/>
      <c r="AO8" s="138" t="n"/>
      <c r="AP8" s="138" t="n"/>
      <c r="AQ8" s="138" t="n"/>
      <c r="AR8" s="138" t="n"/>
      <c r="AS8" s="138" t="n"/>
      <c r="AT8" s="138" t="n"/>
      <c r="AU8" s="138" t="n"/>
      <c r="AV8" s="138" t="n"/>
      <c r="AW8" s="138" t="n"/>
      <c r="AX8" s="138" t="n"/>
      <c r="AY8" s="138" t="n"/>
      <c r="AZ8" s="138" t="n"/>
      <c r="BA8" s="138" t="n"/>
      <c r="BB8" s="11" t="n"/>
      <c r="BC8" s="127" t="n"/>
      <c r="BD8" s="317" t="inlineStr">
        <is>
          <t>Experimental/ Test</t>
        </is>
      </c>
      <c r="BE8" s="322" t="n"/>
      <c r="BF8" s="322" t="n"/>
      <c r="BG8" s="322" t="n"/>
      <c r="BH8" s="323" t="n"/>
    </row>
    <row r="9">
      <c r="A9" s="67" t="n"/>
      <c r="B9" s="14" t="n"/>
      <c r="C9" s="23" t="inlineStr">
        <is>
          <t>Checked BP</t>
        </is>
      </c>
      <c r="E9" s="138" t="n"/>
      <c r="F9" s="138" t="n"/>
      <c r="G9" s="138" t="n"/>
      <c r="H9" s="138" t="n"/>
      <c r="I9" s="138" t="n"/>
      <c r="J9" s="138" t="n"/>
      <c r="K9" s="138" t="n"/>
      <c r="L9" s="138" t="n"/>
      <c r="M9" s="138" t="n"/>
      <c r="N9" s="138" t="n"/>
      <c r="O9" s="138" t="n"/>
      <c r="P9" s="138" t="n"/>
      <c r="Q9" s="138" t="n"/>
      <c r="R9" s="138" t="n"/>
      <c r="S9" s="138" t="n"/>
      <c r="T9" s="138" t="n"/>
      <c r="U9" s="138" t="n"/>
      <c r="V9" s="138" t="n"/>
      <c r="W9" s="138" t="n"/>
      <c r="X9" s="138" t="n"/>
      <c r="Y9" s="138" t="n"/>
      <c r="Z9" s="138" t="n"/>
      <c r="AA9" s="138" t="n"/>
      <c r="AB9" s="138" t="n"/>
      <c r="AC9" s="42" t="n"/>
      <c r="AD9" s="138" t="n"/>
      <c r="AE9" s="138" t="n"/>
      <c r="AF9" s="138" t="n"/>
      <c r="AG9" s="138" t="n"/>
      <c r="AH9" s="138" t="n"/>
      <c r="AI9" s="138" t="n"/>
      <c r="AJ9" s="138" t="n"/>
      <c r="AK9" s="138" t="n"/>
      <c r="AL9" s="138" t="n"/>
      <c r="AM9" s="138" t="n"/>
      <c r="AN9" s="138" t="n"/>
      <c r="AO9" s="138" t="n"/>
      <c r="AP9" s="138" t="n"/>
      <c r="AQ9" s="138" t="n"/>
      <c r="AR9" s="138" t="n"/>
      <c r="AS9" s="138" t="n"/>
      <c r="AT9" s="138" t="n"/>
      <c r="AU9" s="138" t="n"/>
      <c r="AV9" s="138" t="n"/>
      <c r="AW9" s="138" t="n"/>
      <c r="AX9" s="138" t="n"/>
      <c r="AY9" s="138" t="n"/>
      <c r="AZ9" s="138" t="n"/>
      <c r="BA9" s="138" t="n"/>
      <c r="BB9" s="11" t="n"/>
      <c r="BC9" s="131" t="n"/>
      <c r="BD9" s="317" t="inlineStr">
        <is>
          <t>Missing Data</t>
        </is>
      </c>
      <c r="BE9" s="322" t="n"/>
      <c r="BF9" s="322" t="n"/>
      <c r="BG9" s="322" t="n"/>
      <c r="BH9" s="323" t="n"/>
    </row>
    <row r="10">
      <c r="A10" s="67" t="n"/>
      <c r="B10" s="14" t="n"/>
      <c r="C10" s="23" t="inlineStr">
        <is>
          <t>RPO BP</t>
        </is>
      </c>
      <c r="E10" s="138" t="n"/>
      <c r="F10" s="138" t="n"/>
      <c r="G10" s="138" t="n"/>
      <c r="H10" s="138" t="n"/>
      <c r="I10" s="138" t="n"/>
      <c r="J10" s="138" t="n"/>
      <c r="K10" s="138" t="n"/>
      <c r="L10" s="138" t="n"/>
      <c r="M10" s="138" t="n"/>
      <c r="N10" s="138" t="n"/>
      <c r="O10" s="138" t="n"/>
      <c r="P10" s="138" t="n"/>
      <c r="Q10" s="138" t="n"/>
      <c r="R10" s="138" t="n"/>
      <c r="S10" s="138" t="n"/>
      <c r="T10" s="138" t="n"/>
      <c r="U10" s="138" t="n"/>
      <c r="V10" s="138" t="n"/>
      <c r="W10" s="138" t="n"/>
      <c r="X10" s="138" t="n"/>
      <c r="Y10" s="138" t="n"/>
      <c r="Z10" s="138" t="n"/>
      <c r="AA10" s="138" t="n"/>
      <c r="AB10" s="138" t="n"/>
      <c r="AC10" s="42" t="n"/>
      <c r="AD10" s="138" t="n"/>
      <c r="AE10" s="138" t="n"/>
      <c r="AF10" s="138" t="n"/>
      <c r="AG10" s="138" t="n"/>
      <c r="AH10" s="138" t="n"/>
      <c r="AI10" s="138" t="n"/>
      <c r="AJ10" s="138" t="n"/>
      <c r="AK10" s="138" t="n"/>
      <c r="AL10" s="138" t="n"/>
      <c r="AM10" s="138" t="n"/>
      <c r="AN10" s="138" t="n"/>
      <c r="AO10" s="138" t="n"/>
      <c r="AP10" s="138" t="n"/>
      <c r="AQ10" s="138" t="n"/>
      <c r="AR10" s="138" t="n"/>
      <c r="AS10" s="138" t="n"/>
      <c r="AT10" s="138" t="n"/>
      <c r="AU10" s="138" t="n"/>
      <c r="AV10" s="138" t="n"/>
      <c r="AW10" s="138" t="n"/>
      <c r="AX10" s="138" t="n"/>
      <c r="AY10" s="138" t="n"/>
      <c r="AZ10" s="138" t="n"/>
      <c r="BA10" s="138" t="n"/>
      <c r="BB10" s="11" t="n"/>
      <c r="BC10" s="128" t="n"/>
      <c r="BD10" s="317" t="inlineStr">
        <is>
          <t>Invalidate</t>
        </is>
      </c>
      <c r="BE10" s="322" t="n"/>
      <c r="BF10" s="322" t="n"/>
      <c r="BG10" s="322" t="n"/>
      <c r="BH10" s="323" t="n"/>
    </row>
    <row r="11">
      <c r="A11" s="67" t="n"/>
      <c r="B11" s="14" t="n"/>
      <c r="C11" s="23" t="inlineStr">
        <is>
          <t>Invalid PLOT</t>
        </is>
      </c>
      <c r="E11" s="138" t="n"/>
      <c r="F11" s="138" t="n"/>
      <c r="G11" s="138" t="n"/>
      <c r="H11" s="138" t="n"/>
      <c r="I11" s="138" t="n"/>
      <c r="J11" s="138" t="n"/>
      <c r="K11" s="138" t="n"/>
      <c r="L11" s="138" t="n"/>
      <c r="M11" s="138" t="n"/>
      <c r="N11" s="138" t="n"/>
      <c r="O11" s="138" t="n"/>
      <c r="P11" s="138" t="n"/>
      <c r="Q11" s="138" t="n"/>
      <c r="R11" s="138" t="n"/>
      <c r="S11" s="138" t="n"/>
      <c r="T11" s="138" t="n"/>
      <c r="U11" s="138" t="n"/>
      <c r="V11" s="138" t="n"/>
      <c r="W11" s="138" t="n"/>
      <c r="X11" s="138" t="n"/>
      <c r="Y11" s="138" t="n"/>
      <c r="Z11" s="138" t="n"/>
      <c r="AA11" s="138" t="n"/>
      <c r="AB11" s="138" t="n"/>
      <c r="AC11" s="42" t="n"/>
      <c r="AD11" s="138" t="n"/>
      <c r="AE11" s="138" t="n"/>
      <c r="AF11" s="138" t="n"/>
      <c r="AG11" s="138" t="n"/>
      <c r="AH11" s="138" t="n"/>
      <c r="AI11" s="138" t="n"/>
      <c r="AJ11" s="138" t="n"/>
      <c r="AK11" s="138" t="n"/>
      <c r="AL11" s="138" t="n"/>
      <c r="AM11" s="138" t="n"/>
      <c r="AN11" s="138" t="n"/>
      <c r="AO11" s="138" t="n"/>
      <c r="AP11" s="138" t="n"/>
      <c r="AQ11" s="138" t="n"/>
      <c r="AR11" s="138" t="n"/>
      <c r="AS11" s="138" t="n"/>
      <c r="AT11" s="138" t="n"/>
      <c r="AU11" s="138" t="n"/>
      <c r="AV11" s="138" t="n"/>
      <c r="AW11" s="138" t="n"/>
      <c r="AX11" s="138" t="n"/>
      <c r="AY11" s="138" t="n"/>
      <c r="AZ11" s="138" t="n"/>
      <c r="BA11" s="138" t="n"/>
      <c r="BB11" s="11" t="n"/>
      <c r="BC11" s="132" t="n"/>
      <c r="BD11" s="313" t="inlineStr">
        <is>
          <t>Check this Hour</t>
        </is>
      </c>
      <c r="BE11" s="347" t="n"/>
      <c r="BF11" s="347" t="n"/>
      <c r="BG11" s="347" t="n"/>
      <c r="BH11" s="249" t="n"/>
    </row>
    <row r="12">
      <c r="A12" s="67" t="n"/>
      <c r="B12" s="14" t="n"/>
      <c r="C12" s="23" t="inlineStr">
        <is>
          <t>Invalid BP</t>
        </is>
      </c>
      <c r="E12" s="138" t="n"/>
      <c r="F12" s="138" t="n"/>
      <c r="G12" s="138" t="n"/>
      <c r="H12" s="138" t="n"/>
      <c r="I12" s="138" t="n"/>
      <c r="J12" s="138" t="n"/>
      <c r="K12" s="138" t="n"/>
      <c r="L12" s="138" t="n"/>
      <c r="M12" s="138" t="n"/>
      <c r="N12" s="138" t="n"/>
      <c r="O12" s="138" t="n"/>
      <c r="P12" s="138" t="n"/>
      <c r="Q12" s="138" t="n"/>
      <c r="R12" s="138" t="n"/>
      <c r="S12" s="138" t="n"/>
      <c r="T12" s="138" t="n"/>
      <c r="U12" s="138" t="n"/>
      <c r="V12" s="138" t="n"/>
      <c r="W12" s="138" t="n"/>
      <c r="X12" s="138" t="n"/>
      <c r="Y12" s="138" t="n"/>
      <c r="Z12" s="138" t="n"/>
      <c r="AA12" s="138" t="n"/>
      <c r="AB12" s="138" t="n"/>
      <c r="AC12" s="42" t="n"/>
      <c r="AD12" s="138" t="n"/>
      <c r="AE12" s="138" t="n"/>
      <c r="AF12" s="138" t="n"/>
      <c r="AG12" s="138" t="n"/>
      <c r="AH12" s="138" t="n"/>
      <c r="AI12" s="138" t="n"/>
      <c r="AJ12" s="138" t="n"/>
      <c r="AK12" s="138" t="n"/>
      <c r="AL12" s="138" t="n"/>
      <c r="AM12" s="138" t="n"/>
      <c r="AN12" s="138" t="n"/>
      <c r="AO12" s="138" t="n"/>
      <c r="AP12" s="138" t="n"/>
      <c r="AQ12" s="138" t="n"/>
      <c r="AR12" s="138" t="n"/>
      <c r="AS12" s="138" t="n"/>
      <c r="AT12" s="138" t="n"/>
      <c r="AU12" s="138" t="n"/>
      <c r="AV12" s="138" t="n"/>
      <c r="AW12" s="138" t="n"/>
      <c r="AX12" s="138" t="n"/>
      <c r="AY12" s="138" t="n"/>
      <c r="AZ12" s="138" t="n"/>
      <c r="BA12" s="138" t="n"/>
      <c r="BB12" s="11" t="n"/>
      <c r="BC12" s="97" t="inlineStr">
        <is>
          <t>RP</t>
        </is>
      </c>
      <c r="BD12" s="313" t="inlineStr">
        <is>
          <t>Reprocessed file</t>
        </is>
      </c>
      <c r="BE12" s="347" t="n"/>
      <c r="BF12" s="347" t="n"/>
      <c r="BG12" s="347" t="n"/>
      <c r="BH12" s="249" t="n"/>
    </row>
    <row r="13" ht="44.25" customHeight="1">
      <c r="A13" s="67" t="n"/>
      <c r="B13" s="14" t="n"/>
      <c r="C13" s="24" t="inlineStr">
        <is>
          <t>Op Log</t>
        </is>
      </c>
      <c r="E13" s="316" t="n"/>
      <c r="F13" s="322" t="n"/>
      <c r="G13" s="322" t="n"/>
      <c r="H13" s="322" t="n"/>
      <c r="I13" s="322" t="n"/>
      <c r="J13" s="322" t="n"/>
      <c r="K13" s="322" t="n"/>
      <c r="L13" s="322" t="n"/>
      <c r="M13" s="322" t="n"/>
      <c r="N13" s="322" t="n"/>
      <c r="O13" s="322" t="n"/>
      <c r="P13" s="322" t="n"/>
      <c r="Q13" s="322" t="n"/>
      <c r="R13" s="322" t="n"/>
      <c r="S13" s="322" t="n"/>
      <c r="T13" s="322" t="n"/>
      <c r="U13" s="322" t="n"/>
      <c r="V13" s="322" t="n"/>
      <c r="W13" s="322" t="n"/>
      <c r="X13" s="322" t="n"/>
      <c r="Y13" s="322" t="n"/>
      <c r="Z13" s="322" t="n"/>
      <c r="AA13" s="322" t="n"/>
      <c r="AB13" s="322" t="n"/>
      <c r="AC13" s="32" t="n"/>
      <c r="AD13" s="316" t="n"/>
      <c r="AE13" s="322" t="n"/>
      <c r="AF13" s="322" t="n"/>
      <c r="AG13" s="322" t="n"/>
      <c r="AH13" s="322" t="n"/>
      <c r="AI13" s="322" t="n"/>
      <c r="AJ13" s="322" t="n"/>
      <c r="AK13" s="322" t="n"/>
      <c r="AL13" s="322" t="n"/>
      <c r="AM13" s="322" t="n"/>
      <c r="AN13" s="322" t="n"/>
      <c r="AO13" s="322" t="n"/>
      <c r="AP13" s="322" t="n"/>
      <c r="AQ13" s="322" t="n"/>
      <c r="AR13" s="322" t="n"/>
      <c r="AS13" s="322" t="n"/>
      <c r="AT13" s="322" t="n"/>
      <c r="AU13" s="322" t="n"/>
      <c r="AV13" s="322" t="n"/>
      <c r="AW13" s="322" t="n"/>
      <c r="AX13" s="322" t="n"/>
      <c r="AY13" s="322" t="n"/>
      <c r="AZ13" s="322" t="n"/>
      <c r="BA13" s="322" t="n"/>
      <c r="BB13" s="11" t="n"/>
      <c r="BC13" s="133" t="inlineStr">
        <is>
          <t>OK</t>
        </is>
      </c>
      <c r="BD13" s="313" t="inlineStr">
        <is>
          <t>Hour reviewed and correct</t>
        </is>
      </c>
      <c r="BE13" s="347" t="n"/>
      <c r="BF13" s="347" t="n"/>
      <c r="BG13" s="347" t="n"/>
      <c r="BH13" s="249" t="n"/>
    </row>
    <row r="14" ht="43.5" customHeight="1">
      <c r="A14" s="67" t="n"/>
      <c r="B14" s="14" t="n"/>
      <c r="C14" s="24" t="inlineStr">
        <is>
          <t>Notes:</t>
        </is>
      </c>
      <c r="E14" s="321" t="n"/>
      <c r="F14" s="322" t="n"/>
      <c r="G14" s="322" t="n"/>
      <c r="H14" s="322" t="n"/>
      <c r="I14" s="322" t="n"/>
      <c r="J14" s="322" t="n"/>
      <c r="K14" s="322" t="n"/>
      <c r="L14" s="322" t="n"/>
      <c r="M14" s="322" t="n"/>
      <c r="N14" s="322" t="n"/>
      <c r="O14" s="322" t="n"/>
      <c r="P14" s="323" t="n"/>
      <c r="Q14" s="324" t="n"/>
      <c r="R14" s="322" t="n"/>
      <c r="S14" s="322" t="n"/>
      <c r="T14" s="322" t="n"/>
      <c r="U14" s="322" t="n"/>
      <c r="V14" s="322" t="n"/>
      <c r="W14" s="322" t="n"/>
      <c r="X14" s="322" t="n"/>
      <c r="Y14" s="322" t="n"/>
      <c r="Z14" s="322" t="n"/>
      <c r="AA14" s="322" t="n"/>
      <c r="AB14" s="322" t="n"/>
      <c r="AC14" s="32" t="n"/>
      <c r="AD14" s="321" t="n"/>
      <c r="AE14" s="322" t="n"/>
      <c r="AF14" s="322" t="n"/>
      <c r="AG14" s="322" t="n"/>
      <c r="AH14" s="322" t="n"/>
      <c r="AI14" s="322" t="n"/>
      <c r="AJ14" s="322" t="n"/>
      <c r="AK14" s="322" t="n"/>
      <c r="AL14" s="322" t="n"/>
      <c r="AM14" s="322" t="n"/>
      <c r="AN14" s="322" t="n"/>
      <c r="AO14" s="323" t="n"/>
      <c r="AP14" s="324" t="n"/>
      <c r="AQ14" s="322" t="n"/>
      <c r="AR14" s="322" t="n"/>
      <c r="AS14" s="322" t="n"/>
      <c r="AT14" s="322" t="n"/>
      <c r="AU14" s="322" t="n"/>
      <c r="AV14" s="322" t="n"/>
      <c r="AW14" s="322" t="n"/>
      <c r="AX14" s="322" t="n"/>
      <c r="AY14" s="322" t="n"/>
      <c r="AZ14" s="322" t="n"/>
      <c r="BA14" s="322" t="n"/>
      <c r="BB14" s="11" t="n"/>
      <c r="BC14" s="134" t="n"/>
      <c r="BD14" s="317" t="inlineStr">
        <is>
          <t>Multipoint</t>
        </is>
      </c>
      <c r="BE14" s="322" t="n"/>
      <c r="BF14" s="322" t="n"/>
      <c r="BG14" s="322" t="n"/>
      <c r="BH14" s="323" t="n"/>
    </row>
    <row r="15" ht="18.75" customFormat="1" customHeight="1" s="15">
      <c r="A15" s="68" t="n"/>
      <c r="B15" s="29" t="n"/>
      <c r="E15" s="16" t="n">
        <v>3</v>
      </c>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6" t="n"/>
      <c r="AD15" s="16" t="n">
        <v>4</v>
      </c>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8" t="n"/>
      <c r="BC15" s="135" t="n"/>
      <c r="BD15" s="313" t="inlineStr">
        <is>
          <t>Detection Limit</t>
        </is>
      </c>
      <c r="BE15" s="347" t="n"/>
      <c r="BF15" s="347" t="n"/>
      <c r="BG15" s="347" t="n"/>
      <c r="BH15" s="249" t="n"/>
    </row>
    <row r="16" customFormat="1" s="27">
      <c r="A16" s="67" t="n"/>
      <c r="B16" s="14" t="n"/>
      <c r="C16" s="25" t="n"/>
      <c r="D16" s="25" t="n"/>
      <c r="E16" s="39" t="n">
        <v>0</v>
      </c>
      <c r="F16" s="39" t="n">
        <v>1</v>
      </c>
      <c r="G16" s="39" t="n">
        <v>2</v>
      </c>
      <c r="H16" s="39" t="n">
        <v>3</v>
      </c>
      <c r="I16" s="39" t="n">
        <v>4</v>
      </c>
      <c r="J16" s="39" t="n">
        <v>5</v>
      </c>
      <c r="K16" s="39" t="n">
        <v>6</v>
      </c>
      <c r="L16" s="39" t="n">
        <v>7</v>
      </c>
      <c r="M16" s="39" t="n">
        <v>8</v>
      </c>
      <c r="N16" s="39" t="n">
        <v>9</v>
      </c>
      <c r="O16" s="39" t="n">
        <v>10</v>
      </c>
      <c r="P16" s="39" t="n">
        <v>11</v>
      </c>
      <c r="Q16" s="39" t="n">
        <v>12</v>
      </c>
      <c r="R16" s="39" t="n">
        <v>13</v>
      </c>
      <c r="S16" s="39" t="n">
        <v>14</v>
      </c>
      <c r="T16" s="39" t="n">
        <v>15</v>
      </c>
      <c r="U16" s="39" t="n">
        <v>16</v>
      </c>
      <c r="V16" s="39" t="n">
        <v>17</v>
      </c>
      <c r="W16" s="39" t="n">
        <v>18</v>
      </c>
      <c r="X16" s="39" t="n">
        <v>19</v>
      </c>
      <c r="Y16" s="39" t="n">
        <v>20</v>
      </c>
      <c r="Z16" s="39" t="n">
        <v>21</v>
      </c>
      <c r="AA16" s="39" t="n">
        <v>22</v>
      </c>
      <c r="AB16" s="39" t="n">
        <v>23</v>
      </c>
      <c r="AC16" s="25" t="n"/>
      <c r="AD16" s="39" t="n">
        <v>0</v>
      </c>
      <c r="AE16" s="39" t="n">
        <v>1</v>
      </c>
      <c r="AF16" s="39" t="n">
        <v>2</v>
      </c>
      <c r="AG16" s="39" t="n">
        <v>3</v>
      </c>
      <c r="AH16" s="39" t="n">
        <v>4</v>
      </c>
      <c r="AI16" s="39" t="n">
        <v>5</v>
      </c>
      <c r="AJ16" s="39" t="n">
        <v>6</v>
      </c>
      <c r="AK16" s="39" t="n">
        <v>7</v>
      </c>
      <c r="AL16" s="39" t="n">
        <v>8</v>
      </c>
      <c r="AM16" s="39" t="n">
        <v>9</v>
      </c>
      <c r="AN16" s="39" t="n">
        <v>10</v>
      </c>
      <c r="AO16" s="39" t="n">
        <v>11</v>
      </c>
      <c r="AP16" s="39" t="n">
        <v>12</v>
      </c>
      <c r="AQ16" s="39" t="n">
        <v>13</v>
      </c>
      <c r="AR16" s="39" t="n">
        <v>14</v>
      </c>
      <c r="AS16" s="39" t="n">
        <v>15</v>
      </c>
      <c r="AT16" s="39" t="n">
        <v>16</v>
      </c>
      <c r="AU16" s="39" t="n">
        <v>17</v>
      </c>
      <c r="AV16" s="39" t="n">
        <v>18</v>
      </c>
      <c r="AW16" s="39" t="n">
        <v>19</v>
      </c>
      <c r="AX16" s="39" t="n">
        <v>20</v>
      </c>
      <c r="AY16" s="39" t="n">
        <v>21</v>
      </c>
      <c r="AZ16" s="39" t="n">
        <v>22</v>
      </c>
      <c r="BA16" s="39" t="n">
        <v>23</v>
      </c>
      <c r="BB16" s="26" t="n"/>
      <c r="BC16" s="133" t="inlineStr">
        <is>
          <t>SB</t>
        </is>
      </c>
      <c r="BD16" s="313" t="inlineStr">
        <is>
          <t>See Below</t>
        </is>
      </c>
      <c r="BE16" s="347" t="n"/>
      <c r="BF16" s="347" t="n"/>
      <c r="BG16" s="347" t="n"/>
      <c r="BH16" s="249" t="n"/>
    </row>
    <row r="17" ht="15" customFormat="1" customHeight="1" s="27">
      <c r="A17" s="67" t="n"/>
      <c r="B17" s="14" t="n"/>
      <c r="C17" s="25" t="n"/>
      <c r="D17" s="25" t="n"/>
      <c r="E17" s="40" t="inlineStr">
        <is>
          <t>A</t>
        </is>
      </c>
      <c r="F17" s="40" t="inlineStr">
        <is>
          <t>B</t>
        </is>
      </c>
      <c r="G17" s="40" t="inlineStr">
        <is>
          <t>C</t>
        </is>
      </c>
      <c r="H17" s="40" t="inlineStr">
        <is>
          <t>D</t>
        </is>
      </c>
      <c r="I17" s="40" t="inlineStr">
        <is>
          <t>E</t>
        </is>
      </c>
      <c r="J17" s="40" t="inlineStr">
        <is>
          <t>F</t>
        </is>
      </c>
      <c r="K17" s="40" t="inlineStr">
        <is>
          <t>G</t>
        </is>
      </c>
      <c r="L17" s="40" t="inlineStr">
        <is>
          <t>H</t>
        </is>
      </c>
      <c r="M17" s="40" t="inlineStr">
        <is>
          <t>I</t>
        </is>
      </c>
      <c r="N17" s="40" t="inlineStr">
        <is>
          <t>J</t>
        </is>
      </c>
      <c r="O17" s="40" t="inlineStr">
        <is>
          <t>K</t>
        </is>
      </c>
      <c r="P17" s="40" t="inlineStr">
        <is>
          <t>L</t>
        </is>
      </c>
      <c r="Q17" s="40" t="inlineStr">
        <is>
          <t>M</t>
        </is>
      </c>
      <c r="R17" s="40" t="inlineStr">
        <is>
          <t>N</t>
        </is>
      </c>
      <c r="S17" s="40" t="inlineStr">
        <is>
          <t>O</t>
        </is>
      </c>
      <c r="T17" s="40" t="inlineStr">
        <is>
          <t>P</t>
        </is>
      </c>
      <c r="U17" s="40" t="inlineStr">
        <is>
          <t>Q</t>
        </is>
      </c>
      <c r="V17" s="40" t="inlineStr">
        <is>
          <t>R</t>
        </is>
      </c>
      <c r="W17" s="40" t="inlineStr">
        <is>
          <t>S</t>
        </is>
      </c>
      <c r="X17" s="40" t="inlineStr">
        <is>
          <t>T</t>
        </is>
      </c>
      <c r="Y17" s="40" t="inlineStr">
        <is>
          <t>U</t>
        </is>
      </c>
      <c r="Z17" s="40" t="inlineStr">
        <is>
          <t>V</t>
        </is>
      </c>
      <c r="AA17" s="40" t="inlineStr">
        <is>
          <t>W</t>
        </is>
      </c>
      <c r="AB17" s="40" t="inlineStr">
        <is>
          <t>X</t>
        </is>
      </c>
      <c r="AC17" s="25" t="n"/>
      <c r="AD17" s="40" t="inlineStr">
        <is>
          <t>A</t>
        </is>
      </c>
      <c r="AE17" s="40" t="inlineStr">
        <is>
          <t>B</t>
        </is>
      </c>
      <c r="AF17" s="40" t="inlineStr">
        <is>
          <t>C</t>
        </is>
      </c>
      <c r="AG17" s="40" t="inlineStr">
        <is>
          <t>D</t>
        </is>
      </c>
      <c r="AH17" s="40" t="inlineStr">
        <is>
          <t>E</t>
        </is>
      </c>
      <c r="AI17" s="40" t="inlineStr">
        <is>
          <t>F</t>
        </is>
      </c>
      <c r="AJ17" s="40" t="inlineStr">
        <is>
          <t>G</t>
        </is>
      </c>
      <c r="AK17" s="40" t="inlineStr">
        <is>
          <t>H</t>
        </is>
      </c>
      <c r="AL17" s="40" t="inlineStr">
        <is>
          <t>I</t>
        </is>
      </c>
      <c r="AM17" s="40" t="inlineStr">
        <is>
          <t>J</t>
        </is>
      </c>
      <c r="AN17" s="40" t="inlineStr">
        <is>
          <t>K</t>
        </is>
      </c>
      <c r="AO17" s="40" t="inlineStr">
        <is>
          <t>L</t>
        </is>
      </c>
      <c r="AP17" s="40" t="inlineStr">
        <is>
          <t>M</t>
        </is>
      </c>
      <c r="AQ17" s="40" t="inlineStr">
        <is>
          <t>N</t>
        </is>
      </c>
      <c r="AR17" s="40" t="inlineStr">
        <is>
          <t>O</t>
        </is>
      </c>
      <c r="AS17" s="40" t="inlineStr">
        <is>
          <t>P</t>
        </is>
      </c>
      <c r="AT17" s="40" t="inlineStr">
        <is>
          <t>Q</t>
        </is>
      </c>
      <c r="AU17" s="40" t="inlineStr">
        <is>
          <t>R</t>
        </is>
      </c>
      <c r="AV17" s="40" t="inlineStr">
        <is>
          <t>S</t>
        </is>
      </c>
      <c r="AW17" s="40" t="inlineStr">
        <is>
          <t>T</t>
        </is>
      </c>
      <c r="AX17" s="40" t="inlineStr">
        <is>
          <t>U</t>
        </is>
      </c>
      <c r="AY17" s="40" t="inlineStr">
        <is>
          <t>V</t>
        </is>
      </c>
      <c r="AZ17" s="40" t="inlineStr">
        <is>
          <t>W</t>
        </is>
      </c>
      <c r="BA17" s="40" t="inlineStr">
        <is>
          <t>X</t>
        </is>
      </c>
      <c r="BB17" s="26" t="n"/>
      <c r="BC17" s="136" t="n"/>
    </row>
    <row r="18" ht="15.75" customHeight="1">
      <c r="A18" s="67" t="n"/>
      <c r="B18" s="14" t="n"/>
      <c r="C18" s="23" t="inlineStr">
        <is>
          <t>Checked PLOT</t>
        </is>
      </c>
      <c r="E18" s="138" t="n"/>
      <c r="F18" s="138" t="n"/>
      <c r="G18" s="138" t="n"/>
      <c r="H18" s="138" t="n"/>
      <c r="I18" s="138" t="n"/>
      <c r="J18" s="138" t="n"/>
      <c r="K18" s="138" t="n"/>
      <c r="L18" s="138" t="n"/>
      <c r="M18" s="138" t="n"/>
      <c r="N18" s="138" t="n"/>
      <c r="O18" s="138" t="n"/>
      <c r="P18" s="138" t="n"/>
      <c r="Q18" s="138" t="n"/>
      <c r="R18" s="138" t="n"/>
      <c r="S18" s="138" t="n"/>
      <c r="T18" s="138" t="n"/>
      <c r="U18" s="138" t="n"/>
      <c r="V18" s="138" t="n"/>
      <c r="W18" s="138" t="n"/>
      <c r="X18" s="138" t="n"/>
      <c r="Y18" s="138" t="n"/>
      <c r="Z18" s="138" t="n"/>
      <c r="AA18" s="138" t="n"/>
      <c r="AB18" s="138" t="n"/>
      <c r="AC18" s="41" t="n"/>
      <c r="AD18" s="138" t="n"/>
      <c r="AE18" s="138" t="n"/>
      <c r="AF18" s="138" t="n"/>
      <c r="AG18" s="138" t="n"/>
      <c r="AH18" s="138" t="n"/>
      <c r="AI18" s="138" t="n"/>
      <c r="AJ18" s="138" t="n"/>
      <c r="AK18" s="138" t="n"/>
      <c r="AL18" s="138" t="n"/>
      <c r="AM18" s="138" t="n"/>
      <c r="AN18" s="138" t="n"/>
      <c r="AO18" s="138" t="n"/>
      <c r="AP18" s="138" t="n"/>
      <c r="AQ18" s="138" t="n"/>
      <c r="AR18" s="138" t="n"/>
      <c r="AS18" s="138" t="n"/>
      <c r="AT18" s="138" t="n"/>
      <c r="AU18" s="138" t="n"/>
      <c r="AV18" s="138" t="n"/>
      <c r="AW18" s="138" t="n"/>
      <c r="AX18" s="138" t="n"/>
      <c r="AY18" s="138" t="n"/>
      <c r="AZ18" s="138" t="n"/>
      <c r="BA18" s="138" t="n"/>
      <c r="BB18" s="11" t="n"/>
      <c r="BC18" s="62" t="n"/>
      <c r="BD18" s="10" t="n"/>
      <c r="BE18" s="10" t="n"/>
      <c r="BF18" s="10" t="n"/>
      <c r="BG18" s="10" t="n"/>
      <c r="BH18" s="10" t="n"/>
    </row>
    <row r="19">
      <c r="A19" s="67" t="n"/>
      <c r="B19" s="14" t="n"/>
      <c r="C19" s="23" t="inlineStr">
        <is>
          <t>RPO PLOT</t>
        </is>
      </c>
      <c r="E19" s="138" t="n"/>
      <c r="F19" s="138" t="n"/>
      <c r="G19" s="138" t="n"/>
      <c r="H19" s="138" t="n"/>
      <c r="I19" s="138" t="n"/>
      <c r="J19" s="138" t="n"/>
      <c r="K19" s="138" t="n"/>
      <c r="L19" s="138" t="n"/>
      <c r="M19" s="138" t="n"/>
      <c r="N19" s="138" t="n"/>
      <c r="O19" s="138" t="n"/>
      <c r="P19" s="138" t="n"/>
      <c r="Q19" s="138" t="n"/>
      <c r="R19" s="138" t="n"/>
      <c r="S19" s="138" t="n"/>
      <c r="T19" s="138" t="n"/>
      <c r="U19" s="138" t="n"/>
      <c r="V19" s="138" t="n"/>
      <c r="W19" s="138" t="n"/>
      <c r="X19" s="138" t="n"/>
      <c r="Y19" s="138" t="n"/>
      <c r="Z19" s="138" t="n"/>
      <c r="AA19" s="138" t="n"/>
      <c r="AB19" s="138" t="n"/>
      <c r="AC19" s="41" t="n"/>
      <c r="AD19" s="138" t="n"/>
      <c r="AE19" s="138" t="n"/>
      <c r="AF19" s="138" t="n"/>
      <c r="AG19" s="138" t="n"/>
      <c r="AH19" s="138" t="n"/>
      <c r="AI19" s="138" t="n"/>
      <c r="AJ19" s="138" t="n"/>
      <c r="AK19" s="138" t="n"/>
      <c r="AL19" s="138" t="n"/>
      <c r="AM19" s="138" t="n"/>
      <c r="AN19" s="138" t="n"/>
      <c r="AO19" s="138" t="n"/>
      <c r="AP19" s="138" t="n"/>
      <c r="AQ19" s="138" t="n"/>
      <c r="AR19" s="138" t="n"/>
      <c r="AS19" s="138" t="n"/>
      <c r="AT19" s="138" t="n"/>
      <c r="AU19" s="138" t="n"/>
      <c r="AV19" s="138" t="n"/>
      <c r="AW19" s="138" t="n"/>
      <c r="AX19" s="138" t="n"/>
      <c r="AY19" s="138" t="n"/>
      <c r="AZ19" s="138" t="n"/>
      <c r="BA19" s="138" t="n"/>
      <c r="BB19" s="11" t="n"/>
      <c r="BC19" s="62" t="n"/>
      <c r="BD19" s="10" t="n"/>
      <c r="BE19" s="10" t="n"/>
      <c r="BF19" s="10" t="n"/>
      <c r="BG19" s="10" t="n"/>
      <c r="BH19" s="10" t="n"/>
    </row>
    <row r="20">
      <c r="A20" s="67" t="n"/>
      <c r="B20" s="14" t="n"/>
      <c r="C20" s="23" t="inlineStr">
        <is>
          <t>Checked BP</t>
        </is>
      </c>
      <c r="E20" s="138" t="n"/>
      <c r="F20" s="138" t="n"/>
      <c r="G20" s="138" t="n"/>
      <c r="H20" s="138" t="n"/>
      <c r="I20" s="138" t="n"/>
      <c r="J20" s="138" t="n"/>
      <c r="K20" s="138" t="n"/>
      <c r="L20" s="138" t="n"/>
      <c r="M20" s="138" t="n"/>
      <c r="N20" s="138" t="n"/>
      <c r="O20" s="138" t="n"/>
      <c r="P20" s="138" t="n"/>
      <c r="Q20" s="138" t="n"/>
      <c r="R20" s="138" t="n"/>
      <c r="S20" s="138" t="n"/>
      <c r="T20" s="138" t="n"/>
      <c r="U20" s="138" t="n"/>
      <c r="V20" s="138" t="n"/>
      <c r="W20" s="138" t="n"/>
      <c r="X20" s="138" t="n"/>
      <c r="Y20" s="138" t="n"/>
      <c r="Z20" s="138" t="n"/>
      <c r="AA20" s="138" t="n"/>
      <c r="AB20" s="138" t="n"/>
      <c r="AC20" s="41" t="n"/>
      <c r="AD20" s="138" t="n"/>
      <c r="AE20" s="138" t="n"/>
      <c r="AF20" s="138" t="n"/>
      <c r="AG20" s="138" t="n"/>
      <c r="AH20" s="138" t="n"/>
      <c r="AI20" s="138" t="n"/>
      <c r="AJ20" s="138" t="n"/>
      <c r="AK20" s="138" t="n"/>
      <c r="AL20" s="138" t="n"/>
      <c r="AM20" s="138" t="n"/>
      <c r="AN20" s="138" t="n"/>
      <c r="AO20" s="138" t="n"/>
      <c r="AP20" s="138" t="n"/>
      <c r="AQ20" s="138" t="n"/>
      <c r="AR20" s="138" t="n"/>
      <c r="AS20" s="138" t="n"/>
      <c r="AT20" s="138" t="n"/>
      <c r="AU20" s="138" t="n"/>
      <c r="AV20" s="138" t="n"/>
      <c r="AW20" s="138" t="n"/>
      <c r="AX20" s="138" t="n"/>
      <c r="AY20" s="138" t="n"/>
      <c r="AZ20" s="138" t="n"/>
      <c r="BA20" s="138" t="n"/>
      <c r="BB20" s="11" t="n"/>
      <c r="BC20" s="62" t="n"/>
      <c r="BD20" s="10" t="n"/>
      <c r="BE20" s="10" t="n"/>
      <c r="BF20" s="10" t="n"/>
      <c r="BG20" s="10" t="n"/>
      <c r="BH20" s="10" t="n"/>
    </row>
    <row r="21">
      <c r="A21" s="67" t="n"/>
      <c r="B21" s="14" t="n"/>
      <c r="C21" s="23" t="inlineStr">
        <is>
          <t>RPO BP</t>
        </is>
      </c>
      <c r="E21" s="138" t="n"/>
      <c r="F21" s="138" t="n"/>
      <c r="G21" s="138" t="n"/>
      <c r="H21" s="138" t="n"/>
      <c r="I21" s="138" t="n"/>
      <c r="J21" s="138" t="n"/>
      <c r="K21" s="138" t="n"/>
      <c r="L21" s="138" t="n"/>
      <c r="M21" s="138" t="n"/>
      <c r="N21" s="138" t="n"/>
      <c r="O21" s="138" t="n"/>
      <c r="P21" s="138" t="n"/>
      <c r="Q21" s="138" t="n"/>
      <c r="R21" s="138" t="n"/>
      <c r="S21" s="138" t="n"/>
      <c r="T21" s="138" t="n"/>
      <c r="U21" s="138" t="n"/>
      <c r="V21" s="138" t="n"/>
      <c r="W21" s="138" t="n"/>
      <c r="X21" s="138" t="n"/>
      <c r="Y21" s="138" t="n"/>
      <c r="Z21" s="138" t="n"/>
      <c r="AA21" s="138" t="n"/>
      <c r="AB21" s="138" t="n"/>
      <c r="AC21" s="41" t="n"/>
      <c r="AD21" s="138" t="n"/>
      <c r="AE21" s="138" t="n"/>
      <c r="AF21" s="138" t="n"/>
      <c r="AG21" s="138" t="n"/>
      <c r="AH21" s="138" t="n"/>
      <c r="AI21" s="138" t="n"/>
      <c r="AJ21" s="138" t="n"/>
      <c r="AK21" s="138" t="n"/>
      <c r="AL21" s="138" t="n"/>
      <c r="AM21" s="138" t="n"/>
      <c r="AN21" s="138" t="n"/>
      <c r="AO21" s="138" t="n"/>
      <c r="AP21" s="138" t="n"/>
      <c r="AQ21" s="138" t="n"/>
      <c r="AR21" s="138" t="n"/>
      <c r="AS21" s="138" t="n"/>
      <c r="AT21" s="138" t="n"/>
      <c r="AU21" s="138" t="n"/>
      <c r="AV21" s="138" t="n"/>
      <c r="AW21" s="138" t="n"/>
      <c r="AX21" s="138" t="n"/>
      <c r="AY21" s="138" t="n"/>
      <c r="AZ21" s="138" t="n"/>
      <c r="BA21" s="138" t="n"/>
      <c r="BB21" s="11" t="n"/>
      <c r="BC21" s="62" t="n"/>
      <c r="BD21" s="10" t="n"/>
      <c r="BE21" s="10" t="n"/>
      <c r="BF21" s="10" t="n"/>
      <c r="BG21" s="10" t="n"/>
      <c r="BH21" s="10" t="n"/>
    </row>
    <row r="22">
      <c r="A22" s="67" t="n"/>
      <c r="B22" s="14" t="n"/>
      <c r="C22" s="23" t="inlineStr">
        <is>
          <t>Invalid PLOT</t>
        </is>
      </c>
      <c r="E22" s="138" t="n"/>
      <c r="F22" s="138" t="n"/>
      <c r="G22" s="138" t="n"/>
      <c r="H22" s="138" t="n"/>
      <c r="I22" s="138" t="n"/>
      <c r="J22" s="138" t="n"/>
      <c r="K22" s="138" t="n"/>
      <c r="L22" s="138" t="n"/>
      <c r="M22" s="138" t="n"/>
      <c r="N22" s="138" t="n"/>
      <c r="O22" s="138" t="n"/>
      <c r="P22" s="138" t="n"/>
      <c r="Q22" s="138" t="n"/>
      <c r="R22" s="138" t="n"/>
      <c r="S22" s="138" t="n"/>
      <c r="T22" s="138" t="n"/>
      <c r="U22" s="138" t="n"/>
      <c r="V22" s="138" t="n"/>
      <c r="W22" s="138" t="n"/>
      <c r="X22" s="138" t="n"/>
      <c r="Y22" s="138" t="n"/>
      <c r="Z22" s="138" t="n"/>
      <c r="AA22" s="138" t="n"/>
      <c r="AB22" s="138" t="n"/>
      <c r="AC22" s="41" t="n"/>
      <c r="AD22" s="138" t="n"/>
      <c r="AE22" s="138" t="n"/>
      <c r="AF22" s="138" t="n"/>
      <c r="AG22" s="138" t="n"/>
      <c r="AH22" s="138" t="n"/>
      <c r="AI22" s="138" t="n"/>
      <c r="AJ22" s="138" t="n"/>
      <c r="AK22" s="138" t="n"/>
      <c r="AL22" s="138" t="n"/>
      <c r="AM22" s="138" t="n"/>
      <c r="AN22" s="138" t="n"/>
      <c r="AO22" s="138" t="n"/>
      <c r="AP22" s="138" t="n"/>
      <c r="AQ22" s="138" t="n"/>
      <c r="AR22" s="138" t="n"/>
      <c r="AS22" s="138" t="n"/>
      <c r="AT22" s="138" t="n"/>
      <c r="AU22" s="138" t="n"/>
      <c r="AV22" s="138" t="n"/>
      <c r="AW22" s="138" t="n"/>
      <c r="AX22" s="138" t="n"/>
      <c r="AY22" s="138" t="n"/>
      <c r="AZ22" s="138" t="n"/>
      <c r="BA22" s="138" t="n"/>
      <c r="BB22" s="11" t="n"/>
      <c r="BC22" s="62" t="n"/>
      <c r="BD22" s="10" t="n"/>
      <c r="BE22" s="10" t="n"/>
      <c r="BF22" s="10" t="n"/>
      <c r="BG22" s="10" t="n"/>
      <c r="BH22" s="10" t="n"/>
    </row>
    <row r="23">
      <c r="A23" s="67" t="n"/>
      <c r="B23" s="14" t="n"/>
      <c r="C23" s="23" t="inlineStr">
        <is>
          <t>Invalid BP</t>
        </is>
      </c>
      <c r="E23" s="138" t="n"/>
      <c r="F23" s="138" t="n"/>
      <c r="G23" s="138" t="n"/>
      <c r="H23" s="138" t="n"/>
      <c r="I23" s="138" t="n"/>
      <c r="J23" s="138" t="n"/>
      <c r="K23" s="138" t="n"/>
      <c r="L23" s="138" t="n"/>
      <c r="M23" s="138" t="n"/>
      <c r="N23" s="138" t="n"/>
      <c r="O23" s="138" t="n"/>
      <c r="P23" s="138" t="n"/>
      <c r="Q23" s="138" t="n"/>
      <c r="R23" s="138" t="n"/>
      <c r="S23" s="138" t="n"/>
      <c r="T23" s="138" t="n"/>
      <c r="U23" s="138" t="n"/>
      <c r="V23" s="138" t="n"/>
      <c r="W23" s="138" t="n"/>
      <c r="X23" s="138" t="n"/>
      <c r="Y23" s="138" t="n"/>
      <c r="Z23" s="138" t="n"/>
      <c r="AA23" s="138" t="n"/>
      <c r="AB23" s="138" t="n"/>
      <c r="AC23" s="41" t="n"/>
      <c r="AD23" s="138" t="n"/>
      <c r="AE23" s="138" t="n"/>
      <c r="AF23" s="138" t="n"/>
      <c r="AG23" s="138" t="n"/>
      <c r="AH23" s="138" t="n"/>
      <c r="AI23" s="138" t="n"/>
      <c r="AJ23" s="138" t="n"/>
      <c r="AK23" s="138" t="n"/>
      <c r="AL23" s="138" t="n"/>
      <c r="AM23" s="138" t="n"/>
      <c r="AN23" s="138" t="n"/>
      <c r="AO23" s="138" t="n"/>
      <c r="AP23" s="138" t="n"/>
      <c r="AQ23" s="138" t="n"/>
      <c r="AR23" s="138" t="n"/>
      <c r="AS23" s="138" t="n"/>
      <c r="AT23" s="138" t="n"/>
      <c r="AU23" s="138" t="n"/>
      <c r="AV23" s="138" t="n"/>
      <c r="AW23" s="138" t="n"/>
      <c r="AX23" s="138" t="n"/>
      <c r="AY23" s="138" t="n"/>
      <c r="AZ23" s="138" t="n"/>
      <c r="BA23" s="138" t="n"/>
      <c r="BB23" s="11" t="n"/>
      <c r="BC23" s="62" t="n"/>
      <c r="BD23" s="10" t="n"/>
      <c r="BE23" s="10" t="n"/>
      <c r="BF23" s="10" t="n"/>
      <c r="BG23" s="10" t="n"/>
      <c r="BH23" s="10" t="n"/>
    </row>
    <row r="24" ht="48" customHeight="1">
      <c r="A24" s="67" t="n"/>
      <c r="B24" s="14" t="n"/>
      <c r="C24" s="24" t="inlineStr">
        <is>
          <t>Op Log</t>
        </is>
      </c>
      <c r="E24" s="316" t="n"/>
      <c r="F24" s="322" t="n"/>
      <c r="G24" s="322" t="n"/>
      <c r="H24" s="322" t="n"/>
      <c r="I24" s="322" t="n"/>
      <c r="J24" s="322" t="n"/>
      <c r="K24" s="322" t="n"/>
      <c r="L24" s="322" t="n"/>
      <c r="M24" s="322" t="n"/>
      <c r="N24" s="322" t="n"/>
      <c r="O24" s="322" t="n"/>
      <c r="P24" s="322" t="n"/>
      <c r="Q24" s="322" t="n"/>
      <c r="R24" s="322" t="n"/>
      <c r="S24" s="322" t="n"/>
      <c r="T24" s="322" t="n"/>
      <c r="U24" s="322" t="n"/>
      <c r="V24" s="322" t="n"/>
      <c r="W24" s="322" t="n"/>
      <c r="X24" s="322" t="n"/>
      <c r="Y24" s="322" t="n"/>
      <c r="Z24" s="322" t="n"/>
      <c r="AA24" s="322" t="n"/>
      <c r="AB24" s="322" t="n"/>
      <c r="AC24" s="32" t="n"/>
      <c r="AD24" s="316" t="n"/>
      <c r="AE24" s="322" t="n"/>
      <c r="AF24" s="322" t="n"/>
      <c r="AG24" s="322" t="n"/>
      <c r="AH24" s="322" t="n"/>
      <c r="AI24" s="322" t="n"/>
      <c r="AJ24" s="322" t="n"/>
      <c r="AK24" s="322" t="n"/>
      <c r="AL24" s="322" t="n"/>
      <c r="AM24" s="322" t="n"/>
      <c r="AN24" s="322" t="n"/>
      <c r="AO24" s="322" t="n"/>
      <c r="AP24" s="322" t="n"/>
      <c r="AQ24" s="322" t="n"/>
      <c r="AR24" s="322" t="n"/>
      <c r="AS24" s="322" t="n"/>
      <c r="AT24" s="322" t="n"/>
      <c r="AU24" s="322" t="n"/>
      <c r="AV24" s="322" t="n"/>
      <c r="AW24" s="322" t="n"/>
      <c r="AX24" s="322" t="n"/>
      <c r="AY24" s="322" t="n"/>
      <c r="AZ24" s="322" t="n"/>
      <c r="BA24" s="322" t="n"/>
      <c r="BB24" s="11" t="n"/>
      <c r="BC24" s="129" t="n"/>
      <c r="BD24" s="14" t="n"/>
      <c r="BE24" s="14" t="n"/>
      <c r="BF24" s="14" t="n"/>
      <c r="BG24" s="14" t="n"/>
      <c r="BH24" s="14" t="n"/>
    </row>
    <row r="25" ht="43.5" customHeight="1">
      <c r="A25" s="67" t="n"/>
      <c r="B25" s="14" t="n"/>
      <c r="C25" s="24" t="inlineStr">
        <is>
          <t>Notes:</t>
        </is>
      </c>
      <c r="E25" s="321" t="n"/>
      <c r="F25" s="322" t="n"/>
      <c r="G25" s="322" t="n"/>
      <c r="H25" s="322" t="n"/>
      <c r="I25" s="322" t="n"/>
      <c r="J25" s="322" t="n"/>
      <c r="K25" s="322" t="n"/>
      <c r="L25" s="322" t="n"/>
      <c r="M25" s="322" t="n"/>
      <c r="N25" s="322" t="n"/>
      <c r="O25" s="322" t="n"/>
      <c r="P25" s="323" t="n"/>
      <c r="Q25" s="324" t="n"/>
      <c r="R25" s="322" t="n"/>
      <c r="S25" s="322" t="n"/>
      <c r="T25" s="322" t="n"/>
      <c r="U25" s="322" t="n"/>
      <c r="V25" s="322" t="n"/>
      <c r="W25" s="322" t="n"/>
      <c r="X25" s="322" t="n"/>
      <c r="Y25" s="322" t="n"/>
      <c r="Z25" s="322" t="n"/>
      <c r="AA25" s="322" t="n"/>
      <c r="AB25" s="322" t="n"/>
      <c r="AC25" s="32" t="n"/>
      <c r="AD25" s="321" t="n"/>
      <c r="AE25" s="322" t="n"/>
      <c r="AF25" s="322" t="n"/>
      <c r="AG25" s="322" t="n"/>
      <c r="AH25" s="322" t="n"/>
      <c r="AI25" s="322" t="n"/>
      <c r="AJ25" s="322" t="n"/>
      <c r="AK25" s="322" t="n"/>
      <c r="AL25" s="322" t="n"/>
      <c r="AM25" s="322" t="n"/>
      <c r="AN25" s="322" t="n"/>
      <c r="AO25" s="323" t="n"/>
      <c r="AP25" s="324" t="n"/>
      <c r="AQ25" s="322" t="n"/>
      <c r="AR25" s="322" t="n"/>
      <c r="AS25" s="322" t="n"/>
      <c r="AT25" s="322" t="n"/>
      <c r="AU25" s="322" t="n"/>
      <c r="AV25" s="322" t="n"/>
      <c r="AW25" s="322" t="n"/>
      <c r="AX25" s="322" t="n"/>
      <c r="AY25" s="322" t="n"/>
      <c r="AZ25" s="322" t="n"/>
      <c r="BA25" s="322" t="n"/>
      <c r="BB25" s="11" t="n"/>
      <c r="BC25" s="129" t="n"/>
      <c r="BD25" s="14" t="n"/>
      <c r="BE25" s="14" t="n"/>
      <c r="BF25" s="14" t="n"/>
      <c r="BG25" s="14" t="n"/>
      <c r="BH25" s="14" t="n"/>
    </row>
    <row r="26" ht="18.75" customFormat="1" customHeight="1" s="15">
      <c r="A26" s="68" t="n"/>
      <c r="B26" s="29" t="n"/>
      <c r="E26" s="16" t="n">
        <v>5</v>
      </c>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D26" s="16" t="n">
        <v>6</v>
      </c>
      <c r="AE26" s="16" t="n"/>
      <c r="AF26" s="16" t="n"/>
      <c r="AG26" s="16" t="n"/>
      <c r="AH26" s="16" t="n"/>
      <c r="AI26" s="16" t="n"/>
      <c r="AJ26" s="16" t="n"/>
      <c r="AK26" s="16" t="n"/>
      <c r="AL26" s="16" t="n"/>
      <c r="AM26" s="16" t="n"/>
      <c r="AN26" s="16" t="n"/>
      <c r="AO26" s="16" t="n"/>
      <c r="AP26" s="16" t="n"/>
      <c r="AQ26" s="16" t="n"/>
      <c r="AR26" s="16" t="n"/>
      <c r="AS26" s="16" t="n"/>
      <c r="AT26" s="16" t="n"/>
      <c r="AU26" s="16" t="n"/>
      <c r="AV26" s="16" t="n"/>
      <c r="AW26" s="16" t="n"/>
      <c r="AX26" s="16" t="n"/>
      <c r="AY26" s="16" t="n"/>
      <c r="AZ26" s="16" t="n"/>
      <c r="BA26" s="16" t="n"/>
      <c r="BB26" s="18" t="n"/>
      <c r="BC26" s="137" t="n"/>
      <c r="BD26" s="29" t="n"/>
      <c r="BE26" s="29" t="n"/>
      <c r="BF26" s="29" t="n"/>
      <c r="BG26" s="29" t="n"/>
      <c r="BH26" s="29" t="n"/>
    </row>
    <row r="27" customFormat="1" s="27">
      <c r="A27" s="67" t="n"/>
      <c r="B27" s="14" t="n"/>
      <c r="C27" s="25" t="n"/>
      <c r="D27" s="25" t="n"/>
      <c r="E27" s="39" t="n">
        <v>0</v>
      </c>
      <c r="F27" s="39" t="n">
        <v>1</v>
      </c>
      <c r="G27" s="39" t="n">
        <v>2</v>
      </c>
      <c r="H27" s="39" t="n">
        <v>3</v>
      </c>
      <c r="I27" s="39" t="n">
        <v>4</v>
      </c>
      <c r="J27" s="39" t="n">
        <v>5</v>
      </c>
      <c r="K27" s="39" t="n">
        <v>6</v>
      </c>
      <c r="L27" s="39" t="n">
        <v>7</v>
      </c>
      <c r="M27" s="39" t="n">
        <v>8</v>
      </c>
      <c r="N27" s="39" t="n">
        <v>9</v>
      </c>
      <c r="O27" s="39" t="n">
        <v>10</v>
      </c>
      <c r="P27" s="39" t="n">
        <v>11</v>
      </c>
      <c r="Q27" s="39" t="n">
        <v>12</v>
      </c>
      <c r="R27" s="39" t="n">
        <v>13</v>
      </c>
      <c r="S27" s="39" t="n">
        <v>14</v>
      </c>
      <c r="T27" s="39" t="n">
        <v>15</v>
      </c>
      <c r="U27" s="39" t="n">
        <v>16</v>
      </c>
      <c r="V27" s="39" t="n">
        <v>17</v>
      </c>
      <c r="W27" s="39" t="n">
        <v>18</v>
      </c>
      <c r="X27" s="39" t="n">
        <v>19</v>
      </c>
      <c r="Y27" s="39" t="n">
        <v>20</v>
      </c>
      <c r="Z27" s="39" t="n">
        <v>21</v>
      </c>
      <c r="AA27" s="39" t="n">
        <v>22</v>
      </c>
      <c r="AB27" s="39" t="n">
        <v>23</v>
      </c>
      <c r="AC27" s="25" t="n"/>
      <c r="AD27" s="39" t="n">
        <v>0</v>
      </c>
      <c r="AE27" s="39" t="n">
        <v>1</v>
      </c>
      <c r="AF27" s="39" t="n">
        <v>2</v>
      </c>
      <c r="AG27" s="39" t="n">
        <v>3</v>
      </c>
      <c r="AH27" s="39" t="n">
        <v>4</v>
      </c>
      <c r="AI27" s="39" t="n">
        <v>5</v>
      </c>
      <c r="AJ27" s="39" t="n">
        <v>6</v>
      </c>
      <c r="AK27" s="39" t="n">
        <v>7</v>
      </c>
      <c r="AL27" s="39" t="n">
        <v>8</v>
      </c>
      <c r="AM27" s="39" t="n">
        <v>9</v>
      </c>
      <c r="AN27" s="39" t="n">
        <v>10</v>
      </c>
      <c r="AO27" s="39" t="n">
        <v>11</v>
      </c>
      <c r="AP27" s="39" t="n">
        <v>12</v>
      </c>
      <c r="AQ27" s="39" t="n">
        <v>13</v>
      </c>
      <c r="AR27" s="39" t="n">
        <v>14</v>
      </c>
      <c r="AS27" s="39" t="n">
        <v>15</v>
      </c>
      <c r="AT27" s="39" t="n">
        <v>16</v>
      </c>
      <c r="AU27" s="39" t="n">
        <v>17</v>
      </c>
      <c r="AV27" s="39" t="n">
        <v>18</v>
      </c>
      <c r="AW27" s="39" t="n">
        <v>19</v>
      </c>
      <c r="AX27" s="39" t="n">
        <v>20</v>
      </c>
      <c r="AY27" s="39" t="n">
        <v>21</v>
      </c>
      <c r="AZ27" s="39" t="n">
        <v>22</v>
      </c>
      <c r="BA27" s="39" t="n">
        <v>23</v>
      </c>
      <c r="BB27" s="26" t="n"/>
      <c r="BC27" s="129" t="n"/>
      <c r="BD27" s="14" t="n"/>
      <c r="BE27" s="14" t="n"/>
      <c r="BF27" s="14" t="n"/>
      <c r="BG27" s="14" t="n"/>
      <c r="BH27" s="14" t="n"/>
    </row>
    <row r="28" ht="15" customFormat="1" customHeight="1" s="27">
      <c r="A28" s="67" t="n"/>
      <c r="B28" s="14" t="n"/>
      <c r="C28" s="25" t="n"/>
      <c r="D28" s="25" t="n"/>
      <c r="E28" s="40" t="inlineStr">
        <is>
          <t>A</t>
        </is>
      </c>
      <c r="F28" s="40" t="inlineStr">
        <is>
          <t>B</t>
        </is>
      </c>
      <c r="G28" s="40" t="inlineStr">
        <is>
          <t>C</t>
        </is>
      </c>
      <c r="H28" s="40" t="inlineStr">
        <is>
          <t>D</t>
        </is>
      </c>
      <c r="I28" s="40" t="inlineStr">
        <is>
          <t>E</t>
        </is>
      </c>
      <c r="J28" s="40" t="inlineStr">
        <is>
          <t>F</t>
        </is>
      </c>
      <c r="K28" s="40" t="inlineStr">
        <is>
          <t>G</t>
        </is>
      </c>
      <c r="L28" s="40" t="inlineStr">
        <is>
          <t>H</t>
        </is>
      </c>
      <c r="M28" s="40" t="inlineStr">
        <is>
          <t>I</t>
        </is>
      </c>
      <c r="N28" s="40" t="inlineStr">
        <is>
          <t>J</t>
        </is>
      </c>
      <c r="O28" s="40" t="inlineStr">
        <is>
          <t>K</t>
        </is>
      </c>
      <c r="P28" s="40" t="inlineStr">
        <is>
          <t>L</t>
        </is>
      </c>
      <c r="Q28" s="40" t="inlineStr">
        <is>
          <t>M</t>
        </is>
      </c>
      <c r="R28" s="40" t="inlineStr">
        <is>
          <t>N</t>
        </is>
      </c>
      <c r="S28" s="40" t="inlineStr">
        <is>
          <t>O</t>
        </is>
      </c>
      <c r="T28" s="40" t="inlineStr">
        <is>
          <t>P</t>
        </is>
      </c>
      <c r="U28" s="40" t="inlineStr">
        <is>
          <t>Q</t>
        </is>
      </c>
      <c r="V28" s="40" t="inlineStr">
        <is>
          <t>R</t>
        </is>
      </c>
      <c r="W28" s="40" t="inlineStr">
        <is>
          <t>S</t>
        </is>
      </c>
      <c r="X28" s="40" t="inlineStr">
        <is>
          <t>T</t>
        </is>
      </c>
      <c r="Y28" s="40" t="inlineStr">
        <is>
          <t>U</t>
        </is>
      </c>
      <c r="Z28" s="40" t="inlineStr">
        <is>
          <t>V</t>
        </is>
      </c>
      <c r="AA28" s="40" t="inlineStr">
        <is>
          <t>W</t>
        </is>
      </c>
      <c r="AB28" s="40" t="inlineStr">
        <is>
          <t>X</t>
        </is>
      </c>
      <c r="AC28" s="25" t="n"/>
      <c r="AD28" s="40" t="inlineStr">
        <is>
          <t>A</t>
        </is>
      </c>
      <c r="AE28" s="40" t="inlineStr">
        <is>
          <t>B</t>
        </is>
      </c>
      <c r="AF28" s="40" t="inlineStr">
        <is>
          <t>C</t>
        </is>
      </c>
      <c r="AG28" s="40" t="inlineStr">
        <is>
          <t>D</t>
        </is>
      </c>
      <c r="AH28" s="40" t="inlineStr">
        <is>
          <t>E</t>
        </is>
      </c>
      <c r="AI28" s="40" t="inlineStr">
        <is>
          <t>F</t>
        </is>
      </c>
      <c r="AJ28" s="40" t="inlineStr">
        <is>
          <t>G</t>
        </is>
      </c>
      <c r="AK28" s="40" t="inlineStr">
        <is>
          <t>H</t>
        </is>
      </c>
      <c r="AL28" s="40" t="inlineStr">
        <is>
          <t>I</t>
        </is>
      </c>
      <c r="AM28" s="40" t="inlineStr">
        <is>
          <t>J</t>
        </is>
      </c>
      <c r="AN28" s="40" t="inlineStr">
        <is>
          <t>K</t>
        </is>
      </c>
      <c r="AO28" s="40" t="inlineStr">
        <is>
          <t>L</t>
        </is>
      </c>
      <c r="AP28" s="40" t="inlineStr">
        <is>
          <t>M</t>
        </is>
      </c>
      <c r="AQ28" s="40" t="inlineStr">
        <is>
          <t>N</t>
        </is>
      </c>
      <c r="AR28" s="40" t="inlineStr">
        <is>
          <t>O</t>
        </is>
      </c>
      <c r="AS28" s="40" t="inlineStr">
        <is>
          <t>P</t>
        </is>
      </c>
      <c r="AT28" s="40" t="inlineStr">
        <is>
          <t>Q</t>
        </is>
      </c>
      <c r="AU28" s="40" t="inlineStr">
        <is>
          <t>R</t>
        </is>
      </c>
      <c r="AV28" s="40" t="inlineStr">
        <is>
          <t>S</t>
        </is>
      </c>
      <c r="AW28" s="40" t="inlineStr">
        <is>
          <t>T</t>
        </is>
      </c>
      <c r="AX28" s="40" t="inlineStr">
        <is>
          <t>U</t>
        </is>
      </c>
      <c r="AY28" s="40" t="inlineStr">
        <is>
          <t>V</t>
        </is>
      </c>
      <c r="AZ28" s="40" t="inlineStr">
        <is>
          <t>W</t>
        </is>
      </c>
      <c r="BA28" s="40" t="inlineStr">
        <is>
          <t>X</t>
        </is>
      </c>
      <c r="BB28" s="26" t="n"/>
      <c r="BC28" s="129" t="n"/>
      <c r="BD28" s="14" t="n"/>
      <c r="BE28" s="14" t="n"/>
      <c r="BF28" s="14" t="n"/>
      <c r="BG28" s="14" t="n"/>
      <c r="BH28" s="14" t="n"/>
    </row>
    <row r="29">
      <c r="A29" s="67" t="n"/>
      <c r="B29" s="14" t="n"/>
      <c r="C29" s="23" t="inlineStr">
        <is>
          <t>Checked PLOT</t>
        </is>
      </c>
      <c r="E29" s="138" t="n"/>
      <c r="F29" s="138" t="n"/>
      <c r="G29" s="138" t="n"/>
      <c r="H29" s="138" t="n"/>
      <c r="I29" s="138" t="n"/>
      <c r="J29" s="138" t="n"/>
      <c r="K29" s="138" t="n"/>
      <c r="L29" s="138" t="n"/>
      <c r="M29" s="138" t="n"/>
      <c r="N29" s="138" t="n"/>
      <c r="O29" s="138" t="n"/>
      <c r="P29" s="138" t="n"/>
      <c r="Q29" s="138" t="n"/>
      <c r="R29" s="138" t="n"/>
      <c r="S29" s="138" t="n"/>
      <c r="T29" s="138" t="n"/>
      <c r="U29" s="138" t="n"/>
      <c r="V29" s="138" t="n"/>
      <c r="W29" s="138" t="n"/>
      <c r="X29" s="138" t="n"/>
      <c r="Y29" s="138" t="n"/>
      <c r="Z29" s="138" t="n"/>
      <c r="AA29" s="138" t="n"/>
      <c r="AB29" s="138" t="n"/>
      <c r="AC29" s="41" t="n"/>
      <c r="AD29" s="138" t="n"/>
      <c r="AE29" s="138" t="n"/>
      <c r="AF29" s="138" t="n"/>
      <c r="AG29" s="138" t="n"/>
      <c r="AH29" s="138" t="n"/>
      <c r="AI29" s="138" t="n"/>
      <c r="AJ29" s="138" t="n"/>
      <c r="AK29" s="138" t="n"/>
      <c r="AL29" s="138" t="n"/>
      <c r="AM29" s="138" t="n"/>
      <c r="AN29" s="138" t="n"/>
      <c r="AO29" s="138" t="n"/>
      <c r="AP29" s="138" t="n"/>
      <c r="AQ29" s="138" t="n"/>
      <c r="AR29" s="138" t="n"/>
      <c r="AS29" s="138" t="n"/>
      <c r="AT29" s="138" t="n"/>
      <c r="AU29" s="138" t="n"/>
      <c r="AV29" s="138" t="n"/>
      <c r="AW29" s="138" t="n"/>
      <c r="AX29" s="138" t="n"/>
      <c r="AY29" s="138" t="n"/>
      <c r="AZ29" s="138" t="n"/>
      <c r="BA29" s="138" t="n"/>
      <c r="BB29" s="11" t="n"/>
      <c r="BC29" s="129" t="n"/>
      <c r="BD29" s="14" t="n"/>
      <c r="BE29" s="14" t="n"/>
      <c r="BF29" s="14" t="n"/>
      <c r="BG29" s="14" t="n"/>
      <c r="BH29" s="14" t="n"/>
    </row>
    <row r="30">
      <c r="A30" s="67" t="n"/>
      <c r="B30" s="14" t="n"/>
      <c r="C30" s="23" t="inlineStr">
        <is>
          <t>RPO PLOT</t>
        </is>
      </c>
      <c r="E30" s="138" t="n"/>
      <c r="F30" s="138" t="n"/>
      <c r="G30" s="138" t="n"/>
      <c r="H30" s="138" t="n"/>
      <c r="I30" s="138" t="n"/>
      <c r="J30" s="138" t="n"/>
      <c r="K30" s="138" t="n"/>
      <c r="L30" s="138" t="n"/>
      <c r="M30" s="138" t="n"/>
      <c r="N30" s="138" t="n"/>
      <c r="O30" s="138" t="n"/>
      <c r="P30" s="138" t="n"/>
      <c r="Q30" s="138" t="n"/>
      <c r="R30" s="138" t="n"/>
      <c r="S30" s="138" t="n"/>
      <c r="T30" s="138" t="n"/>
      <c r="U30" s="138" t="n"/>
      <c r="V30" s="138" t="n"/>
      <c r="W30" s="138" t="n"/>
      <c r="X30" s="138" t="n"/>
      <c r="Y30" s="138" t="n"/>
      <c r="Z30" s="138" t="n"/>
      <c r="AA30" s="138" t="n"/>
      <c r="AB30" s="138" t="n"/>
      <c r="AC30" s="41" t="n"/>
      <c r="AD30" s="138" t="n"/>
      <c r="AE30" s="138" t="n"/>
      <c r="AF30" s="138" t="n"/>
      <c r="AG30" s="138" t="n"/>
      <c r="AH30" s="138" t="n"/>
      <c r="AI30" s="138" t="n"/>
      <c r="AJ30" s="138" t="n"/>
      <c r="AK30" s="138" t="n"/>
      <c r="AL30" s="138" t="n"/>
      <c r="AM30" s="138" t="n"/>
      <c r="AN30" s="138" t="n"/>
      <c r="AO30" s="138" t="n"/>
      <c r="AP30" s="138" t="n"/>
      <c r="AQ30" s="138" t="n"/>
      <c r="AR30" s="138" t="n"/>
      <c r="AS30" s="138" t="n"/>
      <c r="AT30" s="138" t="n"/>
      <c r="AU30" s="138" t="n"/>
      <c r="AV30" s="138" t="n"/>
      <c r="AW30" s="138" t="n"/>
      <c r="AX30" s="138" t="n"/>
      <c r="AY30" s="138" t="n"/>
      <c r="AZ30" s="138" t="n"/>
      <c r="BA30" s="138" t="n"/>
      <c r="BB30" s="11" t="n"/>
      <c r="BC30" s="129" t="n"/>
      <c r="BD30" s="14" t="n"/>
      <c r="BE30" s="14" t="n"/>
      <c r="BF30" s="14" t="n"/>
      <c r="BG30" s="14" t="n"/>
      <c r="BH30" s="14" t="n"/>
    </row>
    <row r="31">
      <c r="A31" s="67" t="n"/>
      <c r="B31" s="14" t="n"/>
      <c r="C31" s="23" t="inlineStr">
        <is>
          <t>Checked BP</t>
        </is>
      </c>
      <c r="E31" s="138" t="n"/>
      <c r="F31" s="138" t="n"/>
      <c r="G31" s="138" t="n"/>
      <c r="H31" s="138" t="n"/>
      <c r="I31" s="138" t="n"/>
      <c r="J31" s="138" t="n"/>
      <c r="K31" s="138" t="n"/>
      <c r="L31" s="138" t="n"/>
      <c r="M31" s="138" t="n"/>
      <c r="N31" s="138" t="n"/>
      <c r="O31" s="138" t="n"/>
      <c r="P31" s="138" t="n"/>
      <c r="Q31" s="138" t="n"/>
      <c r="R31" s="138" t="n"/>
      <c r="S31" s="138" t="n"/>
      <c r="T31" s="138" t="n"/>
      <c r="U31" s="138" t="n"/>
      <c r="V31" s="138" t="n"/>
      <c r="W31" s="138" t="n"/>
      <c r="X31" s="138" t="n"/>
      <c r="Y31" s="138" t="n"/>
      <c r="Z31" s="138" t="n"/>
      <c r="AA31" s="138" t="n"/>
      <c r="AB31" s="138" t="n"/>
      <c r="AC31" s="41" t="n"/>
      <c r="AD31" s="138" t="n"/>
      <c r="AE31" s="138" t="n"/>
      <c r="AF31" s="138" t="n"/>
      <c r="AG31" s="138" t="n"/>
      <c r="AH31" s="138" t="n"/>
      <c r="AI31" s="138" t="n"/>
      <c r="AJ31" s="138" t="n"/>
      <c r="AK31" s="138" t="n"/>
      <c r="AL31" s="138" t="n"/>
      <c r="AM31" s="138" t="n"/>
      <c r="AN31" s="138" t="n"/>
      <c r="AO31" s="138" t="n"/>
      <c r="AP31" s="138" t="n"/>
      <c r="AQ31" s="138" t="n"/>
      <c r="AR31" s="138" t="n"/>
      <c r="AS31" s="138" t="n"/>
      <c r="AT31" s="138" t="n"/>
      <c r="AU31" s="138" t="n"/>
      <c r="AV31" s="138" t="n"/>
      <c r="AW31" s="138" t="n"/>
      <c r="AX31" s="138" t="n"/>
      <c r="AY31" s="138" t="n"/>
      <c r="AZ31" s="138" t="n"/>
      <c r="BA31" s="138" t="n"/>
      <c r="BB31" s="11" t="n"/>
      <c r="BC31" s="129" t="n"/>
      <c r="BD31" s="14" t="n"/>
      <c r="BE31" s="14" t="n"/>
      <c r="BF31" s="14" t="n"/>
      <c r="BG31" s="14" t="n"/>
      <c r="BH31" s="14" t="n"/>
    </row>
    <row r="32">
      <c r="A32" s="67" t="n"/>
      <c r="B32" s="14" t="n"/>
      <c r="C32" s="23" t="inlineStr">
        <is>
          <t>RPO BP</t>
        </is>
      </c>
      <c r="E32" s="138" t="n"/>
      <c r="F32" s="138" t="n"/>
      <c r="G32" s="138" t="n"/>
      <c r="H32" s="138" t="n"/>
      <c r="I32" s="138" t="n"/>
      <c r="J32" s="138" t="n"/>
      <c r="K32" s="138" t="n"/>
      <c r="L32" s="138" t="n"/>
      <c r="M32" s="138" t="n"/>
      <c r="N32" s="138" t="n"/>
      <c r="O32" s="138" t="n"/>
      <c r="P32" s="138" t="n"/>
      <c r="Q32" s="138" t="n"/>
      <c r="R32" s="138" t="n"/>
      <c r="S32" s="138" t="n"/>
      <c r="T32" s="138" t="n"/>
      <c r="U32" s="138" t="n"/>
      <c r="V32" s="138" t="n"/>
      <c r="W32" s="138" t="n"/>
      <c r="X32" s="138" t="n"/>
      <c r="Y32" s="138" t="n"/>
      <c r="Z32" s="138" t="n"/>
      <c r="AA32" s="138" t="n"/>
      <c r="AB32" s="138" t="n"/>
      <c r="AC32" s="41" t="n"/>
      <c r="AD32" s="138" t="n"/>
      <c r="AE32" s="138" t="n"/>
      <c r="AF32" s="138" t="n"/>
      <c r="AG32" s="138" t="n"/>
      <c r="AH32" s="138" t="n"/>
      <c r="AI32" s="138" t="n"/>
      <c r="AJ32" s="138" t="n"/>
      <c r="AK32" s="138" t="n"/>
      <c r="AL32" s="138" t="n"/>
      <c r="AM32" s="138" t="n"/>
      <c r="AN32" s="138" t="n"/>
      <c r="AO32" s="138" t="n"/>
      <c r="AP32" s="138" t="n"/>
      <c r="AQ32" s="138" t="n"/>
      <c r="AR32" s="138" t="n"/>
      <c r="AS32" s="138" t="n"/>
      <c r="AT32" s="138" t="n"/>
      <c r="AU32" s="138" t="n"/>
      <c r="AV32" s="138" t="n"/>
      <c r="AW32" s="138" t="n"/>
      <c r="AX32" s="138" t="n"/>
      <c r="AY32" s="138" t="n"/>
      <c r="AZ32" s="138" t="n"/>
      <c r="BA32" s="138" t="n"/>
      <c r="BB32" s="11" t="n"/>
      <c r="BC32" s="129" t="n"/>
      <c r="BD32" s="14" t="n"/>
      <c r="BE32" s="14" t="n"/>
      <c r="BF32" s="14" t="n"/>
      <c r="BG32" s="14" t="n"/>
      <c r="BH32" s="14" t="n"/>
    </row>
    <row r="33">
      <c r="A33" s="67" t="n"/>
      <c r="B33" s="14" t="n"/>
      <c r="C33" s="23" t="inlineStr">
        <is>
          <t>Invalid PLOT</t>
        </is>
      </c>
      <c r="E33" s="138" t="n"/>
      <c r="F33" s="138" t="n"/>
      <c r="G33" s="138" t="n"/>
      <c r="H33" s="138" t="n"/>
      <c r="I33" s="138" t="n"/>
      <c r="J33" s="138" t="n"/>
      <c r="K33" s="138" t="n"/>
      <c r="L33" s="138" t="n"/>
      <c r="M33" s="138" t="n"/>
      <c r="N33" s="138" t="n"/>
      <c r="O33" s="138" t="n"/>
      <c r="P33" s="138" t="n"/>
      <c r="Q33" s="138" t="n"/>
      <c r="R33" s="138" t="n"/>
      <c r="S33" s="138" t="n"/>
      <c r="T33" s="138" t="n"/>
      <c r="U33" s="138" t="n"/>
      <c r="V33" s="138" t="n"/>
      <c r="W33" s="138" t="n"/>
      <c r="X33" s="138" t="n"/>
      <c r="Y33" s="138" t="n"/>
      <c r="Z33" s="138" t="n"/>
      <c r="AA33" s="138" t="n"/>
      <c r="AB33" s="138" t="n"/>
      <c r="AC33" s="41" t="n"/>
      <c r="AD33" s="138" t="n"/>
      <c r="AE33" s="138" t="n"/>
      <c r="AF33" s="138" t="n"/>
      <c r="AG33" s="138" t="n"/>
      <c r="AH33" s="138" t="n"/>
      <c r="AI33" s="138" t="n"/>
      <c r="AJ33" s="138" t="n"/>
      <c r="AK33" s="138" t="n"/>
      <c r="AL33" s="138" t="n"/>
      <c r="AM33" s="138" t="n"/>
      <c r="AN33" s="138" t="n"/>
      <c r="AO33" s="138" t="n"/>
      <c r="AP33" s="138" t="n"/>
      <c r="AQ33" s="138" t="n"/>
      <c r="AR33" s="138" t="n"/>
      <c r="AS33" s="138" t="n"/>
      <c r="AT33" s="138" t="n"/>
      <c r="AU33" s="138" t="n"/>
      <c r="AV33" s="138" t="n"/>
      <c r="AW33" s="138" t="n"/>
      <c r="AX33" s="138" t="n"/>
      <c r="AY33" s="138" t="n"/>
      <c r="AZ33" s="138" t="n"/>
      <c r="BA33" s="138" t="n"/>
      <c r="BB33" s="11" t="n"/>
      <c r="BD33" s="13" t="n"/>
      <c r="BE33" s="13" t="n"/>
      <c r="BF33" s="13" t="n"/>
      <c r="BG33" s="13" t="n"/>
      <c r="BH33" s="13" t="n"/>
    </row>
    <row r="34">
      <c r="A34" s="67" t="n"/>
      <c r="B34" s="14" t="n"/>
      <c r="C34" s="23" t="inlineStr">
        <is>
          <t>Invalid BP</t>
        </is>
      </c>
      <c r="E34" s="138" t="n"/>
      <c r="F34" s="138" t="n"/>
      <c r="G34" s="138" t="n"/>
      <c r="H34" s="138" t="n"/>
      <c r="I34" s="138" t="n"/>
      <c r="J34" s="138" t="n"/>
      <c r="K34" s="138" t="n"/>
      <c r="L34" s="138" t="n"/>
      <c r="M34" s="138" t="n"/>
      <c r="N34" s="138" t="n"/>
      <c r="O34" s="138" t="n"/>
      <c r="P34" s="138" t="n"/>
      <c r="Q34" s="138" t="n"/>
      <c r="R34" s="138" t="n"/>
      <c r="S34" s="138" t="n"/>
      <c r="T34" s="138" t="n"/>
      <c r="U34" s="138" t="n"/>
      <c r="V34" s="138" t="n"/>
      <c r="W34" s="138" t="n"/>
      <c r="X34" s="138" t="n"/>
      <c r="Y34" s="138" t="n"/>
      <c r="Z34" s="138" t="n"/>
      <c r="AA34" s="138" t="n"/>
      <c r="AB34" s="138" t="n"/>
      <c r="AC34" s="41" t="n"/>
      <c r="AD34" s="138" t="n"/>
      <c r="AE34" s="138" t="n"/>
      <c r="AF34" s="138" t="n"/>
      <c r="AG34" s="138" t="n"/>
      <c r="AH34" s="138" t="n"/>
      <c r="AI34" s="138" t="n"/>
      <c r="AJ34" s="138" t="n"/>
      <c r="AK34" s="138" t="n"/>
      <c r="AL34" s="138" t="n"/>
      <c r="AM34" s="138" t="n"/>
      <c r="AN34" s="138" t="n"/>
      <c r="AO34" s="138" t="n"/>
      <c r="AP34" s="138" t="n"/>
      <c r="AQ34" s="138" t="n"/>
      <c r="AR34" s="138" t="n"/>
      <c r="AS34" s="138" t="n"/>
      <c r="AT34" s="138" t="n"/>
      <c r="AU34" s="138" t="n"/>
      <c r="AV34" s="138" t="n"/>
      <c r="AW34" s="138" t="n"/>
      <c r="AX34" s="138" t="n"/>
      <c r="AY34" s="138" t="n"/>
      <c r="AZ34" s="138" t="n"/>
      <c r="BA34" s="138" t="n"/>
      <c r="BB34" s="11" t="n"/>
      <c r="BD34" s="13" t="n"/>
      <c r="BE34" s="13" t="n"/>
      <c r="BF34" s="13" t="n"/>
      <c r="BG34" s="13" t="n"/>
      <c r="BH34" s="13" t="n"/>
    </row>
    <row r="35" ht="45" customHeight="1">
      <c r="A35" s="67" t="n"/>
      <c r="B35" s="14" t="n"/>
      <c r="C35" s="24" t="inlineStr">
        <is>
          <t>Op Log</t>
        </is>
      </c>
      <c r="E35" s="316" t="n"/>
      <c r="F35" s="322" t="n"/>
      <c r="G35" s="322" t="n"/>
      <c r="H35" s="322" t="n"/>
      <c r="I35" s="322" t="n"/>
      <c r="J35" s="322" t="n"/>
      <c r="K35" s="322" t="n"/>
      <c r="L35" s="322" t="n"/>
      <c r="M35" s="322" t="n"/>
      <c r="N35" s="322" t="n"/>
      <c r="O35" s="322" t="n"/>
      <c r="P35" s="322" t="n"/>
      <c r="Q35" s="322" t="n"/>
      <c r="R35" s="322" t="n"/>
      <c r="S35" s="322" t="n"/>
      <c r="T35" s="322" t="n"/>
      <c r="U35" s="322" t="n"/>
      <c r="V35" s="322" t="n"/>
      <c r="W35" s="322" t="n"/>
      <c r="X35" s="322" t="n"/>
      <c r="Y35" s="322" t="n"/>
      <c r="Z35" s="322" t="n"/>
      <c r="AA35" s="322" t="n"/>
      <c r="AB35" s="322" t="n"/>
      <c r="AC35" s="32" t="n"/>
      <c r="AD35" s="316" t="n"/>
      <c r="AE35" s="322" t="n"/>
      <c r="AF35" s="322" t="n"/>
      <c r="AG35" s="322" t="n"/>
      <c r="AH35" s="322" t="n"/>
      <c r="AI35" s="322" t="n"/>
      <c r="AJ35" s="322" t="n"/>
      <c r="AK35" s="322" t="n"/>
      <c r="AL35" s="322" t="n"/>
      <c r="AM35" s="322" t="n"/>
      <c r="AN35" s="322" t="n"/>
      <c r="AO35" s="322" t="n"/>
      <c r="AP35" s="322" t="n"/>
      <c r="AQ35" s="322" t="n"/>
      <c r="AR35" s="322" t="n"/>
      <c r="AS35" s="322" t="n"/>
      <c r="AT35" s="322" t="n"/>
      <c r="AU35" s="322" t="n"/>
      <c r="AV35" s="322" t="n"/>
      <c r="AW35" s="322" t="n"/>
      <c r="AX35" s="322" t="n"/>
      <c r="AY35" s="322" t="n"/>
      <c r="AZ35" s="322" t="n"/>
      <c r="BA35" s="322" t="n"/>
      <c r="BB35" s="11" t="n"/>
      <c r="BC35" s="129" t="n"/>
      <c r="BD35" s="14" t="n"/>
      <c r="BE35" s="14" t="n"/>
      <c r="BF35" s="14" t="n"/>
      <c r="BG35" s="14" t="n"/>
      <c r="BH35" s="14" t="n"/>
    </row>
    <row r="36" ht="43.5" customHeight="1">
      <c r="A36" s="67" t="n"/>
      <c r="B36" s="14" t="n"/>
      <c r="C36" s="24" t="inlineStr">
        <is>
          <t>Notes:</t>
        </is>
      </c>
      <c r="E36" s="321" t="n"/>
      <c r="F36" s="322" t="n"/>
      <c r="G36" s="322" t="n"/>
      <c r="H36" s="322" t="n"/>
      <c r="I36" s="322" t="n"/>
      <c r="J36" s="322" t="n"/>
      <c r="K36" s="322" t="n"/>
      <c r="L36" s="322" t="n"/>
      <c r="M36" s="322" t="n"/>
      <c r="N36" s="322" t="n"/>
      <c r="O36" s="322" t="n"/>
      <c r="P36" s="323" t="n"/>
      <c r="Q36" s="324" t="n"/>
      <c r="R36" s="322" t="n"/>
      <c r="S36" s="322" t="n"/>
      <c r="T36" s="322" t="n"/>
      <c r="U36" s="322" t="n"/>
      <c r="V36" s="322" t="n"/>
      <c r="W36" s="322" t="n"/>
      <c r="X36" s="322" t="n"/>
      <c r="Y36" s="322" t="n"/>
      <c r="Z36" s="322" t="n"/>
      <c r="AA36" s="322" t="n"/>
      <c r="AB36" s="322" t="n"/>
      <c r="AC36" s="32" t="n"/>
      <c r="AD36" s="321" t="n"/>
      <c r="AE36" s="322" t="n"/>
      <c r="AF36" s="322" t="n"/>
      <c r="AG36" s="322" t="n"/>
      <c r="AH36" s="322" t="n"/>
      <c r="AI36" s="322" t="n"/>
      <c r="AJ36" s="322" t="n"/>
      <c r="AK36" s="322" t="n"/>
      <c r="AL36" s="322" t="n"/>
      <c r="AM36" s="322" t="n"/>
      <c r="AN36" s="322" t="n"/>
      <c r="AO36" s="323" t="n"/>
      <c r="AP36" s="324" t="n"/>
      <c r="AQ36" s="322" t="n"/>
      <c r="AR36" s="322" t="n"/>
      <c r="AS36" s="322" t="n"/>
      <c r="AT36" s="322" t="n"/>
      <c r="AU36" s="322" t="n"/>
      <c r="AV36" s="322" t="n"/>
      <c r="AW36" s="322" t="n"/>
      <c r="AX36" s="322" t="n"/>
      <c r="AY36" s="322" t="n"/>
      <c r="AZ36" s="322" t="n"/>
      <c r="BA36" s="322" t="n"/>
      <c r="BB36" s="11" t="n"/>
      <c r="BC36" s="129" t="n"/>
      <c r="BD36" s="14" t="n"/>
      <c r="BE36" s="14" t="n"/>
      <c r="BF36" s="14" t="n"/>
      <c r="BG36" s="14" t="n"/>
      <c r="BH36" s="14" t="n"/>
    </row>
    <row r="37" ht="20.25" customFormat="1" customHeight="1" s="13">
      <c r="C37" s="15" t="n"/>
      <c r="D37" s="15" t="n"/>
      <c r="E37" s="16" t="n">
        <v>7</v>
      </c>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5" t="n"/>
      <c r="AD37" s="16" t="n">
        <v>8</v>
      </c>
      <c r="AE37" s="16" t="n"/>
      <c r="AF37" s="16" t="n"/>
      <c r="AG37" s="16" t="n"/>
      <c r="AH37" s="16" t="n"/>
      <c r="AI37" s="16" t="n"/>
      <c r="AJ37" s="16" t="n"/>
      <c r="AK37" s="16" t="n"/>
      <c r="AL37" s="16" t="n"/>
      <c r="AM37" s="16" t="n"/>
      <c r="AN37" s="16" t="n"/>
      <c r="AO37" s="16" t="n"/>
      <c r="AP37" s="16" t="n"/>
      <c r="AQ37" s="16" t="n"/>
      <c r="AR37" s="16" t="n"/>
      <c r="AS37" s="16" t="n"/>
      <c r="AT37" s="16" t="n"/>
      <c r="AU37" s="16" t="n"/>
      <c r="AV37" s="16" t="n"/>
      <c r="AW37" s="16" t="n"/>
      <c r="AX37" s="16" t="n"/>
      <c r="AY37" s="16" t="n"/>
      <c r="AZ37" s="16" t="n"/>
      <c r="BA37" s="16" t="n"/>
      <c r="BC37" s="136" t="n"/>
    </row>
    <row r="38" ht="18.75" customFormat="1" customHeight="1" s="13">
      <c r="C38" s="25" t="n"/>
      <c r="D38" s="25" t="n"/>
      <c r="E38" s="39" t="n">
        <v>0</v>
      </c>
      <c r="F38" s="39" t="n">
        <v>1</v>
      </c>
      <c r="G38" s="39" t="n">
        <v>2</v>
      </c>
      <c r="H38" s="39" t="n">
        <v>3</v>
      </c>
      <c r="I38" s="39" t="n">
        <v>4</v>
      </c>
      <c r="J38" s="39" t="n">
        <v>5</v>
      </c>
      <c r="K38" s="39" t="n">
        <v>6</v>
      </c>
      <c r="L38" s="39" t="n">
        <v>7</v>
      </c>
      <c r="M38" s="39" t="n">
        <v>8</v>
      </c>
      <c r="N38" s="39" t="n">
        <v>9</v>
      </c>
      <c r="O38" s="39" t="n">
        <v>10</v>
      </c>
      <c r="P38" s="39" t="n">
        <v>11</v>
      </c>
      <c r="Q38" s="39" t="n">
        <v>12</v>
      </c>
      <c r="R38" s="39" t="n">
        <v>13</v>
      </c>
      <c r="S38" s="39" t="n">
        <v>14</v>
      </c>
      <c r="T38" s="39" t="n">
        <v>15</v>
      </c>
      <c r="U38" s="39" t="n">
        <v>16</v>
      </c>
      <c r="V38" s="39" t="n">
        <v>17</v>
      </c>
      <c r="W38" s="39" t="n">
        <v>18</v>
      </c>
      <c r="X38" s="39" t="n">
        <v>19</v>
      </c>
      <c r="Y38" s="39" t="n">
        <v>20</v>
      </c>
      <c r="Z38" s="39" t="n">
        <v>21</v>
      </c>
      <c r="AA38" s="39" t="n">
        <v>22</v>
      </c>
      <c r="AB38" s="39" t="n">
        <v>23</v>
      </c>
      <c r="AC38" s="25" t="n"/>
      <c r="AD38" s="39" t="n">
        <v>0</v>
      </c>
      <c r="AE38" s="39" t="n">
        <v>1</v>
      </c>
      <c r="AF38" s="39" t="n">
        <v>2</v>
      </c>
      <c r="AG38" s="39" t="n">
        <v>3</v>
      </c>
      <c r="AH38" s="39" t="n">
        <v>4</v>
      </c>
      <c r="AI38" s="39" t="n">
        <v>5</v>
      </c>
      <c r="AJ38" s="39" t="n">
        <v>6</v>
      </c>
      <c r="AK38" s="39" t="n">
        <v>7</v>
      </c>
      <c r="AL38" s="39" t="n">
        <v>8</v>
      </c>
      <c r="AM38" s="39" t="n">
        <v>9</v>
      </c>
      <c r="AN38" s="39" t="n">
        <v>10</v>
      </c>
      <c r="AO38" s="39" t="n">
        <v>11</v>
      </c>
      <c r="AP38" s="39" t="n">
        <v>12</v>
      </c>
      <c r="AQ38" s="39" t="n">
        <v>13</v>
      </c>
      <c r="AR38" s="39" t="n">
        <v>14</v>
      </c>
      <c r="AS38" s="39" t="n">
        <v>15</v>
      </c>
      <c r="AT38" s="39" t="n">
        <v>16</v>
      </c>
      <c r="AU38" s="39" t="n">
        <v>17</v>
      </c>
      <c r="AV38" s="39" t="n">
        <v>18</v>
      </c>
      <c r="AW38" s="39" t="n">
        <v>19</v>
      </c>
      <c r="AX38" s="39" t="n">
        <v>20</v>
      </c>
      <c r="AY38" s="39" t="n">
        <v>21</v>
      </c>
      <c r="AZ38" s="39" t="n">
        <v>22</v>
      </c>
      <c r="BA38" s="39" t="n">
        <v>23</v>
      </c>
      <c r="BC38" s="136" t="n"/>
    </row>
    <row r="39" customFormat="1" s="13">
      <c r="C39" s="25" t="n"/>
      <c r="D39" s="25" t="n"/>
      <c r="E39" s="40" t="inlineStr">
        <is>
          <t>A</t>
        </is>
      </c>
      <c r="F39" s="40" t="inlineStr">
        <is>
          <t>B</t>
        </is>
      </c>
      <c r="G39" s="40" t="inlineStr">
        <is>
          <t>C</t>
        </is>
      </c>
      <c r="H39" s="40" t="inlineStr">
        <is>
          <t>D</t>
        </is>
      </c>
      <c r="I39" s="40" t="inlineStr">
        <is>
          <t>E</t>
        </is>
      </c>
      <c r="J39" s="40" t="inlineStr">
        <is>
          <t>F</t>
        </is>
      </c>
      <c r="K39" s="40" t="inlineStr">
        <is>
          <t>G</t>
        </is>
      </c>
      <c r="L39" s="40" t="inlineStr">
        <is>
          <t>H</t>
        </is>
      </c>
      <c r="M39" s="40" t="inlineStr">
        <is>
          <t>I</t>
        </is>
      </c>
      <c r="N39" s="40" t="inlineStr">
        <is>
          <t>J</t>
        </is>
      </c>
      <c r="O39" s="40" t="inlineStr">
        <is>
          <t>K</t>
        </is>
      </c>
      <c r="P39" s="40" t="inlineStr">
        <is>
          <t>L</t>
        </is>
      </c>
      <c r="Q39" s="40" t="inlineStr">
        <is>
          <t>M</t>
        </is>
      </c>
      <c r="R39" s="40" t="inlineStr">
        <is>
          <t>N</t>
        </is>
      </c>
      <c r="S39" s="40" t="inlineStr">
        <is>
          <t>O</t>
        </is>
      </c>
      <c r="T39" s="40" t="inlineStr">
        <is>
          <t>P</t>
        </is>
      </c>
      <c r="U39" s="40" t="inlineStr">
        <is>
          <t>Q</t>
        </is>
      </c>
      <c r="V39" s="40" t="inlineStr">
        <is>
          <t>R</t>
        </is>
      </c>
      <c r="W39" s="40" t="inlineStr">
        <is>
          <t>S</t>
        </is>
      </c>
      <c r="X39" s="40" t="inlineStr">
        <is>
          <t>T</t>
        </is>
      </c>
      <c r="Y39" s="40" t="inlineStr">
        <is>
          <t>U</t>
        </is>
      </c>
      <c r="Z39" s="40" t="inlineStr">
        <is>
          <t>V</t>
        </is>
      </c>
      <c r="AA39" s="40" t="inlineStr">
        <is>
          <t>W</t>
        </is>
      </c>
      <c r="AB39" s="40" t="inlineStr">
        <is>
          <t>X</t>
        </is>
      </c>
      <c r="AC39" s="25" t="n"/>
      <c r="AD39" s="40" t="inlineStr">
        <is>
          <t>A</t>
        </is>
      </c>
      <c r="AE39" s="40" t="inlineStr">
        <is>
          <t>B</t>
        </is>
      </c>
      <c r="AF39" s="40" t="inlineStr">
        <is>
          <t>C</t>
        </is>
      </c>
      <c r="AG39" s="40" t="inlineStr">
        <is>
          <t>D</t>
        </is>
      </c>
      <c r="AH39" s="40" t="inlineStr">
        <is>
          <t>E</t>
        </is>
      </c>
      <c r="AI39" s="40" t="inlineStr">
        <is>
          <t>F</t>
        </is>
      </c>
      <c r="AJ39" s="40" t="inlineStr">
        <is>
          <t>G</t>
        </is>
      </c>
      <c r="AK39" s="40" t="inlineStr">
        <is>
          <t>H</t>
        </is>
      </c>
      <c r="AL39" s="40" t="inlineStr">
        <is>
          <t>I</t>
        </is>
      </c>
      <c r="AM39" s="40" t="inlineStr">
        <is>
          <t>J</t>
        </is>
      </c>
      <c r="AN39" s="40" t="inlineStr">
        <is>
          <t>K</t>
        </is>
      </c>
      <c r="AO39" s="40" t="inlineStr">
        <is>
          <t>L</t>
        </is>
      </c>
      <c r="AP39" s="40" t="inlineStr">
        <is>
          <t>M</t>
        </is>
      </c>
      <c r="AQ39" s="40" t="inlineStr">
        <is>
          <t>N</t>
        </is>
      </c>
      <c r="AR39" s="40" t="inlineStr">
        <is>
          <t>O</t>
        </is>
      </c>
      <c r="AS39" s="40" t="inlineStr">
        <is>
          <t>P</t>
        </is>
      </c>
      <c r="AT39" s="40" t="inlineStr">
        <is>
          <t>Q</t>
        </is>
      </c>
      <c r="AU39" s="40" t="inlineStr">
        <is>
          <t>R</t>
        </is>
      </c>
      <c r="AV39" s="40" t="inlineStr">
        <is>
          <t>S</t>
        </is>
      </c>
      <c r="AW39" s="40" t="inlineStr">
        <is>
          <t>T</t>
        </is>
      </c>
      <c r="AX39" s="40" t="inlineStr">
        <is>
          <t>U</t>
        </is>
      </c>
      <c r="AY39" s="40" t="inlineStr">
        <is>
          <t>V</t>
        </is>
      </c>
      <c r="AZ39" s="40" t="inlineStr">
        <is>
          <t>W</t>
        </is>
      </c>
      <c r="BA39" s="40" t="inlineStr">
        <is>
          <t>X</t>
        </is>
      </c>
      <c r="BB39" s="136" t="n"/>
      <c r="BC39" s="136" t="n"/>
    </row>
    <row r="40" ht="15" customFormat="1" customHeight="1" s="13">
      <c r="C40" s="23" t="inlineStr">
        <is>
          <t>Checked PLOT</t>
        </is>
      </c>
      <c r="D40" s="10" t="n"/>
      <c r="E40" s="138" t="n"/>
      <c r="F40" s="138" t="n"/>
      <c r="G40" s="138" t="n"/>
      <c r="H40" s="138" t="n"/>
      <c r="I40" s="138" t="n"/>
      <c r="J40" s="138" t="n"/>
      <c r="K40" s="138" t="n"/>
      <c r="L40" s="138" t="n"/>
      <c r="M40" s="138" t="n"/>
      <c r="N40" s="138" t="n"/>
      <c r="O40" s="138" t="n"/>
      <c r="P40" s="138" t="n"/>
      <c r="Q40" s="138" t="n"/>
      <c r="R40" s="138" t="n"/>
      <c r="S40" s="138" t="n"/>
      <c r="T40" s="138" t="n"/>
      <c r="U40" s="138" t="n"/>
      <c r="V40" s="138" t="n"/>
      <c r="W40" s="138" t="n"/>
      <c r="X40" s="138" t="n"/>
      <c r="Y40" s="138" t="n"/>
      <c r="Z40" s="138" t="n"/>
      <c r="AA40" s="138" t="n"/>
      <c r="AB40" s="138" t="n"/>
      <c r="AC40" s="11" t="n"/>
      <c r="AD40" s="138" t="n"/>
      <c r="AE40" s="138" t="n"/>
      <c r="AF40" s="138" t="n"/>
      <c r="AG40" s="138" t="n"/>
      <c r="AH40" s="138" t="n"/>
      <c r="AI40" s="138" t="n"/>
      <c r="AJ40" s="138" t="n"/>
      <c r="AK40" s="138" t="n"/>
      <c r="AL40" s="138" t="n"/>
      <c r="AM40" s="138" t="n"/>
      <c r="AN40" s="138" t="n"/>
      <c r="AO40" s="138" t="n"/>
      <c r="AP40" s="138" t="n"/>
      <c r="AQ40" s="138" t="n"/>
      <c r="AR40" s="138" t="n"/>
      <c r="AS40" s="138" t="n"/>
      <c r="AT40" s="138" t="n"/>
      <c r="AU40" s="138" t="n"/>
      <c r="AV40" s="138" t="n"/>
      <c r="AW40" s="138" t="n"/>
      <c r="AX40" s="138" t="n"/>
      <c r="AY40" s="138" t="n"/>
      <c r="AZ40" s="138" t="n"/>
      <c r="BA40" s="138" t="n"/>
      <c r="BC40" s="136" t="n"/>
    </row>
    <row r="41" ht="15.75" customFormat="1" customHeight="1" s="13">
      <c r="C41" s="23" t="inlineStr">
        <is>
          <t>RPO PLOT</t>
        </is>
      </c>
      <c r="D41" s="10" t="n"/>
      <c r="E41" s="138" t="n"/>
      <c r="F41" s="138" t="n"/>
      <c r="G41" s="138" t="n"/>
      <c r="H41" s="138" t="n"/>
      <c r="I41" s="138" t="n"/>
      <c r="J41" s="138" t="n"/>
      <c r="K41" s="138" t="n"/>
      <c r="L41" s="138" t="n"/>
      <c r="M41" s="138" t="n"/>
      <c r="N41" s="138" t="n"/>
      <c r="O41" s="138" t="n"/>
      <c r="P41" s="138" t="n"/>
      <c r="Q41" s="138" t="n"/>
      <c r="R41" s="138" t="n"/>
      <c r="S41" s="138" t="n"/>
      <c r="T41" s="138" t="n"/>
      <c r="U41" s="138" t="n"/>
      <c r="V41" s="138" t="n"/>
      <c r="W41" s="138" t="n"/>
      <c r="X41" s="138" t="n"/>
      <c r="Y41" s="138" t="n"/>
      <c r="Z41" s="138" t="n"/>
      <c r="AA41" s="138" t="n"/>
      <c r="AB41" s="138" t="n"/>
      <c r="AC41" s="11" t="n"/>
      <c r="AD41" s="138" t="n"/>
      <c r="AE41" s="138" t="n"/>
      <c r="AF41" s="138" t="n"/>
      <c r="AG41" s="138" t="n"/>
      <c r="AH41" s="138" t="n"/>
      <c r="AI41" s="138" t="n"/>
      <c r="AJ41" s="138" t="n"/>
      <c r="AK41" s="138" t="n"/>
      <c r="AL41" s="138" t="n"/>
      <c r="AM41" s="138" t="n"/>
      <c r="AN41" s="138" t="n"/>
      <c r="AO41" s="138" t="n"/>
      <c r="AP41" s="138" t="n"/>
      <c r="AQ41" s="138" t="n"/>
      <c r="AR41" s="138" t="n"/>
      <c r="AS41" s="138" t="n"/>
      <c r="AT41" s="138" t="n"/>
      <c r="AU41" s="138" t="n"/>
      <c r="AV41" s="138" t="n"/>
      <c r="AW41" s="138" t="n"/>
      <c r="AX41" s="138" t="n"/>
      <c r="AY41" s="138" t="n"/>
      <c r="AZ41" s="138" t="n"/>
      <c r="BA41" s="138" t="n"/>
      <c r="BC41" s="136" t="n"/>
    </row>
    <row r="42" ht="15" customFormat="1" customHeight="1" s="13">
      <c r="C42" s="23" t="inlineStr">
        <is>
          <t>Checked BP</t>
        </is>
      </c>
      <c r="D42" s="10" t="n"/>
      <c r="E42" s="138" t="n"/>
      <c r="F42" s="138" t="n"/>
      <c r="G42" s="138" t="n"/>
      <c r="H42" s="138" t="n"/>
      <c r="I42" s="138" t="n"/>
      <c r="J42" s="138" t="n"/>
      <c r="K42" s="138" t="n"/>
      <c r="L42" s="138" t="n"/>
      <c r="M42" s="138" t="n"/>
      <c r="N42" s="138" t="n"/>
      <c r="O42" s="138" t="n"/>
      <c r="P42" s="138" t="n"/>
      <c r="Q42" s="138" t="n"/>
      <c r="R42" s="138" t="n"/>
      <c r="S42" s="138" t="n"/>
      <c r="T42" s="138" t="n"/>
      <c r="U42" s="138" t="n"/>
      <c r="V42" s="138" t="n"/>
      <c r="W42" s="138" t="n"/>
      <c r="X42" s="138" t="n"/>
      <c r="Y42" s="138" t="n"/>
      <c r="Z42" s="138" t="n"/>
      <c r="AA42" s="138" t="n"/>
      <c r="AB42" s="138" t="n"/>
      <c r="AC42" s="11" t="n"/>
      <c r="AD42" s="138" t="n"/>
      <c r="AE42" s="138" t="n"/>
      <c r="AF42" s="138" t="n"/>
      <c r="AG42" s="138" t="n"/>
      <c r="AH42" s="138" t="n"/>
      <c r="AI42" s="138" t="n"/>
      <c r="AJ42" s="138" t="n"/>
      <c r="AK42" s="138" t="n"/>
      <c r="AL42" s="138" t="n"/>
      <c r="AM42" s="138" t="n"/>
      <c r="AN42" s="138" t="n"/>
      <c r="AO42" s="138" t="n"/>
      <c r="AP42" s="138" t="n"/>
      <c r="AQ42" s="138" t="n"/>
      <c r="AR42" s="138" t="n"/>
      <c r="AS42" s="138" t="n"/>
      <c r="AT42" s="138" t="n"/>
      <c r="AU42" s="138" t="n"/>
      <c r="AV42" s="138" t="n"/>
      <c r="AW42" s="138" t="n"/>
      <c r="AX42" s="138" t="n"/>
      <c r="AY42" s="138" t="n"/>
      <c r="AZ42" s="138" t="n"/>
      <c r="BA42" s="138" t="n"/>
      <c r="BC42" s="136" t="n"/>
    </row>
    <row r="43" ht="15.75" customFormat="1" customHeight="1" s="13">
      <c r="C43" s="23" t="inlineStr">
        <is>
          <t>RPO BP</t>
        </is>
      </c>
      <c r="D43" s="10" t="n"/>
      <c r="E43" s="138" t="n"/>
      <c r="F43" s="138" t="n"/>
      <c r="G43" s="138" t="n"/>
      <c r="H43" s="138" t="n"/>
      <c r="I43" s="138" t="n"/>
      <c r="J43" s="138" t="n"/>
      <c r="K43" s="138" t="n"/>
      <c r="L43" s="138" t="n"/>
      <c r="M43" s="138" t="n"/>
      <c r="N43" s="138" t="n"/>
      <c r="O43" s="138" t="n"/>
      <c r="P43" s="138" t="n"/>
      <c r="Q43" s="138" t="n"/>
      <c r="R43" s="138" t="n"/>
      <c r="S43" s="138" t="n"/>
      <c r="T43" s="138" t="n"/>
      <c r="U43" s="138" t="n"/>
      <c r="V43" s="138" t="n"/>
      <c r="W43" s="138" t="n"/>
      <c r="X43" s="138" t="n"/>
      <c r="Y43" s="138" t="n"/>
      <c r="Z43" s="138" t="n"/>
      <c r="AA43" s="138" t="n"/>
      <c r="AB43" s="138" t="n"/>
      <c r="AC43" s="11" t="n"/>
      <c r="AD43" s="138" t="n"/>
      <c r="AE43" s="138" t="n"/>
      <c r="AF43" s="138" t="n"/>
      <c r="AG43" s="138" t="n"/>
      <c r="AH43" s="138" t="n"/>
      <c r="AI43" s="138" t="n"/>
      <c r="AJ43" s="138" t="n"/>
      <c r="AK43" s="138" t="n"/>
      <c r="AL43" s="138" t="n"/>
      <c r="AM43" s="138" t="n"/>
      <c r="AN43" s="138" t="n"/>
      <c r="AO43" s="138" t="n"/>
      <c r="AP43" s="138" t="n"/>
      <c r="AQ43" s="138" t="n"/>
      <c r="AR43" s="138" t="n"/>
      <c r="AS43" s="138" t="n"/>
      <c r="AT43" s="138" t="n"/>
      <c r="AU43" s="138" t="n"/>
      <c r="AV43" s="138" t="n"/>
      <c r="AW43" s="138" t="n"/>
      <c r="AX43" s="138" t="n"/>
      <c r="AY43" s="138" t="n"/>
      <c r="AZ43" s="138" t="n"/>
      <c r="BA43" s="138" t="n"/>
      <c r="BC43" s="136" t="n"/>
    </row>
    <row r="44" ht="15.75" customFormat="1" customHeight="1" s="13">
      <c r="C44" s="23" t="inlineStr">
        <is>
          <t>Invalid PLOT</t>
        </is>
      </c>
      <c r="D44" s="10" t="n"/>
      <c r="E44" s="138" t="n"/>
      <c r="F44" s="138" t="n"/>
      <c r="G44" s="138" t="n"/>
      <c r="H44" s="138" t="n"/>
      <c r="I44" s="138" t="n"/>
      <c r="J44" s="138" t="n"/>
      <c r="K44" s="138" t="n"/>
      <c r="L44" s="138" t="n"/>
      <c r="M44" s="138" t="n"/>
      <c r="N44" s="138" t="n"/>
      <c r="O44" s="138" t="n"/>
      <c r="P44" s="138" t="n"/>
      <c r="Q44" s="138" t="n"/>
      <c r="R44" s="138" t="n"/>
      <c r="S44" s="138" t="n"/>
      <c r="T44" s="138" t="n"/>
      <c r="U44" s="138" t="n"/>
      <c r="V44" s="138" t="n"/>
      <c r="W44" s="138" t="n"/>
      <c r="X44" s="138" t="n"/>
      <c r="Y44" s="138" t="n"/>
      <c r="Z44" s="138" t="n"/>
      <c r="AA44" s="138" t="n"/>
      <c r="AB44" s="138" t="n"/>
      <c r="AC44" s="11" t="n"/>
      <c r="AD44" s="138" t="n"/>
      <c r="AE44" s="138" t="n"/>
      <c r="AF44" s="138" t="n"/>
      <c r="AG44" s="138" t="n"/>
      <c r="AH44" s="138" t="n"/>
      <c r="AI44" s="138" t="n"/>
      <c r="AJ44" s="138" t="n"/>
      <c r="AK44" s="138" t="n"/>
      <c r="AL44" s="138" t="n"/>
      <c r="AM44" s="138" t="n"/>
      <c r="AN44" s="138" t="n"/>
      <c r="AO44" s="138" t="n"/>
      <c r="AP44" s="138" t="n"/>
      <c r="AQ44" s="138" t="n"/>
      <c r="AR44" s="138" t="n"/>
      <c r="AS44" s="138" t="n"/>
      <c r="AT44" s="138" t="n"/>
      <c r="AU44" s="138" t="n"/>
      <c r="AV44" s="138" t="n"/>
      <c r="AW44" s="138" t="n"/>
      <c r="AX44" s="138" t="n"/>
      <c r="AY44" s="138" t="n"/>
      <c r="AZ44" s="138" t="n"/>
      <c r="BA44" s="138" t="n"/>
      <c r="BC44" s="136" t="n"/>
    </row>
    <row r="45" ht="15.75" customFormat="1" customHeight="1" s="13">
      <c r="C45" s="23" t="inlineStr">
        <is>
          <t>Invalid BP</t>
        </is>
      </c>
      <c r="D45" s="10" t="n"/>
      <c r="E45" s="138" t="n"/>
      <c r="F45" s="138" t="n"/>
      <c r="G45" s="138" t="n"/>
      <c r="H45" s="138" t="n"/>
      <c r="I45" s="138" t="n"/>
      <c r="J45" s="138" t="n"/>
      <c r="K45" s="138" t="n"/>
      <c r="L45" s="138" t="n"/>
      <c r="M45" s="138" t="n"/>
      <c r="N45" s="138" t="n"/>
      <c r="O45" s="138" t="n"/>
      <c r="P45" s="138" t="n"/>
      <c r="Q45" s="138" t="n"/>
      <c r="R45" s="138" t="n"/>
      <c r="S45" s="138" t="n"/>
      <c r="T45" s="138" t="n"/>
      <c r="U45" s="138" t="n"/>
      <c r="V45" s="138" t="n"/>
      <c r="W45" s="138" t="n"/>
      <c r="X45" s="138" t="n"/>
      <c r="Y45" s="138" t="n"/>
      <c r="Z45" s="138" t="n"/>
      <c r="AA45" s="138" t="n"/>
      <c r="AB45" s="138" t="n"/>
      <c r="AC45" s="11" t="n"/>
      <c r="AD45" s="138" t="n"/>
      <c r="AE45" s="138" t="n"/>
      <c r="AF45" s="138" t="n"/>
      <c r="AG45" s="138" t="n"/>
      <c r="AH45" s="138" t="n"/>
      <c r="AI45" s="138" t="n"/>
      <c r="AJ45" s="138" t="n"/>
      <c r="AK45" s="138" t="n"/>
      <c r="AL45" s="138" t="n"/>
      <c r="AM45" s="138" t="n"/>
      <c r="AN45" s="138" t="n"/>
      <c r="AO45" s="138" t="n"/>
      <c r="AP45" s="138" t="n"/>
      <c r="AQ45" s="138" t="n"/>
      <c r="AR45" s="138" t="n"/>
      <c r="AS45" s="138" t="n"/>
      <c r="AT45" s="138" t="n"/>
      <c r="AU45" s="138" t="n"/>
      <c r="AV45" s="138" t="n"/>
      <c r="AW45" s="138" t="n"/>
      <c r="AX45" s="138" t="n"/>
      <c r="AY45" s="138" t="n"/>
      <c r="AZ45" s="138" t="n"/>
      <c r="BA45" s="138" t="n"/>
      <c r="BC45" s="136" t="n"/>
    </row>
    <row r="46" ht="57.75" customHeight="1">
      <c r="A46" s="67" t="n"/>
      <c r="B46" s="14" t="n"/>
      <c r="C46" s="24" t="inlineStr">
        <is>
          <t>Op Log</t>
        </is>
      </c>
      <c r="E46" s="316" t="n"/>
      <c r="F46" s="322" t="n"/>
      <c r="G46" s="322" t="n"/>
      <c r="H46" s="322" t="n"/>
      <c r="I46" s="322" t="n"/>
      <c r="J46" s="322" t="n"/>
      <c r="K46" s="322" t="n"/>
      <c r="L46" s="322" t="n"/>
      <c r="M46" s="322" t="n"/>
      <c r="N46" s="322" t="n"/>
      <c r="O46" s="322" t="n"/>
      <c r="P46" s="322" t="n"/>
      <c r="Q46" s="322" t="n"/>
      <c r="R46" s="322" t="n"/>
      <c r="S46" s="322" t="n"/>
      <c r="T46" s="322" t="n"/>
      <c r="U46" s="322" t="n"/>
      <c r="V46" s="322" t="n"/>
      <c r="W46" s="322" t="n"/>
      <c r="X46" s="322" t="n"/>
      <c r="Y46" s="322" t="n"/>
      <c r="Z46" s="322" t="n"/>
      <c r="AA46" s="322" t="n"/>
      <c r="AB46" s="322" t="n"/>
      <c r="AC46" s="32" t="n"/>
      <c r="AD46" s="316" t="n"/>
      <c r="AE46" s="322" t="n"/>
      <c r="AF46" s="322" t="n"/>
      <c r="AG46" s="322" t="n"/>
      <c r="AH46" s="322" t="n"/>
      <c r="AI46" s="322" t="n"/>
      <c r="AJ46" s="322" t="n"/>
      <c r="AK46" s="322" t="n"/>
      <c r="AL46" s="322" t="n"/>
      <c r="AM46" s="322" t="n"/>
      <c r="AN46" s="322" t="n"/>
      <c r="AO46" s="322" t="n"/>
      <c r="AP46" s="322" t="n"/>
      <c r="AQ46" s="322" t="n"/>
      <c r="AR46" s="322" t="n"/>
      <c r="AS46" s="322" t="n"/>
      <c r="AT46" s="322" t="n"/>
      <c r="AU46" s="322" t="n"/>
      <c r="AV46" s="322" t="n"/>
      <c r="AW46" s="322" t="n"/>
      <c r="AX46" s="322" t="n"/>
      <c r="AY46" s="322" t="n"/>
      <c r="AZ46" s="322" t="n"/>
      <c r="BA46" s="322" t="n"/>
      <c r="BB46" s="11" t="n"/>
      <c r="BC46" s="129" t="n"/>
      <c r="BD46" s="14" t="n"/>
      <c r="BE46" s="14" t="n"/>
      <c r="BF46" s="14" t="n"/>
      <c r="BG46" s="14" t="n"/>
      <c r="BH46" s="14" t="n"/>
    </row>
    <row r="47" ht="43.5" customHeight="1">
      <c r="A47" s="67" t="n"/>
      <c r="B47" s="14" t="n"/>
      <c r="C47" s="24" t="inlineStr">
        <is>
          <t>Notes:</t>
        </is>
      </c>
      <c r="E47" s="321" t="n"/>
      <c r="F47" s="322" t="n"/>
      <c r="G47" s="322" t="n"/>
      <c r="H47" s="322" t="n"/>
      <c r="I47" s="322" t="n"/>
      <c r="J47" s="322" t="n"/>
      <c r="K47" s="322" t="n"/>
      <c r="L47" s="322" t="n"/>
      <c r="M47" s="322" t="n"/>
      <c r="N47" s="322" t="n"/>
      <c r="O47" s="322" t="n"/>
      <c r="P47" s="323" t="n"/>
      <c r="Q47" s="324" t="n"/>
      <c r="R47" s="322" t="n"/>
      <c r="S47" s="322" t="n"/>
      <c r="T47" s="322" t="n"/>
      <c r="U47" s="322" t="n"/>
      <c r="V47" s="322" t="n"/>
      <c r="W47" s="322" t="n"/>
      <c r="X47" s="322" t="n"/>
      <c r="Y47" s="322" t="n"/>
      <c r="Z47" s="322" t="n"/>
      <c r="AA47" s="322" t="n"/>
      <c r="AB47" s="322" t="n"/>
      <c r="AC47" s="32" t="n"/>
      <c r="AD47" s="321" t="n"/>
      <c r="AE47" s="322" t="n"/>
      <c r="AF47" s="322" t="n"/>
      <c r="AG47" s="322" t="n"/>
      <c r="AH47" s="322" t="n"/>
      <c r="AI47" s="322" t="n"/>
      <c r="AJ47" s="322" t="n"/>
      <c r="AK47" s="322" t="n"/>
      <c r="AL47" s="322" t="n"/>
      <c r="AM47" s="322" t="n"/>
      <c r="AN47" s="322" t="n"/>
      <c r="AO47" s="323" t="n"/>
      <c r="AP47" s="324" t="n"/>
      <c r="AQ47" s="322" t="n"/>
      <c r="AR47" s="322" t="n"/>
      <c r="AS47" s="322" t="n"/>
      <c r="AT47" s="322" t="n"/>
      <c r="AU47" s="322" t="n"/>
      <c r="AV47" s="322" t="n"/>
      <c r="AW47" s="322" t="n"/>
      <c r="AX47" s="322" t="n"/>
      <c r="AY47" s="322" t="n"/>
      <c r="AZ47" s="322" t="n"/>
      <c r="BA47" s="322" t="n"/>
      <c r="BB47" s="11" t="n"/>
      <c r="BC47" s="129" t="n"/>
      <c r="BD47" s="14" t="n"/>
      <c r="BE47" s="14" t="n"/>
      <c r="BF47" s="14" t="n"/>
      <c r="BG47" s="14" t="n"/>
      <c r="BH47" s="14" t="n"/>
    </row>
    <row r="48">
      <c r="A48" s="14" t="n"/>
      <c r="B48" s="14" t="n"/>
      <c r="BB48" s="11" t="n"/>
      <c r="BC48" s="129" t="n"/>
      <c r="BD48" s="14" t="n"/>
      <c r="BE48" s="14" t="n"/>
      <c r="BF48" s="14" t="n"/>
      <c r="BG48" s="14" t="n"/>
      <c r="BH48" s="14" t="n"/>
    </row>
    <row r="49" ht="16.5" customHeight="1" thickBot="1">
      <c r="A49" s="14" t="n"/>
      <c r="B49" s="14" t="n"/>
      <c r="C49" s="315" t="inlineStr">
        <is>
          <t>Reprocess Plan</t>
        </is>
      </c>
      <c r="N49" s="12" t="inlineStr">
        <is>
          <t>Site:</t>
        </is>
      </c>
      <c r="O49" s="13" t="n"/>
      <c r="P49" s="314">
        <f>P2</f>
        <v/>
      </c>
      <c r="Q49" s="193" t="n"/>
      <c r="R49" s="193" t="n"/>
      <c r="S49" s="193" t="n"/>
      <c r="T49" s="193" t="n"/>
      <c r="U49" s="193" t="n"/>
      <c r="V49" s="12" t="inlineStr">
        <is>
          <t>Month/Year:</t>
        </is>
      </c>
      <c r="W49" s="13" t="n"/>
      <c r="X49" s="13" t="n"/>
      <c r="Y49" s="13" t="n"/>
      <c r="Z49" s="314">
        <f>Z2</f>
        <v/>
      </c>
      <c r="AA49" s="193" t="n"/>
      <c r="AB49" s="193" t="n"/>
      <c r="AC49" s="193" t="n"/>
      <c r="AD49" s="193" t="n"/>
      <c r="AE49" s="193" t="n"/>
      <c r="AZ49" s="10" t="inlineStr">
        <is>
          <t>Pg.</t>
        </is>
      </c>
      <c r="BA49" s="10" t="n">
        <v>2</v>
      </c>
      <c r="BB49" s="11" t="n"/>
      <c r="BC49" s="129" t="n"/>
      <c r="BD49" s="14" t="n"/>
      <c r="BE49" s="14" t="n"/>
      <c r="BF49" s="14" t="n"/>
      <c r="BG49" s="14" t="n"/>
      <c r="BH49" s="14" t="n"/>
    </row>
    <row r="50">
      <c r="A50" s="14" t="n"/>
      <c r="B50" s="14" t="n"/>
      <c r="N50" s="12" t="n"/>
      <c r="V50" s="12" t="n"/>
      <c r="BB50" s="11" t="n"/>
      <c r="BC50" s="129" t="n"/>
      <c r="BD50" s="14" t="n"/>
      <c r="BE50" s="14" t="n"/>
      <c r="BF50" s="14" t="n"/>
      <c r="BG50" s="14" t="n"/>
      <c r="BH50" s="14" t="n"/>
    </row>
    <row r="51" ht="15.75" customFormat="1" customHeight="1" s="13">
      <c r="C51" s="15" t="n"/>
      <c r="D51" s="15" t="n"/>
      <c r="E51" s="16" t="n">
        <v>9</v>
      </c>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5" t="n"/>
      <c r="AD51" s="16" t="n">
        <v>10</v>
      </c>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C51" s="130" t="n"/>
      <c r="BD51" s="325" t="inlineStr">
        <is>
          <t>CVS</t>
        </is>
      </c>
      <c r="BE51" s="322" t="n"/>
      <c r="BF51" s="322" t="n"/>
      <c r="BG51" s="322" t="n"/>
      <c r="BH51" s="323" t="n"/>
    </row>
    <row r="52" ht="15.75" customFormat="1" customHeight="1" s="13">
      <c r="C52" s="25" t="n"/>
      <c r="D52" s="25" t="n"/>
      <c r="E52" s="39" t="n">
        <v>0</v>
      </c>
      <c r="F52" s="39" t="n">
        <v>1</v>
      </c>
      <c r="G52" s="39" t="n">
        <v>2</v>
      </c>
      <c r="H52" s="39" t="n">
        <v>3</v>
      </c>
      <c r="I52" s="39" t="n">
        <v>4</v>
      </c>
      <c r="J52" s="39" t="n">
        <v>5</v>
      </c>
      <c r="K52" s="39" t="n">
        <v>6</v>
      </c>
      <c r="L52" s="39" t="n">
        <v>7</v>
      </c>
      <c r="M52" s="39" t="n">
        <v>8</v>
      </c>
      <c r="N52" s="39" t="n">
        <v>9</v>
      </c>
      <c r="O52" s="39" t="n">
        <v>10</v>
      </c>
      <c r="P52" s="39" t="n">
        <v>11</v>
      </c>
      <c r="Q52" s="39" t="n">
        <v>12</v>
      </c>
      <c r="R52" s="39" t="n">
        <v>13</v>
      </c>
      <c r="S52" s="39" t="n">
        <v>14</v>
      </c>
      <c r="T52" s="39" t="n">
        <v>15</v>
      </c>
      <c r="U52" s="39" t="n">
        <v>16</v>
      </c>
      <c r="V52" s="39" t="n">
        <v>17</v>
      </c>
      <c r="W52" s="39" t="n">
        <v>18</v>
      </c>
      <c r="X52" s="39" t="n">
        <v>19</v>
      </c>
      <c r="Y52" s="39" t="n">
        <v>20</v>
      </c>
      <c r="Z52" s="39" t="n">
        <v>21</v>
      </c>
      <c r="AA52" s="39" t="n">
        <v>22</v>
      </c>
      <c r="AB52" s="39" t="n">
        <v>23</v>
      </c>
      <c r="AC52" s="25" t="n"/>
      <c r="AD52" s="39" t="n">
        <v>0</v>
      </c>
      <c r="AE52" s="39" t="n">
        <v>1</v>
      </c>
      <c r="AF52" s="39" t="n">
        <v>2</v>
      </c>
      <c r="AG52" s="39" t="n">
        <v>3</v>
      </c>
      <c r="AH52" s="39" t="n">
        <v>4</v>
      </c>
      <c r="AI52" s="39" t="n">
        <v>5</v>
      </c>
      <c r="AJ52" s="39" t="n">
        <v>6</v>
      </c>
      <c r="AK52" s="39" t="n">
        <v>7</v>
      </c>
      <c r="AL52" s="39" t="n">
        <v>8</v>
      </c>
      <c r="AM52" s="39" t="n">
        <v>9</v>
      </c>
      <c r="AN52" s="39" t="n">
        <v>10</v>
      </c>
      <c r="AO52" s="39" t="n">
        <v>11</v>
      </c>
      <c r="AP52" s="39" t="n">
        <v>12</v>
      </c>
      <c r="AQ52" s="39" t="n">
        <v>13</v>
      </c>
      <c r="AR52" s="39" t="n">
        <v>14</v>
      </c>
      <c r="AS52" s="39" t="n">
        <v>15</v>
      </c>
      <c r="AT52" s="39" t="n">
        <v>16</v>
      </c>
      <c r="AU52" s="39" t="n">
        <v>17</v>
      </c>
      <c r="AV52" s="39" t="n">
        <v>18</v>
      </c>
      <c r="AW52" s="39" t="n">
        <v>19</v>
      </c>
      <c r="AX52" s="39" t="n">
        <v>20</v>
      </c>
      <c r="AY52" s="39" t="n">
        <v>21</v>
      </c>
      <c r="AZ52" s="39" t="n">
        <v>22</v>
      </c>
      <c r="BA52" s="39" t="n">
        <v>23</v>
      </c>
      <c r="BC52" s="28" t="n"/>
      <c r="BD52" s="326" t="inlineStr">
        <is>
          <t>Blank</t>
        </is>
      </c>
      <c r="BE52" s="322" t="n"/>
      <c r="BF52" s="322" t="n"/>
      <c r="BG52" s="322" t="n"/>
      <c r="BH52" s="323" t="n"/>
    </row>
    <row r="53" ht="15.75" customFormat="1" customHeight="1" s="13">
      <c r="C53" s="25" t="n"/>
      <c r="D53" s="25" t="n"/>
      <c r="E53" s="40" t="inlineStr">
        <is>
          <t>A</t>
        </is>
      </c>
      <c r="F53" s="40" t="inlineStr">
        <is>
          <t>B</t>
        </is>
      </c>
      <c r="G53" s="40" t="inlineStr">
        <is>
          <t>C</t>
        </is>
      </c>
      <c r="H53" s="40" t="inlineStr">
        <is>
          <t>D</t>
        </is>
      </c>
      <c r="I53" s="40" t="inlineStr">
        <is>
          <t>E</t>
        </is>
      </c>
      <c r="J53" s="40" t="inlineStr">
        <is>
          <t>F</t>
        </is>
      </c>
      <c r="K53" s="40" t="inlineStr">
        <is>
          <t>G</t>
        </is>
      </c>
      <c r="L53" s="40" t="inlineStr">
        <is>
          <t>H</t>
        </is>
      </c>
      <c r="M53" s="40" t="inlineStr">
        <is>
          <t>I</t>
        </is>
      </c>
      <c r="N53" s="40" t="inlineStr">
        <is>
          <t>J</t>
        </is>
      </c>
      <c r="O53" s="40" t="inlineStr">
        <is>
          <t>K</t>
        </is>
      </c>
      <c r="P53" s="40" t="inlineStr">
        <is>
          <t>L</t>
        </is>
      </c>
      <c r="Q53" s="40" t="inlineStr">
        <is>
          <t>M</t>
        </is>
      </c>
      <c r="R53" s="40" t="inlineStr">
        <is>
          <t>N</t>
        </is>
      </c>
      <c r="S53" s="40" t="inlineStr">
        <is>
          <t>O</t>
        </is>
      </c>
      <c r="T53" s="40" t="inlineStr">
        <is>
          <t>P</t>
        </is>
      </c>
      <c r="U53" s="40" t="inlineStr">
        <is>
          <t>Q</t>
        </is>
      </c>
      <c r="V53" s="40" t="inlineStr">
        <is>
          <t>R</t>
        </is>
      </c>
      <c r="W53" s="40" t="inlineStr">
        <is>
          <t>S</t>
        </is>
      </c>
      <c r="X53" s="40" t="inlineStr">
        <is>
          <t>T</t>
        </is>
      </c>
      <c r="Y53" s="40" t="inlineStr">
        <is>
          <t>U</t>
        </is>
      </c>
      <c r="Z53" s="40" t="inlineStr">
        <is>
          <t>V</t>
        </is>
      </c>
      <c r="AA53" s="40" t="inlineStr">
        <is>
          <t>W</t>
        </is>
      </c>
      <c r="AB53" s="40" t="inlineStr">
        <is>
          <t>X</t>
        </is>
      </c>
      <c r="AC53" s="25" t="n"/>
      <c r="AD53" s="40" t="inlineStr">
        <is>
          <t>A</t>
        </is>
      </c>
      <c r="AE53" s="40" t="inlineStr">
        <is>
          <t>B</t>
        </is>
      </c>
      <c r="AF53" s="40" t="inlineStr">
        <is>
          <t>C</t>
        </is>
      </c>
      <c r="AG53" s="40" t="inlineStr">
        <is>
          <t>D</t>
        </is>
      </c>
      <c r="AH53" s="40" t="inlineStr">
        <is>
          <t>E</t>
        </is>
      </c>
      <c r="AI53" s="40" t="inlineStr">
        <is>
          <t>F</t>
        </is>
      </c>
      <c r="AJ53" s="40" t="inlineStr">
        <is>
          <t>G</t>
        </is>
      </c>
      <c r="AK53" s="40" t="inlineStr">
        <is>
          <t>H</t>
        </is>
      </c>
      <c r="AL53" s="40" t="inlineStr">
        <is>
          <t>I</t>
        </is>
      </c>
      <c r="AM53" s="40" t="inlineStr">
        <is>
          <t>J</t>
        </is>
      </c>
      <c r="AN53" s="40" t="inlineStr">
        <is>
          <t>K</t>
        </is>
      </c>
      <c r="AO53" s="40" t="inlineStr">
        <is>
          <t>L</t>
        </is>
      </c>
      <c r="AP53" s="40" t="inlineStr">
        <is>
          <t>M</t>
        </is>
      </c>
      <c r="AQ53" s="40" t="inlineStr">
        <is>
          <t>N</t>
        </is>
      </c>
      <c r="AR53" s="40" t="inlineStr">
        <is>
          <t>O</t>
        </is>
      </c>
      <c r="AS53" s="40" t="inlineStr">
        <is>
          <t>P</t>
        </is>
      </c>
      <c r="AT53" s="40" t="inlineStr">
        <is>
          <t>Q</t>
        </is>
      </c>
      <c r="AU53" s="40" t="inlineStr">
        <is>
          <t>R</t>
        </is>
      </c>
      <c r="AV53" s="40" t="inlineStr">
        <is>
          <t>S</t>
        </is>
      </c>
      <c r="AW53" s="40" t="inlineStr">
        <is>
          <t>T</t>
        </is>
      </c>
      <c r="AX53" s="40" t="inlineStr">
        <is>
          <t>U</t>
        </is>
      </c>
      <c r="AY53" s="40" t="inlineStr">
        <is>
          <t>V</t>
        </is>
      </c>
      <c r="AZ53" s="40" t="inlineStr">
        <is>
          <t>W</t>
        </is>
      </c>
      <c r="BA53" s="40" t="inlineStr">
        <is>
          <t>X</t>
        </is>
      </c>
      <c r="BC53" s="125" t="n"/>
      <c r="BD53" s="317" t="inlineStr">
        <is>
          <t>LCS</t>
        </is>
      </c>
      <c r="BE53" s="322" t="n"/>
      <c r="BF53" s="322" t="n"/>
      <c r="BG53" s="322" t="n"/>
      <c r="BH53" s="323" t="n"/>
    </row>
    <row r="54" ht="15.75" customFormat="1" customHeight="1" s="13">
      <c r="C54" s="23" t="inlineStr">
        <is>
          <t>Checked PLOT</t>
        </is>
      </c>
      <c r="D54" s="10" t="n"/>
      <c r="E54" s="138" t="n"/>
      <c r="F54" s="138" t="n"/>
      <c r="G54" s="138" t="n"/>
      <c r="H54" s="138" t="n"/>
      <c r="I54" s="138" t="n"/>
      <c r="J54" s="138" t="n"/>
      <c r="K54" s="138" t="n"/>
      <c r="L54" s="138" t="n"/>
      <c r="M54" s="138" t="n"/>
      <c r="N54" s="138" t="n"/>
      <c r="O54" s="138" t="n"/>
      <c r="P54" s="138" t="n"/>
      <c r="Q54" s="138" t="n"/>
      <c r="R54" s="138" t="n"/>
      <c r="S54" s="138" t="n"/>
      <c r="T54" s="138" t="n"/>
      <c r="U54" s="138" t="n"/>
      <c r="V54" s="138" t="n"/>
      <c r="W54" s="138" t="n"/>
      <c r="X54" s="138" t="n"/>
      <c r="Y54" s="138" t="n"/>
      <c r="Z54" s="138" t="n"/>
      <c r="AA54" s="138" t="n"/>
      <c r="AB54" s="138" t="n"/>
      <c r="AC54" s="11" t="n"/>
      <c r="AD54" s="138" t="n"/>
      <c r="AE54" s="138" t="n"/>
      <c r="AF54" s="138" t="n"/>
      <c r="AG54" s="138" t="n"/>
      <c r="AH54" s="138" t="n"/>
      <c r="AI54" s="138" t="n"/>
      <c r="AJ54" s="138" t="n"/>
      <c r="AK54" s="138" t="n"/>
      <c r="AL54" s="138" t="n"/>
      <c r="AM54" s="138" t="n"/>
      <c r="AN54" s="138" t="n"/>
      <c r="AO54" s="138" t="n"/>
      <c r="AP54" s="138" t="n"/>
      <c r="AQ54" s="138" t="n"/>
      <c r="AR54" s="138" t="n"/>
      <c r="AS54" s="138" t="n"/>
      <c r="AT54" s="138" t="n"/>
      <c r="AU54" s="138" t="n"/>
      <c r="AV54" s="138" t="n"/>
      <c r="AW54" s="138" t="n"/>
      <c r="AX54" s="138" t="n"/>
      <c r="AY54" s="138" t="n"/>
      <c r="AZ54" s="138" t="n"/>
      <c r="BA54" s="138" t="n"/>
      <c r="BC54" s="126" t="n"/>
      <c r="BD54" s="317" t="inlineStr">
        <is>
          <t>RTS</t>
        </is>
      </c>
      <c r="BE54" s="322" t="n"/>
      <c r="BF54" s="322" t="n"/>
      <c r="BG54" s="322" t="n"/>
      <c r="BH54" s="323" t="n"/>
    </row>
    <row r="55" customFormat="1" s="13">
      <c r="C55" s="23" t="inlineStr">
        <is>
          <t>RPO PLOT</t>
        </is>
      </c>
      <c r="D55" s="10" t="n"/>
      <c r="E55" s="138" t="n"/>
      <c r="F55" s="138" t="n"/>
      <c r="G55" s="138" t="n"/>
      <c r="H55" s="138" t="n"/>
      <c r="I55" s="138" t="n"/>
      <c r="J55" s="138" t="n"/>
      <c r="K55" s="138" t="n"/>
      <c r="L55" s="138" t="n"/>
      <c r="M55" s="138" t="n"/>
      <c r="N55" s="138" t="n"/>
      <c r="O55" s="138" t="n"/>
      <c r="P55" s="138" t="n"/>
      <c r="Q55" s="138" t="n"/>
      <c r="R55" s="138" t="n"/>
      <c r="S55" s="138" t="n"/>
      <c r="T55" s="138" t="n"/>
      <c r="U55" s="138" t="n"/>
      <c r="V55" s="138" t="n"/>
      <c r="W55" s="138" t="n"/>
      <c r="X55" s="138" t="n"/>
      <c r="Y55" s="138" t="n"/>
      <c r="Z55" s="138" t="n"/>
      <c r="AA55" s="138" t="n"/>
      <c r="AB55" s="138" t="n"/>
      <c r="AC55" s="11" t="n"/>
      <c r="AD55" s="138" t="n"/>
      <c r="AE55" s="138" t="n"/>
      <c r="AF55" s="138" t="n"/>
      <c r="AG55" s="138" t="n"/>
      <c r="AH55" s="138" t="n"/>
      <c r="AI55" s="138" t="n"/>
      <c r="AJ55" s="138" t="n"/>
      <c r="AK55" s="138" t="n"/>
      <c r="AL55" s="138" t="n"/>
      <c r="AM55" s="138" t="n"/>
      <c r="AN55" s="138" t="n"/>
      <c r="AO55" s="138" t="n"/>
      <c r="AP55" s="138" t="n"/>
      <c r="AQ55" s="138" t="n"/>
      <c r="AR55" s="138" t="n"/>
      <c r="AS55" s="138" t="n"/>
      <c r="AT55" s="138" t="n"/>
      <c r="AU55" s="138" t="n"/>
      <c r="AV55" s="138" t="n"/>
      <c r="AW55" s="138" t="n"/>
      <c r="AX55" s="138" t="n"/>
      <c r="AY55" s="138" t="n"/>
      <c r="AZ55" s="138" t="n"/>
      <c r="BA55" s="138" t="n"/>
      <c r="BC55" s="127" t="n"/>
      <c r="BD55" s="317" t="inlineStr">
        <is>
          <t>Experimental/ Test</t>
        </is>
      </c>
      <c r="BE55" s="322" t="n"/>
      <c r="BF55" s="322" t="n"/>
      <c r="BG55" s="322" t="n"/>
      <c r="BH55" s="323" t="n"/>
    </row>
    <row r="56" ht="15.75" customFormat="1" customHeight="1" s="13">
      <c r="C56" s="23" t="inlineStr">
        <is>
          <t>Checked BP</t>
        </is>
      </c>
      <c r="D56" s="10" t="n"/>
      <c r="E56" s="138" t="n"/>
      <c r="F56" s="138" t="n"/>
      <c r="G56" s="138" t="n"/>
      <c r="H56" s="138" t="n"/>
      <c r="I56" s="138" t="n"/>
      <c r="J56" s="138" t="n"/>
      <c r="K56" s="138" t="n"/>
      <c r="L56" s="138" t="n"/>
      <c r="M56" s="138" t="n"/>
      <c r="N56" s="138" t="n"/>
      <c r="O56" s="138" t="n"/>
      <c r="P56" s="138" t="n"/>
      <c r="Q56" s="138" t="n"/>
      <c r="R56" s="138" t="n"/>
      <c r="S56" s="138" t="n"/>
      <c r="T56" s="138" t="n"/>
      <c r="U56" s="138" t="n"/>
      <c r="V56" s="138" t="n"/>
      <c r="W56" s="138" t="n"/>
      <c r="X56" s="138" t="n"/>
      <c r="Y56" s="138" t="n"/>
      <c r="Z56" s="138" t="n"/>
      <c r="AA56" s="138" t="n"/>
      <c r="AB56" s="138" t="n"/>
      <c r="AC56" s="11" t="n"/>
      <c r="AD56" s="138" t="n"/>
      <c r="AE56" s="138" t="n"/>
      <c r="AF56" s="138" t="n"/>
      <c r="AG56" s="138" t="n"/>
      <c r="AH56" s="138" t="n"/>
      <c r="AI56" s="138" t="n"/>
      <c r="AJ56" s="138" t="n"/>
      <c r="AK56" s="138" t="n"/>
      <c r="AL56" s="138" t="n"/>
      <c r="AM56" s="138" t="n"/>
      <c r="AN56" s="138" t="n"/>
      <c r="AO56" s="138" t="n"/>
      <c r="AP56" s="138" t="n"/>
      <c r="AQ56" s="138" t="n"/>
      <c r="AR56" s="138" t="n"/>
      <c r="AS56" s="138" t="n"/>
      <c r="AT56" s="138" t="n"/>
      <c r="AU56" s="138" t="n"/>
      <c r="AV56" s="138" t="n"/>
      <c r="AW56" s="138" t="n"/>
      <c r="AX56" s="138" t="n"/>
      <c r="AY56" s="138" t="n"/>
      <c r="AZ56" s="138" t="n"/>
      <c r="BA56" s="138" t="n"/>
      <c r="BC56" s="131" t="n"/>
      <c r="BD56" s="317" t="inlineStr">
        <is>
          <t>Missing Data</t>
        </is>
      </c>
      <c r="BE56" s="322" t="n"/>
      <c r="BF56" s="322" t="n"/>
      <c r="BG56" s="322" t="n"/>
      <c r="BH56" s="323" t="n"/>
    </row>
    <row r="57" ht="15.75" customFormat="1" customHeight="1" s="13">
      <c r="C57" s="23" t="inlineStr">
        <is>
          <t>RPO BP</t>
        </is>
      </c>
      <c r="D57" s="10" t="n"/>
      <c r="E57" s="138" t="n"/>
      <c r="F57" s="138" t="n"/>
      <c r="G57" s="138" t="n"/>
      <c r="H57" s="138" t="n"/>
      <c r="I57" s="138" t="n"/>
      <c r="J57" s="138" t="n"/>
      <c r="K57" s="138" t="n"/>
      <c r="L57" s="138" t="n"/>
      <c r="M57" s="138" t="n"/>
      <c r="N57" s="138" t="n"/>
      <c r="O57" s="138" t="n"/>
      <c r="P57" s="138" t="n"/>
      <c r="Q57" s="138" t="n"/>
      <c r="R57" s="138" t="n"/>
      <c r="S57" s="138" t="n"/>
      <c r="T57" s="138" t="n"/>
      <c r="U57" s="138" t="n"/>
      <c r="V57" s="138" t="n"/>
      <c r="W57" s="138" t="n"/>
      <c r="X57" s="138" t="n"/>
      <c r="Y57" s="138" t="n"/>
      <c r="Z57" s="138" t="n"/>
      <c r="AA57" s="138" t="n"/>
      <c r="AB57" s="138" t="n"/>
      <c r="AC57" s="11" t="n"/>
      <c r="AD57" s="138" t="n"/>
      <c r="AE57" s="138" t="n"/>
      <c r="AF57" s="138" t="n"/>
      <c r="AG57" s="138" t="n"/>
      <c r="AH57" s="138" t="n"/>
      <c r="AI57" s="138" t="n"/>
      <c r="AJ57" s="138" t="n"/>
      <c r="AK57" s="138" t="n"/>
      <c r="AL57" s="138" t="n"/>
      <c r="AM57" s="138" t="n"/>
      <c r="AN57" s="138" t="n"/>
      <c r="AO57" s="138" t="n"/>
      <c r="AP57" s="138" t="n"/>
      <c r="AQ57" s="138" t="n"/>
      <c r="AR57" s="138" t="n"/>
      <c r="AS57" s="138" t="n"/>
      <c r="AT57" s="138" t="n"/>
      <c r="AU57" s="138" t="n"/>
      <c r="AV57" s="138" t="n"/>
      <c r="AW57" s="138" t="n"/>
      <c r="AX57" s="138" t="n"/>
      <c r="AY57" s="138" t="n"/>
      <c r="AZ57" s="138" t="n"/>
      <c r="BA57" s="138" t="n"/>
      <c r="BC57" s="128" t="n"/>
      <c r="BD57" s="317" t="inlineStr">
        <is>
          <t>Invalidate</t>
        </is>
      </c>
      <c r="BE57" s="322" t="n"/>
      <c r="BF57" s="322" t="n"/>
      <c r="BG57" s="322" t="n"/>
      <c r="BH57" s="323" t="n"/>
    </row>
    <row r="58" ht="15.75" customFormat="1" customHeight="1" s="13">
      <c r="C58" s="23" t="inlineStr">
        <is>
          <t>Invalid PLOT</t>
        </is>
      </c>
      <c r="D58" s="10" t="n"/>
      <c r="E58" s="138" t="n"/>
      <c r="F58" s="138" t="n"/>
      <c r="G58" s="138" t="n"/>
      <c r="H58" s="138" t="n"/>
      <c r="I58" s="138" t="n"/>
      <c r="J58" s="138" t="n"/>
      <c r="K58" s="138" t="n"/>
      <c r="L58" s="138" t="n"/>
      <c r="M58" s="138" t="n"/>
      <c r="N58" s="138" t="n"/>
      <c r="O58" s="138" t="n"/>
      <c r="P58" s="138" t="n"/>
      <c r="Q58" s="138" t="n"/>
      <c r="R58" s="138" t="n"/>
      <c r="S58" s="138" t="n"/>
      <c r="T58" s="138" t="n"/>
      <c r="U58" s="138" t="n"/>
      <c r="V58" s="138" t="n"/>
      <c r="W58" s="138" t="n"/>
      <c r="X58" s="138" t="n"/>
      <c r="Y58" s="138" t="n"/>
      <c r="Z58" s="138" t="n"/>
      <c r="AA58" s="138" t="n"/>
      <c r="AB58" s="138" t="n"/>
      <c r="AC58" s="11" t="n"/>
      <c r="AD58" s="138" t="n"/>
      <c r="AE58" s="138" t="n"/>
      <c r="AF58" s="138" t="n"/>
      <c r="AG58" s="138" t="n"/>
      <c r="AH58" s="138" t="n"/>
      <c r="AI58" s="138" t="n"/>
      <c r="AJ58" s="138" t="n"/>
      <c r="AK58" s="138" t="n"/>
      <c r="AL58" s="138" t="n"/>
      <c r="AM58" s="138" t="n"/>
      <c r="AN58" s="138" t="n"/>
      <c r="AO58" s="138" t="n"/>
      <c r="AP58" s="138" t="n"/>
      <c r="AQ58" s="138" t="n"/>
      <c r="AR58" s="138" t="n"/>
      <c r="AS58" s="138" t="n"/>
      <c r="AT58" s="138" t="n"/>
      <c r="AU58" s="138" t="n"/>
      <c r="AV58" s="138" t="n"/>
      <c r="AW58" s="138" t="n"/>
      <c r="AX58" s="138" t="n"/>
      <c r="AY58" s="138" t="n"/>
      <c r="AZ58" s="138" t="n"/>
      <c r="BA58" s="138" t="n"/>
      <c r="BC58" s="132" t="n"/>
      <c r="BD58" s="313" t="inlineStr">
        <is>
          <t>Check this Hour</t>
        </is>
      </c>
      <c r="BE58" s="347" t="n"/>
      <c r="BF58" s="347" t="n"/>
      <c r="BG58" s="347" t="n"/>
      <c r="BH58" s="249" t="n"/>
    </row>
    <row r="59" ht="15.75" customFormat="1" customHeight="1" s="13">
      <c r="C59" s="23" t="inlineStr">
        <is>
          <t>Invalid BP</t>
        </is>
      </c>
      <c r="D59" s="10" t="n"/>
      <c r="E59" s="138" t="n"/>
      <c r="F59" s="138" t="n"/>
      <c r="G59" s="138" t="n"/>
      <c r="H59" s="138" t="n"/>
      <c r="I59" s="138" t="n"/>
      <c r="J59" s="138" t="n"/>
      <c r="K59" s="138" t="n"/>
      <c r="L59" s="138" t="n"/>
      <c r="M59" s="138" t="n"/>
      <c r="N59" s="138" t="n"/>
      <c r="O59" s="138" t="n"/>
      <c r="P59" s="138" t="n"/>
      <c r="Q59" s="138" t="n"/>
      <c r="R59" s="138" t="n"/>
      <c r="S59" s="138" t="n"/>
      <c r="T59" s="138" t="n"/>
      <c r="U59" s="138" t="n"/>
      <c r="V59" s="138" t="n"/>
      <c r="W59" s="138" t="n"/>
      <c r="X59" s="138" t="n"/>
      <c r="Y59" s="138" t="n"/>
      <c r="Z59" s="138" t="n"/>
      <c r="AA59" s="138" t="n"/>
      <c r="AB59" s="138" t="n"/>
      <c r="AC59" s="11" t="n"/>
      <c r="AD59" s="138" t="n"/>
      <c r="AE59" s="138" t="n"/>
      <c r="AF59" s="138" t="n"/>
      <c r="AG59" s="138" t="n"/>
      <c r="AH59" s="138" t="n"/>
      <c r="AI59" s="138" t="n"/>
      <c r="AJ59" s="138" t="n"/>
      <c r="AK59" s="138" t="n"/>
      <c r="AL59" s="138" t="n"/>
      <c r="AM59" s="138" t="n"/>
      <c r="AN59" s="138" t="n"/>
      <c r="AO59" s="138" t="n"/>
      <c r="AP59" s="138" t="n"/>
      <c r="AQ59" s="138" t="n"/>
      <c r="AR59" s="138" t="n"/>
      <c r="AS59" s="138" t="n"/>
      <c r="AT59" s="138" t="n"/>
      <c r="AU59" s="138" t="n"/>
      <c r="AV59" s="138" t="n"/>
      <c r="AW59" s="138" t="n"/>
      <c r="AX59" s="138" t="n"/>
      <c r="AY59" s="138" t="n"/>
      <c r="AZ59" s="138" t="n"/>
      <c r="BA59" s="138" t="n"/>
      <c r="BC59" s="97" t="inlineStr">
        <is>
          <t>RP</t>
        </is>
      </c>
      <c r="BD59" s="313" t="inlineStr">
        <is>
          <t>Reprocessed file</t>
        </is>
      </c>
      <c r="BE59" s="347" t="n"/>
      <c r="BF59" s="347" t="n"/>
      <c r="BG59" s="347" t="n"/>
      <c r="BH59" s="249" t="n"/>
    </row>
    <row r="60" ht="69.95" customHeight="1">
      <c r="A60" s="14" t="n"/>
      <c r="B60" s="14" t="n"/>
      <c r="C60" s="24" t="inlineStr">
        <is>
          <t>Op Log</t>
        </is>
      </c>
      <c r="E60" s="316" t="n"/>
      <c r="F60" s="322" t="n"/>
      <c r="G60" s="322" t="n"/>
      <c r="H60" s="322" t="n"/>
      <c r="I60" s="322" t="n"/>
      <c r="J60" s="322" t="n"/>
      <c r="K60" s="322" t="n"/>
      <c r="L60" s="322" t="n"/>
      <c r="M60" s="322" t="n"/>
      <c r="N60" s="322" t="n"/>
      <c r="O60" s="322" t="n"/>
      <c r="P60" s="322" t="n"/>
      <c r="Q60" s="322" t="n"/>
      <c r="R60" s="322" t="n"/>
      <c r="S60" s="322" t="n"/>
      <c r="T60" s="322" t="n"/>
      <c r="U60" s="322" t="n"/>
      <c r="V60" s="322" t="n"/>
      <c r="W60" s="322" t="n"/>
      <c r="X60" s="322" t="n"/>
      <c r="Y60" s="322" t="n"/>
      <c r="Z60" s="322" t="n"/>
      <c r="AA60" s="322" t="n"/>
      <c r="AB60" s="322" t="n"/>
      <c r="AC60" s="32" t="n"/>
      <c r="AD60" s="316" t="n"/>
      <c r="AE60" s="322" t="n"/>
      <c r="AF60" s="322" t="n"/>
      <c r="AG60" s="322" t="n"/>
      <c r="AH60" s="322" t="n"/>
      <c r="AI60" s="322" t="n"/>
      <c r="AJ60" s="322" t="n"/>
      <c r="AK60" s="322" t="n"/>
      <c r="AL60" s="322" t="n"/>
      <c r="AM60" s="322" t="n"/>
      <c r="AN60" s="322" t="n"/>
      <c r="AO60" s="322" t="n"/>
      <c r="AP60" s="322" t="n"/>
      <c r="AQ60" s="322" t="n"/>
      <c r="AR60" s="322" t="n"/>
      <c r="AS60" s="322" t="n"/>
      <c r="AT60" s="322" t="n"/>
      <c r="AU60" s="322" t="n"/>
      <c r="AV60" s="322" t="n"/>
      <c r="AW60" s="322" t="n"/>
      <c r="AX60" s="322" t="n"/>
      <c r="AY60" s="322" t="n"/>
      <c r="AZ60" s="322" t="n"/>
      <c r="BA60" s="322" t="n"/>
      <c r="BB60" s="11" t="n"/>
      <c r="BC60" s="133" t="inlineStr">
        <is>
          <t>OK</t>
        </is>
      </c>
      <c r="BD60" s="313" t="inlineStr">
        <is>
          <t>Hour reviewed and correct</t>
        </is>
      </c>
      <c r="BE60" s="347" t="n"/>
      <c r="BF60" s="347" t="n"/>
      <c r="BG60" s="347" t="n"/>
      <c r="BH60" s="249" t="n"/>
    </row>
    <row r="61" ht="43.5" customHeight="1">
      <c r="A61" s="67" t="n"/>
      <c r="B61" s="14" t="n"/>
      <c r="C61" s="24" t="inlineStr">
        <is>
          <t>Notes:</t>
        </is>
      </c>
      <c r="E61" s="321" t="n"/>
      <c r="F61" s="322" t="n"/>
      <c r="G61" s="322" t="n"/>
      <c r="H61" s="322" t="n"/>
      <c r="I61" s="322" t="n"/>
      <c r="J61" s="322" t="n"/>
      <c r="K61" s="322" t="n"/>
      <c r="L61" s="322" t="n"/>
      <c r="M61" s="322" t="n"/>
      <c r="N61" s="322" t="n"/>
      <c r="O61" s="322" t="n"/>
      <c r="P61" s="323" t="n"/>
      <c r="Q61" s="324" t="n"/>
      <c r="R61" s="322" t="n"/>
      <c r="S61" s="322" t="n"/>
      <c r="T61" s="322" t="n"/>
      <c r="U61" s="322" t="n"/>
      <c r="V61" s="322" t="n"/>
      <c r="W61" s="322" t="n"/>
      <c r="X61" s="322" t="n"/>
      <c r="Y61" s="322" t="n"/>
      <c r="Z61" s="322" t="n"/>
      <c r="AA61" s="322" t="n"/>
      <c r="AB61" s="322" t="n"/>
      <c r="AC61" s="32" t="n"/>
      <c r="AD61" s="321" t="n"/>
      <c r="AE61" s="322" t="n"/>
      <c r="AF61" s="322" t="n"/>
      <c r="AG61" s="322" t="n"/>
      <c r="AH61" s="322" t="n"/>
      <c r="AI61" s="322" t="n"/>
      <c r="AJ61" s="322" t="n"/>
      <c r="AK61" s="322" t="n"/>
      <c r="AL61" s="322" t="n"/>
      <c r="AM61" s="322" t="n"/>
      <c r="AN61" s="322" t="n"/>
      <c r="AO61" s="323" t="n"/>
      <c r="AP61" s="324" t="n"/>
      <c r="AQ61" s="322" t="n"/>
      <c r="AR61" s="322" t="n"/>
      <c r="AS61" s="322" t="n"/>
      <c r="AT61" s="322" t="n"/>
      <c r="AU61" s="322" t="n"/>
      <c r="AV61" s="322" t="n"/>
      <c r="AW61" s="322" t="n"/>
      <c r="AX61" s="322" t="n"/>
      <c r="AY61" s="322" t="n"/>
      <c r="AZ61" s="322" t="n"/>
      <c r="BA61" s="322" t="n"/>
      <c r="BB61" s="11" t="n"/>
      <c r="BC61" s="134" t="n"/>
      <c r="BD61" s="317" t="inlineStr">
        <is>
          <t>Multipoint</t>
        </is>
      </c>
      <c r="BE61" s="322" t="n"/>
      <c r="BF61" s="322" t="n"/>
      <c r="BG61" s="322" t="n"/>
      <c r="BH61" s="323" t="n"/>
    </row>
    <row r="62" ht="15.75" customFormat="1" customHeight="1" s="13">
      <c r="C62" s="15" t="n"/>
      <c r="D62" s="15" t="n"/>
      <c r="E62" s="16" t="n">
        <v>11</v>
      </c>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5" t="n"/>
      <c r="AD62" s="16" t="n">
        <v>12</v>
      </c>
      <c r="AE62" s="16" t="n"/>
      <c r="AF62" s="16" t="n"/>
      <c r="AG62" s="16" t="n"/>
      <c r="AH62" s="16" t="n"/>
      <c r="AI62" s="16" t="n"/>
      <c r="AJ62" s="16" t="n"/>
      <c r="AK62" s="16" t="n"/>
      <c r="AL62" s="16" t="n"/>
      <c r="AM62" s="16" t="n"/>
      <c r="AN62" s="16" t="n"/>
      <c r="AO62" s="16" t="n"/>
      <c r="AP62" s="16" t="n"/>
      <c r="AQ62" s="16" t="n"/>
      <c r="AR62" s="16" t="n"/>
      <c r="AS62" s="16" t="n"/>
      <c r="AT62" s="16" t="n"/>
      <c r="AU62" s="16" t="n"/>
      <c r="AV62" s="16" t="n"/>
      <c r="AW62" s="16" t="n"/>
      <c r="AX62" s="16" t="n"/>
      <c r="AY62" s="16" t="n"/>
      <c r="AZ62" s="16" t="n"/>
      <c r="BA62" s="16" t="n"/>
      <c r="BC62" s="135" t="n"/>
      <c r="BD62" s="313" t="inlineStr">
        <is>
          <t>Detection Limit</t>
        </is>
      </c>
      <c r="BE62" s="347" t="n"/>
      <c r="BF62" s="347" t="n"/>
      <c r="BG62" s="347" t="n"/>
      <c r="BH62" s="249" t="n"/>
    </row>
    <row r="63" ht="15.75" customFormat="1" customHeight="1" s="13">
      <c r="C63" s="25" t="n"/>
      <c r="D63" s="25" t="n"/>
      <c r="E63" s="39" t="n">
        <v>0</v>
      </c>
      <c r="F63" s="39" t="n">
        <v>1</v>
      </c>
      <c r="G63" s="39" t="n">
        <v>2</v>
      </c>
      <c r="H63" s="39" t="n">
        <v>3</v>
      </c>
      <c r="I63" s="39" t="n">
        <v>4</v>
      </c>
      <c r="J63" s="39" t="n">
        <v>5</v>
      </c>
      <c r="K63" s="39" t="n">
        <v>6</v>
      </c>
      <c r="L63" s="39" t="n">
        <v>7</v>
      </c>
      <c r="M63" s="39" t="n">
        <v>8</v>
      </c>
      <c r="N63" s="39" t="n">
        <v>9</v>
      </c>
      <c r="O63" s="39" t="n">
        <v>10</v>
      </c>
      <c r="P63" s="39" t="n">
        <v>11</v>
      </c>
      <c r="Q63" s="39" t="n">
        <v>12</v>
      </c>
      <c r="R63" s="39" t="n">
        <v>13</v>
      </c>
      <c r="S63" s="39" t="n">
        <v>14</v>
      </c>
      <c r="T63" s="39" t="n">
        <v>15</v>
      </c>
      <c r="U63" s="39" t="n">
        <v>16</v>
      </c>
      <c r="V63" s="39" t="n">
        <v>17</v>
      </c>
      <c r="W63" s="39" t="n">
        <v>18</v>
      </c>
      <c r="X63" s="39" t="n">
        <v>19</v>
      </c>
      <c r="Y63" s="39" t="n">
        <v>20</v>
      </c>
      <c r="Z63" s="39" t="n">
        <v>21</v>
      </c>
      <c r="AA63" s="39" t="n">
        <v>22</v>
      </c>
      <c r="AB63" s="39" t="n">
        <v>23</v>
      </c>
      <c r="AC63" s="25" t="n"/>
      <c r="AD63" s="39" t="n">
        <v>0</v>
      </c>
      <c r="AE63" s="39" t="n">
        <v>1</v>
      </c>
      <c r="AF63" s="39" t="n">
        <v>2</v>
      </c>
      <c r="AG63" s="39" t="n">
        <v>3</v>
      </c>
      <c r="AH63" s="39" t="n">
        <v>4</v>
      </c>
      <c r="AI63" s="39" t="n">
        <v>5</v>
      </c>
      <c r="AJ63" s="39" t="n">
        <v>6</v>
      </c>
      <c r="AK63" s="39" t="n">
        <v>7</v>
      </c>
      <c r="AL63" s="39" t="n">
        <v>8</v>
      </c>
      <c r="AM63" s="39" t="n">
        <v>9</v>
      </c>
      <c r="AN63" s="39" t="n">
        <v>10</v>
      </c>
      <c r="AO63" s="39" t="n">
        <v>11</v>
      </c>
      <c r="AP63" s="39" t="n">
        <v>12</v>
      </c>
      <c r="AQ63" s="39" t="n">
        <v>13</v>
      </c>
      <c r="AR63" s="39" t="n">
        <v>14</v>
      </c>
      <c r="AS63" s="39" t="n">
        <v>15</v>
      </c>
      <c r="AT63" s="39" t="n">
        <v>16</v>
      </c>
      <c r="AU63" s="39" t="n">
        <v>17</v>
      </c>
      <c r="AV63" s="39" t="n">
        <v>18</v>
      </c>
      <c r="AW63" s="39" t="n">
        <v>19</v>
      </c>
      <c r="AX63" s="39" t="n">
        <v>20</v>
      </c>
      <c r="AY63" s="39" t="n">
        <v>21</v>
      </c>
      <c r="AZ63" s="39" t="n">
        <v>22</v>
      </c>
      <c r="BA63" s="39" t="n">
        <v>23</v>
      </c>
      <c r="BC63" s="133" t="inlineStr">
        <is>
          <t>SB</t>
        </is>
      </c>
      <c r="BD63" s="313" t="inlineStr">
        <is>
          <t>See Below</t>
        </is>
      </c>
      <c r="BE63" s="347" t="n"/>
      <c r="BF63" s="347" t="n"/>
      <c r="BG63" s="347" t="n"/>
      <c r="BH63" s="249" t="n"/>
    </row>
    <row r="64" customFormat="1" s="13">
      <c r="C64" s="25" t="n"/>
      <c r="D64" s="25" t="n"/>
      <c r="E64" s="40" t="inlineStr">
        <is>
          <t>A</t>
        </is>
      </c>
      <c r="F64" s="40" t="inlineStr">
        <is>
          <t>B</t>
        </is>
      </c>
      <c r="G64" s="40" t="inlineStr">
        <is>
          <t>C</t>
        </is>
      </c>
      <c r="H64" s="40" t="inlineStr">
        <is>
          <t>D</t>
        </is>
      </c>
      <c r="I64" s="40" t="inlineStr">
        <is>
          <t>E</t>
        </is>
      </c>
      <c r="J64" s="40" t="inlineStr">
        <is>
          <t>F</t>
        </is>
      </c>
      <c r="K64" s="40" t="inlineStr">
        <is>
          <t>G</t>
        </is>
      </c>
      <c r="L64" s="40" t="inlineStr">
        <is>
          <t>H</t>
        </is>
      </c>
      <c r="M64" s="40" t="inlineStr">
        <is>
          <t>I</t>
        </is>
      </c>
      <c r="N64" s="40" t="inlineStr">
        <is>
          <t>J</t>
        </is>
      </c>
      <c r="O64" s="40" t="inlineStr">
        <is>
          <t>K</t>
        </is>
      </c>
      <c r="P64" s="40" t="inlineStr">
        <is>
          <t>L</t>
        </is>
      </c>
      <c r="Q64" s="40" t="inlineStr">
        <is>
          <t>M</t>
        </is>
      </c>
      <c r="R64" s="40" t="inlineStr">
        <is>
          <t>N</t>
        </is>
      </c>
      <c r="S64" s="40" t="inlineStr">
        <is>
          <t>O</t>
        </is>
      </c>
      <c r="T64" s="40" t="inlineStr">
        <is>
          <t>P</t>
        </is>
      </c>
      <c r="U64" s="40" t="inlineStr">
        <is>
          <t>Q</t>
        </is>
      </c>
      <c r="V64" s="40" t="inlineStr">
        <is>
          <t>R</t>
        </is>
      </c>
      <c r="W64" s="40" t="inlineStr">
        <is>
          <t>S</t>
        </is>
      </c>
      <c r="X64" s="40" t="inlineStr">
        <is>
          <t>T</t>
        </is>
      </c>
      <c r="Y64" s="40" t="inlineStr">
        <is>
          <t>U</t>
        </is>
      </c>
      <c r="Z64" s="40" t="inlineStr">
        <is>
          <t>V</t>
        </is>
      </c>
      <c r="AA64" s="40" t="inlineStr">
        <is>
          <t>W</t>
        </is>
      </c>
      <c r="AB64" s="40" t="inlineStr">
        <is>
          <t>X</t>
        </is>
      </c>
      <c r="AC64" s="25" t="n"/>
      <c r="AD64" s="40" t="inlineStr">
        <is>
          <t>A</t>
        </is>
      </c>
      <c r="AE64" s="40" t="inlineStr">
        <is>
          <t>B</t>
        </is>
      </c>
      <c r="AF64" s="40" t="inlineStr">
        <is>
          <t>C</t>
        </is>
      </c>
      <c r="AG64" s="40" t="inlineStr">
        <is>
          <t>D</t>
        </is>
      </c>
      <c r="AH64" s="40" t="inlineStr">
        <is>
          <t>E</t>
        </is>
      </c>
      <c r="AI64" s="40" t="inlineStr">
        <is>
          <t>F</t>
        </is>
      </c>
      <c r="AJ64" s="40" t="inlineStr">
        <is>
          <t>G</t>
        </is>
      </c>
      <c r="AK64" s="40" t="inlineStr">
        <is>
          <t>H</t>
        </is>
      </c>
      <c r="AL64" s="40" t="inlineStr">
        <is>
          <t>I</t>
        </is>
      </c>
      <c r="AM64" s="40" t="inlineStr">
        <is>
          <t>J</t>
        </is>
      </c>
      <c r="AN64" s="40" t="inlineStr">
        <is>
          <t>K</t>
        </is>
      </c>
      <c r="AO64" s="40" t="inlineStr">
        <is>
          <t>L</t>
        </is>
      </c>
      <c r="AP64" s="40" t="inlineStr">
        <is>
          <t>M</t>
        </is>
      </c>
      <c r="AQ64" s="40" t="inlineStr">
        <is>
          <t>N</t>
        </is>
      </c>
      <c r="AR64" s="40" t="inlineStr">
        <is>
          <t>O</t>
        </is>
      </c>
      <c r="AS64" s="40" t="inlineStr">
        <is>
          <t>P</t>
        </is>
      </c>
      <c r="AT64" s="40" t="inlineStr">
        <is>
          <t>Q</t>
        </is>
      </c>
      <c r="AU64" s="40" t="inlineStr">
        <is>
          <t>R</t>
        </is>
      </c>
      <c r="AV64" s="40" t="inlineStr">
        <is>
          <t>S</t>
        </is>
      </c>
      <c r="AW64" s="40" t="inlineStr">
        <is>
          <t>T</t>
        </is>
      </c>
      <c r="AX64" s="40" t="inlineStr">
        <is>
          <t>U</t>
        </is>
      </c>
      <c r="AY64" s="40" t="inlineStr">
        <is>
          <t>V</t>
        </is>
      </c>
      <c r="AZ64" s="40" t="inlineStr">
        <is>
          <t>W</t>
        </is>
      </c>
      <c r="BA64" s="40" t="inlineStr">
        <is>
          <t>X</t>
        </is>
      </c>
      <c r="BC64" s="136" t="n"/>
    </row>
    <row r="65" ht="15.75" customFormat="1" customHeight="1" s="13">
      <c r="C65" s="23" t="inlineStr">
        <is>
          <t>Checked PLOT</t>
        </is>
      </c>
      <c r="D65" s="10" t="n"/>
      <c r="E65" s="138" t="n"/>
      <c r="F65" s="138" t="n"/>
      <c r="G65" s="138" t="n"/>
      <c r="H65" s="138" t="n"/>
      <c r="I65" s="138" t="n"/>
      <c r="J65" s="138" t="n"/>
      <c r="K65" s="138" t="n"/>
      <c r="L65" s="138" t="n"/>
      <c r="M65" s="138" t="n"/>
      <c r="N65" s="138" t="n"/>
      <c r="O65" s="138" t="n"/>
      <c r="P65" s="138" t="n"/>
      <c r="Q65" s="138" t="n"/>
      <c r="R65" s="138" t="n"/>
      <c r="S65" s="138" t="n"/>
      <c r="T65" s="138" t="n"/>
      <c r="U65" s="138" t="n"/>
      <c r="V65" s="138" t="n"/>
      <c r="W65" s="138" t="n"/>
      <c r="X65" s="138" t="n"/>
      <c r="Y65" s="138" t="n"/>
      <c r="Z65" s="138" t="n"/>
      <c r="AA65" s="138" t="n"/>
      <c r="AB65" s="138" t="n"/>
      <c r="AC65" s="41" t="n"/>
      <c r="AD65" s="138" t="n"/>
      <c r="AE65" s="138" t="n"/>
      <c r="AF65" s="138" t="n"/>
      <c r="AG65" s="138" t="n"/>
      <c r="AH65" s="138" t="n"/>
      <c r="AI65" s="138" t="n"/>
      <c r="AJ65" s="138" t="n"/>
      <c r="AK65" s="138" t="n"/>
      <c r="AL65" s="138" t="n"/>
      <c r="AM65" s="138" t="n"/>
      <c r="AN65" s="138" t="n"/>
      <c r="AO65" s="138" t="n"/>
      <c r="AP65" s="138" t="n"/>
      <c r="AQ65" s="138" t="n"/>
      <c r="AR65" s="138" t="n"/>
      <c r="AS65" s="138" t="n"/>
      <c r="AT65" s="138" t="n"/>
      <c r="AU65" s="138" t="n"/>
      <c r="AV65" s="138" t="n"/>
      <c r="AW65" s="138" t="n"/>
      <c r="AX65" s="138" t="n"/>
      <c r="AY65" s="138" t="n"/>
      <c r="AZ65" s="138" t="n"/>
      <c r="BA65" s="138" t="n"/>
      <c r="BC65" s="136" t="n"/>
    </row>
    <row r="66" customFormat="1" s="13">
      <c r="C66" s="23" t="inlineStr">
        <is>
          <t>RPO PLOT</t>
        </is>
      </c>
      <c r="D66" s="10" t="n"/>
      <c r="E66" s="138" t="n"/>
      <c r="F66" s="138" t="n"/>
      <c r="G66" s="138" t="n"/>
      <c r="H66" s="138" t="n"/>
      <c r="I66" s="138" t="n"/>
      <c r="J66" s="138" t="n"/>
      <c r="K66" s="138" t="n"/>
      <c r="L66" s="138" t="n"/>
      <c r="M66" s="138" t="n"/>
      <c r="N66" s="138" t="n"/>
      <c r="O66" s="138" t="n"/>
      <c r="P66" s="138" t="n"/>
      <c r="Q66" s="138" t="n"/>
      <c r="R66" s="138" t="n"/>
      <c r="S66" s="138" t="n"/>
      <c r="T66" s="138" t="n"/>
      <c r="U66" s="138" t="n"/>
      <c r="V66" s="138" t="n"/>
      <c r="W66" s="138" t="n"/>
      <c r="X66" s="138" t="n"/>
      <c r="Y66" s="138" t="n"/>
      <c r="Z66" s="138" t="n"/>
      <c r="AA66" s="138" t="n"/>
      <c r="AB66" s="138" t="n"/>
      <c r="AC66" s="41" t="n"/>
      <c r="AD66" s="138" t="n"/>
      <c r="AE66" s="138" t="n"/>
      <c r="AF66" s="138" t="n"/>
      <c r="AG66" s="138" t="n"/>
      <c r="AH66" s="138" t="n"/>
      <c r="AI66" s="138" t="n"/>
      <c r="AJ66" s="138" t="n"/>
      <c r="AK66" s="138" t="n"/>
      <c r="AL66" s="138" t="n"/>
      <c r="AM66" s="138" t="n"/>
      <c r="AN66" s="138" t="n"/>
      <c r="AO66" s="138" t="n"/>
      <c r="AP66" s="138" t="n"/>
      <c r="AQ66" s="138" t="n"/>
      <c r="AR66" s="138" t="n"/>
      <c r="AS66" s="138" t="n"/>
      <c r="AT66" s="138" t="n"/>
      <c r="AU66" s="138" t="n"/>
      <c r="AV66" s="138" t="n"/>
      <c r="AW66" s="138" t="n"/>
      <c r="AX66" s="138" t="n"/>
      <c r="AY66" s="138" t="n"/>
      <c r="AZ66" s="138" t="n"/>
      <c r="BA66" s="138" t="n"/>
      <c r="BC66" s="136" t="n"/>
    </row>
    <row r="67" ht="15.75" customFormat="1" customHeight="1" s="13">
      <c r="C67" s="23" t="inlineStr">
        <is>
          <t>Checked BP</t>
        </is>
      </c>
      <c r="D67" s="10" t="n"/>
      <c r="E67" s="138" t="n"/>
      <c r="F67" s="138" t="n"/>
      <c r="G67" s="138" t="n"/>
      <c r="H67" s="138" t="n"/>
      <c r="I67" s="138" t="n"/>
      <c r="J67" s="138" t="n"/>
      <c r="K67" s="138" t="n"/>
      <c r="L67" s="138" t="n"/>
      <c r="M67" s="138" t="n"/>
      <c r="N67" s="138" t="n"/>
      <c r="O67" s="138" t="n"/>
      <c r="P67" s="138" t="n"/>
      <c r="Q67" s="138" t="n"/>
      <c r="R67" s="138" t="n"/>
      <c r="S67" s="138" t="n"/>
      <c r="T67" s="138" t="n"/>
      <c r="U67" s="138" t="n"/>
      <c r="V67" s="138" t="n"/>
      <c r="W67" s="138" t="n"/>
      <c r="X67" s="138" t="n"/>
      <c r="Y67" s="138" t="n"/>
      <c r="Z67" s="138" t="n"/>
      <c r="AA67" s="138" t="n"/>
      <c r="AB67" s="138" t="n"/>
      <c r="AC67" s="41" t="n"/>
      <c r="AD67" s="138" t="n"/>
      <c r="AE67" s="138" t="n"/>
      <c r="AF67" s="138" t="n"/>
      <c r="AG67" s="138" t="n"/>
      <c r="AH67" s="138" t="n"/>
      <c r="AI67" s="138" t="n"/>
      <c r="AJ67" s="138" t="n"/>
      <c r="AK67" s="138" t="n"/>
      <c r="AL67" s="138" t="n"/>
      <c r="AM67" s="138" t="n"/>
      <c r="AN67" s="138" t="n"/>
      <c r="AO67" s="138" t="n"/>
      <c r="AP67" s="138" t="n"/>
      <c r="AQ67" s="138" t="n"/>
      <c r="AR67" s="138" t="n"/>
      <c r="AS67" s="138" t="n"/>
      <c r="AT67" s="138" t="n"/>
      <c r="AU67" s="138" t="n"/>
      <c r="AV67" s="138" t="n"/>
      <c r="AW67" s="138" t="n"/>
      <c r="AX67" s="138" t="n"/>
      <c r="AY67" s="138" t="n"/>
      <c r="AZ67" s="138" t="n"/>
      <c r="BA67" s="138" t="n"/>
      <c r="BC67" s="136" t="n"/>
    </row>
    <row r="68" ht="15" customFormat="1" customHeight="1" s="13">
      <c r="C68" s="23" t="inlineStr">
        <is>
          <t>RPO BP</t>
        </is>
      </c>
      <c r="D68" s="10" t="n"/>
      <c r="E68" s="138" t="n"/>
      <c r="F68" s="138" t="n"/>
      <c r="G68" s="138" t="n"/>
      <c r="H68" s="138" t="n"/>
      <c r="I68" s="138" t="n"/>
      <c r="J68" s="138" t="n"/>
      <c r="K68" s="138" t="n"/>
      <c r="L68" s="138" t="n"/>
      <c r="M68" s="138" t="n"/>
      <c r="N68" s="138" t="n"/>
      <c r="O68" s="138" t="n"/>
      <c r="P68" s="138" t="n"/>
      <c r="Q68" s="138" t="n"/>
      <c r="R68" s="138" t="n"/>
      <c r="S68" s="138" t="n"/>
      <c r="T68" s="138" t="n"/>
      <c r="U68" s="138" t="n"/>
      <c r="V68" s="138" t="n"/>
      <c r="W68" s="138" t="n"/>
      <c r="X68" s="138" t="n"/>
      <c r="Y68" s="138" t="n"/>
      <c r="Z68" s="138" t="n"/>
      <c r="AA68" s="138" t="n"/>
      <c r="AB68" s="138" t="n"/>
      <c r="AC68" s="41" t="n"/>
      <c r="AD68" s="138" t="n"/>
      <c r="AE68" s="138" t="n"/>
      <c r="AF68" s="138" t="n"/>
      <c r="AG68" s="138" t="n"/>
      <c r="AH68" s="138" t="n"/>
      <c r="AI68" s="138" t="n"/>
      <c r="AJ68" s="138" t="n"/>
      <c r="AK68" s="138" t="n"/>
      <c r="AL68" s="138" t="n"/>
      <c r="AM68" s="138" t="n"/>
      <c r="AN68" s="138" t="n"/>
      <c r="AO68" s="138" t="n"/>
      <c r="AP68" s="138" t="n"/>
      <c r="AQ68" s="138" t="n"/>
      <c r="AR68" s="138" t="n"/>
      <c r="AS68" s="138" t="n"/>
      <c r="AT68" s="138" t="n"/>
      <c r="AU68" s="138" t="n"/>
      <c r="AV68" s="138" t="n"/>
      <c r="AW68" s="138" t="n"/>
      <c r="AX68" s="138" t="n"/>
      <c r="AY68" s="138" t="n"/>
      <c r="AZ68" s="138" t="n"/>
      <c r="BA68" s="138" t="n"/>
      <c r="BC68" s="136" t="n"/>
    </row>
    <row r="69" ht="15.75" customFormat="1" customHeight="1" s="13">
      <c r="C69" s="23" t="inlineStr">
        <is>
          <t>Invalid PLOT</t>
        </is>
      </c>
      <c r="D69" s="10" t="n"/>
      <c r="E69" s="138" t="n"/>
      <c r="F69" s="138" t="n"/>
      <c r="G69" s="138" t="n"/>
      <c r="H69" s="138" t="n"/>
      <c r="I69" s="138" t="n"/>
      <c r="J69" s="138" t="n"/>
      <c r="K69" s="138" t="n"/>
      <c r="L69" s="138" t="n"/>
      <c r="M69" s="138" t="n"/>
      <c r="N69" s="138" t="n"/>
      <c r="O69" s="138" t="n"/>
      <c r="P69" s="138" t="n"/>
      <c r="Q69" s="138" t="n"/>
      <c r="R69" s="138" t="n"/>
      <c r="S69" s="138" t="n"/>
      <c r="T69" s="138" t="n"/>
      <c r="U69" s="138" t="n"/>
      <c r="V69" s="138" t="n"/>
      <c r="W69" s="138" t="n"/>
      <c r="X69" s="138" t="n"/>
      <c r="Y69" s="138" t="n"/>
      <c r="Z69" s="138" t="n"/>
      <c r="AA69" s="138" t="n"/>
      <c r="AB69" s="138" t="n"/>
      <c r="AC69" s="41" t="n"/>
      <c r="AD69" s="138" t="n"/>
      <c r="AE69" s="138" t="n"/>
      <c r="AF69" s="138" t="n"/>
      <c r="AG69" s="138" t="n"/>
      <c r="AH69" s="138" t="n"/>
      <c r="AI69" s="138" t="n"/>
      <c r="AJ69" s="138" t="n"/>
      <c r="AK69" s="138" t="n"/>
      <c r="AL69" s="138" t="n"/>
      <c r="AM69" s="138" t="n"/>
      <c r="AN69" s="138" t="n"/>
      <c r="AO69" s="138" t="n"/>
      <c r="AP69" s="138" t="n"/>
      <c r="AQ69" s="138" t="n"/>
      <c r="AR69" s="138" t="n"/>
      <c r="AS69" s="138" t="n"/>
      <c r="AT69" s="138" t="n"/>
      <c r="AU69" s="138" t="n"/>
      <c r="AV69" s="138" t="n"/>
      <c r="AW69" s="138" t="n"/>
      <c r="AX69" s="138" t="n"/>
      <c r="AY69" s="138" t="n"/>
      <c r="AZ69" s="138" t="n"/>
      <c r="BA69" s="138" t="n"/>
      <c r="BC69" s="136" t="n"/>
    </row>
    <row r="70" ht="15.75" customFormat="1" customHeight="1" s="13">
      <c r="C70" s="23" t="inlineStr">
        <is>
          <t>Invalid BP</t>
        </is>
      </c>
      <c r="D70" s="10" t="n"/>
      <c r="E70" s="138" t="n"/>
      <c r="F70" s="138" t="n"/>
      <c r="G70" s="138" t="n"/>
      <c r="H70" s="138" t="n"/>
      <c r="I70" s="138" t="n"/>
      <c r="J70" s="138" t="n"/>
      <c r="K70" s="138" t="n"/>
      <c r="L70" s="138" t="n"/>
      <c r="M70" s="138" t="n"/>
      <c r="N70" s="138" t="n"/>
      <c r="O70" s="138" t="n"/>
      <c r="P70" s="138" t="n"/>
      <c r="Q70" s="138" t="n"/>
      <c r="R70" s="138" t="n"/>
      <c r="S70" s="138" t="n"/>
      <c r="T70" s="138" t="n"/>
      <c r="U70" s="138" t="n"/>
      <c r="V70" s="138" t="n"/>
      <c r="W70" s="138" t="n"/>
      <c r="X70" s="138" t="n"/>
      <c r="Y70" s="138" t="n"/>
      <c r="Z70" s="138" t="n"/>
      <c r="AA70" s="138" t="n"/>
      <c r="AB70" s="138" t="n"/>
      <c r="AC70" s="41" t="n"/>
      <c r="AD70" s="138" t="n"/>
      <c r="AE70" s="138" t="n"/>
      <c r="AF70" s="138" t="n"/>
      <c r="AG70" s="138" t="n"/>
      <c r="AH70" s="138" t="n"/>
      <c r="AI70" s="138" t="n"/>
      <c r="AJ70" s="138" t="n"/>
      <c r="AK70" s="138" t="n"/>
      <c r="AL70" s="138" t="n"/>
      <c r="AM70" s="138" t="n"/>
      <c r="AN70" s="138" t="n"/>
      <c r="AO70" s="138" t="n"/>
      <c r="AP70" s="138" t="n"/>
      <c r="AQ70" s="138" t="n"/>
      <c r="AR70" s="138" t="n"/>
      <c r="AS70" s="138" t="n"/>
      <c r="AT70" s="138" t="n"/>
      <c r="AU70" s="138" t="n"/>
      <c r="AV70" s="138" t="n"/>
      <c r="AW70" s="138" t="n"/>
      <c r="AX70" s="138" t="n"/>
      <c r="AY70" s="138" t="n"/>
      <c r="AZ70" s="138" t="n"/>
      <c r="BA70" s="138" t="n"/>
      <c r="BC70" s="136" t="n"/>
    </row>
    <row r="71" ht="69.95" customHeight="1">
      <c r="A71" s="14" t="n"/>
      <c r="B71" s="14" t="n"/>
      <c r="C71" s="24" t="inlineStr">
        <is>
          <t>Op Log</t>
        </is>
      </c>
      <c r="E71" s="316" t="n"/>
      <c r="F71" s="322" t="n"/>
      <c r="G71" s="322" t="n"/>
      <c r="H71" s="322" t="n"/>
      <c r="I71" s="322" t="n"/>
      <c r="J71" s="322" t="n"/>
      <c r="K71" s="322" t="n"/>
      <c r="L71" s="322" t="n"/>
      <c r="M71" s="322" t="n"/>
      <c r="N71" s="322" t="n"/>
      <c r="O71" s="322" t="n"/>
      <c r="P71" s="322" t="n"/>
      <c r="Q71" s="322" t="n"/>
      <c r="R71" s="322" t="n"/>
      <c r="S71" s="322" t="n"/>
      <c r="T71" s="322" t="n"/>
      <c r="U71" s="322" t="n"/>
      <c r="V71" s="322" t="n"/>
      <c r="W71" s="322" t="n"/>
      <c r="X71" s="322" t="n"/>
      <c r="Y71" s="322" t="n"/>
      <c r="Z71" s="322" t="n"/>
      <c r="AA71" s="322" t="n"/>
      <c r="AB71" s="322" t="n"/>
      <c r="AC71" s="32" t="n"/>
      <c r="AD71" s="316" t="n"/>
      <c r="AE71" s="322" t="n"/>
      <c r="AF71" s="322" t="n"/>
      <c r="AG71" s="322" t="n"/>
      <c r="AH71" s="322" t="n"/>
      <c r="AI71" s="322" t="n"/>
      <c r="AJ71" s="322" t="n"/>
      <c r="AK71" s="322" t="n"/>
      <c r="AL71" s="322" t="n"/>
      <c r="AM71" s="322" t="n"/>
      <c r="AN71" s="322" t="n"/>
      <c r="AO71" s="322" t="n"/>
      <c r="AP71" s="322" t="n"/>
      <c r="AQ71" s="322" t="n"/>
      <c r="AR71" s="322" t="n"/>
      <c r="AS71" s="322" t="n"/>
      <c r="AT71" s="322" t="n"/>
      <c r="AU71" s="322" t="n"/>
      <c r="AV71" s="322" t="n"/>
      <c r="AW71" s="322" t="n"/>
      <c r="AX71" s="322" t="n"/>
      <c r="AY71" s="322" t="n"/>
      <c r="AZ71" s="322" t="n"/>
      <c r="BA71" s="322" t="n"/>
      <c r="BB71" s="11" t="n"/>
      <c r="BC71" s="129" t="n"/>
      <c r="BD71" s="14" t="n"/>
      <c r="BE71" s="14" t="n"/>
      <c r="BF71" s="14" t="n"/>
      <c r="BG71" s="14" t="n"/>
      <c r="BH71" s="14" t="n"/>
    </row>
    <row r="72" ht="43.5" customHeight="1">
      <c r="A72" s="14" t="n"/>
      <c r="B72" s="14" t="n"/>
      <c r="C72" s="24" t="inlineStr">
        <is>
          <t>Notes:</t>
        </is>
      </c>
      <c r="E72" s="321" t="n"/>
      <c r="F72" s="322" t="n"/>
      <c r="G72" s="322" t="n"/>
      <c r="H72" s="322" t="n"/>
      <c r="I72" s="322" t="n"/>
      <c r="J72" s="322" t="n"/>
      <c r="K72" s="322" t="n"/>
      <c r="L72" s="322" t="n"/>
      <c r="M72" s="322" t="n"/>
      <c r="N72" s="322" t="n"/>
      <c r="O72" s="322" t="n"/>
      <c r="P72" s="323" t="n"/>
      <c r="Q72" s="324" t="n"/>
      <c r="R72" s="322" t="n"/>
      <c r="S72" s="322" t="n"/>
      <c r="T72" s="322" t="n"/>
      <c r="U72" s="322" t="n"/>
      <c r="V72" s="322" t="n"/>
      <c r="W72" s="322" t="n"/>
      <c r="X72" s="322" t="n"/>
      <c r="Y72" s="322" t="n"/>
      <c r="Z72" s="322" t="n"/>
      <c r="AA72" s="322" t="n"/>
      <c r="AB72" s="322" t="n"/>
      <c r="AC72" s="32" t="n"/>
      <c r="AD72" s="321" t="n"/>
      <c r="AE72" s="322" t="n"/>
      <c r="AF72" s="322" t="n"/>
      <c r="AG72" s="322" t="n"/>
      <c r="AH72" s="322" t="n"/>
      <c r="AI72" s="322" t="n"/>
      <c r="AJ72" s="322" t="n"/>
      <c r="AK72" s="322" t="n"/>
      <c r="AL72" s="322" t="n"/>
      <c r="AM72" s="322" t="n"/>
      <c r="AN72" s="322" t="n"/>
      <c r="AO72" s="323" t="n"/>
      <c r="AP72" s="324" t="n"/>
      <c r="AQ72" s="322" t="n"/>
      <c r="AR72" s="322" t="n"/>
      <c r="AS72" s="322" t="n"/>
      <c r="AT72" s="322" t="n"/>
      <c r="AU72" s="322" t="n"/>
      <c r="AV72" s="322" t="n"/>
      <c r="AW72" s="322" t="n"/>
      <c r="AX72" s="322" t="n"/>
      <c r="AY72" s="322" t="n"/>
      <c r="AZ72" s="322" t="n"/>
      <c r="BA72" s="322" t="n"/>
      <c r="BB72" s="11" t="n"/>
      <c r="BC72" s="129" t="n"/>
      <c r="BD72" s="14" t="n"/>
      <c r="BE72" s="14" t="n"/>
      <c r="BF72" s="14" t="n"/>
      <c r="BG72" s="14" t="n"/>
      <c r="BH72" s="14" t="n"/>
    </row>
    <row r="73" ht="18.75" customFormat="1" customHeight="1" s="15">
      <c r="A73" s="29" t="n"/>
      <c r="B73" s="29" t="n"/>
      <c r="E73" s="16" t="n">
        <v>13</v>
      </c>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D73" s="16" t="n">
        <v>14</v>
      </c>
      <c r="AE73" s="16" t="n"/>
      <c r="AF73" s="16" t="n"/>
      <c r="AG73" s="16" t="n"/>
      <c r="AH73" s="16" t="n"/>
      <c r="AI73" s="16" t="n"/>
      <c r="AJ73" s="16" t="n"/>
      <c r="AK73" s="16" t="n"/>
      <c r="AL73" s="16" t="n"/>
      <c r="AM73" s="16" t="n"/>
      <c r="AN73" s="16" t="n"/>
      <c r="AO73" s="16" t="n"/>
      <c r="AP73" s="16" t="n"/>
      <c r="AQ73" s="16" t="n"/>
      <c r="AR73" s="16" t="n"/>
      <c r="AS73" s="16" t="n"/>
      <c r="AT73" s="16" t="n"/>
      <c r="AU73" s="16" t="n"/>
      <c r="AV73" s="16" t="n"/>
      <c r="AW73" s="16" t="n"/>
      <c r="AX73" s="16" t="n"/>
      <c r="AY73" s="16" t="n"/>
      <c r="AZ73" s="16" t="n"/>
      <c r="BA73" s="16" t="n"/>
      <c r="BB73" s="18" t="n"/>
      <c r="BC73" s="137" t="n"/>
      <c r="BD73" s="29" t="n"/>
      <c r="BE73" s="29" t="n"/>
      <c r="BF73" s="29" t="n"/>
      <c r="BG73" s="29" t="n"/>
      <c r="BH73" s="29" t="n"/>
    </row>
    <row r="74" customFormat="1" s="27">
      <c r="A74" s="14" t="n"/>
      <c r="B74" s="14" t="n"/>
      <c r="C74" s="25" t="n"/>
      <c r="D74" s="25" t="n"/>
      <c r="E74" s="39" t="n">
        <v>0</v>
      </c>
      <c r="F74" s="39" t="n">
        <v>1</v>
      </c>
      <c r="G74" s="39" t="n">
        <v>2</v>
      </c>
      <c r="H74" s="39" t="n">
        <v>3</v>
      </c>
      <c r="I74" s="39" t="n">
        <v>4</v>
      </c>
      <c r="J74" s="39" t="n">
        <v>5</v>
      </c>
      <c r="K74" s="39" t="n">
        <v>6</v>
      </c>
      <c r="L74" s="39" t="n">
        <v>7</v>
      </c>
      <c r="M74" s="39" t="n">
        <v>8</v>
      </c>
      <c r="N74" s="39" t="n">
        <v>9</v>
      </c>
      <c r="O74" s="39" t="n">
        <v>10</v>
      </c>
      <c r="P74" s="39" t="n">
        <v>11</v>
      </c>
      <c r="Q74" s="39" t="n">
        <v>12</v>
      </c>
      <c r="R74" s="39" t="n">
        <v>13</v>
      </c>
      <c r="S74" s="39" t="n">
        <v>14</v>
      </c>
      <c r="T74" s="39" t="n">
        <v>15</v>
      </c>
      <c r="U74" s="39" t="n">
        <v>16</v>
      </c>
      <c r="V74" s="39" t="n">
        <v>17</v>
      </c>
      <c r="W74" s="39" t="n">
        <v>18</v>
      </c>
      <c r="X74" s="39" t="n">
        <v>19</v>
      </c>
      <c r="Y74" s="39" t="n">
        <v>20</v>
      </c>
      <c r="Z74" s="39" t="n">
        <v>21</v>
      </c>
      <c r="AA74" s="39" t="n">
        <v>22</v>
      </c>
      <c r="AB74" s="39" t="n">
        <v>23</v>
      </c>
      <c r="AC74" s="25" t="n"/>
      <c r="AD74" s="39" t="n">
        <v>0</v>
      </c>
      <c r="AE74" s="39" t="n">
        <v>1</v>
      </c>
      <c r="AF74" s="39" t="n">
        <v>2</v>
      </c>
      <c r="AG74" s="39" t="n">
        <v>3</v>
      </c>
      <c r="AH74" s="39" t="n">
        <v>4</v>
      </c>
      <c r="AI74" s="39" t="n">
        <v>5</v>
      </c>
      <c r="AJ74" s="39" t="n">
        <v>6</v>
      </c>
      <c r="AK74" s="39" t="n">
        <v>7</v>
      </c>
      <c r="AL74" s="39" t="n">
        <v>8</v>
      </c>
      <c r="AM74" s="39" t="n">
        <v>9</v>
      </c>
      <c r="AN74" s="39" t="n">
        <v>10</v>
      </c>
      <c r="AO74" s="39" t="n">
        <v>11</v>
      </c>
      <c r="AP74" s="39" t="n">
        <v>12</v>
      </c>
      <c r="AQ74" s="39" t="n">
        <v>13</v>
      </c>
      <c r="AR74" s="39" t="n">
        <v>14</v>
      </c>
      <c r="AS74" s="39" t="n">
        <v>15</v>
      </c>
      <c r="AT74" s="39" t="n">
        <v>16</v>
      </c>
      <c r="AU74" s="39" t="n">
        <v>17</v>
      </c>
      <c r="AV74" s="39" t="n">
        <v>18</v>
      </c>
      <c r="AW74" s="39" t="n">
        <v>19</v>
      </c>
      <c r="AX74" s="39" t="n">
        <v>20</v>
      </c>
      <c r="AY74" s="39" t="n">
        <v>21</v>
      </c>
      <c r="AZ74" s="39" t="n">
        <v>22</v>
      </c>
      <c r="BA74" s="39" t="n">
        <v>23</v>
      </c>
      <c r="BB74" s="26" t="n"/>
      <c r="BC74" s="129" t="n"/>
      <c r="BD74" s="14" t="n"/>
      <c r="BE74" s="14" t="n"/>
      <c r="BF74" s="14" t="n"/>
      <c r="BG74" s="14" t="n"/>
      <c r="BH74" s="14" t="n"/>
    </row>
    <row r="75" ht="15" customFormat="1" customHeight="1" s="27">
      <c r="A75" s="14" t="n"/>
      <c r="B75" s="14" t="n"/>
      <c r="C75" s="25" t="n"/>
      <c r="D75" s="25" t="n"/>
      <c r="E75" s="40" t="inlineStr">
        <is>
          <t>A</t>
        </is>
      </c>
      <c r="F75" s="40" t="inlineStr">
        <is>
          <t>B</t>
        </is>
      </c>
      <c r="G75" s="40" t="inlineStr">
        <is>
          <t>C</t>
        </is>
      </c>
      <c r="H75" s="40" t="inlineStr">
        <is>
          <t>D</t>
        </is>
      </c>
      <c r="I75" s="40" t="inlineStr">
        <is>
          <t>E</t>
        </is>
      </c>
      <c r="J75" s="40" t="inlineStr">
        <is>
          <t>F</t>
        </is>
      </c>
      <c r="K75" s="40" t="inlineStr">
        <is>
          <t>G</t>
        </is>
      </c>
      <c r="L75" s="40" t="inlineStr">
        <is>
          <t>H</t>
        </is>
      </c>
      <c r="M75" s="40" t="inlineStr">
        <is>
          <t>I</t>
        </is>
      </c>
      <c r="N75" s="40" t="inlineStr">
        <is>
          <t>J</t>
        </is>
      </c>
      <c r="O75" s="40" t="inlineStr">
        <is>
          <t>K</t>
        </is>
      </c>
      <c r="P75" s="40" t="inlineStr">
        <is>
          <t>L</t>
        </is>
      </c>
      <c r="Q75" s="40" t="inlineStr">
        <is>
          <t>M</t>
        </is>
      </c>
      <c r="R75" s="40" t="inlineStr">
        <is>
          <t>N</t>
        </is>
      </c>
      <c r="S75" s="40" t="inlineStr">
        <is>
          <t>O</t>
        </is>
      </c>
      <c r="T75" s="40" t="inlineStr">
        <is>
          <t>P</t>
        </is>
      </c>
      <c r="U75" s="40" t="inlineStr">
        <is>
          <t>Q</t>
        </is>
      </c>
      <c r="V75" s="40" t="inlineStr">
        <is>
          <t>R</t>
        </is>
      </c>
      <c r="W75" s="40" t="inlineStr">
        <is>
          <t>S</t>
        </is>
      </c>
      <c r="X75" s="40" t="inlineStr">
        <is>
          <t>T</t>
        </is>
      </c>
      <c r="Y75" s="40" t="inlineStr">
        <is>
          <t>U</t>
        </is>
      </c>
      <c r="Z75" s="40" t="inlineStr">
        <is>
          <t>V</t>
        </is>
      </c>
      <c r="AA75" s="40" t="inlineStr">
        <is>
          <t>W</t>
        </is>
      </c>
      <c r="AB75" s="40" t="inlineStr">
        <is>
          <t>X</t>
        </is>
      </c>
      <c r="AC75" s="25" t="n"/>
      <c r="AD75" s="40" t="inlineStr">
        <is>
          <t>A</t>
        </is>
      </c>
      <c r="AE75" s="40" t="inlineStr">
        <is>
          <t>B</t>
        </is>
      </c>
      <c r="AF75" s="40" t="inlineStr">
        <is>
          <t>C</t>
        </is>
      </c>
      <c r="AG75" s="40" t="inlineStr">
        <is>
          <t>D</t>
        </is>
      </c>
      <c r="AH75" s="40" t="inlineStr">
        <is>
          <t>E</t>
        </is>
      </c>
      <c r="AI75" s="40" t="inlineStr">
        <is>
          <t>F</t>
        </is>
      </c>
      <c r="AJ75" s="40" t="inlineStr">
        <is>
          <t>G</t>
        </is>
      </c>
      <c r="AK75" s="40" t="inlineStr">
        <is>
          <t>H</t>
        </is>
      </c>
      <c r="AL75" s="40" t="inlineStr">
        <is>
          <t>I</t>
        </is>
      </c>
      <c r="AM75" s="40" t="inlineStr">
        <is>
          <t>J</t>
        </is>
      </c>
      <c r="AN75" s="40" t="inlineStr">
        <is>
          <t>K</t>
        </is>
      </c>
      <c r="AO75" s="40" t="inlineStr">
        <is>
          <t>L</t>
        </is>
      </c>
      <c r="AP75" s="40" t="inlineStr">
        <is>
          <t>M</t>
        </is>
      </c>
      <c r="AQ75" s="40" t="inlineStr">
        <is>
          <t>N</t>
        </is>
      </c>
      <c r="AR75" s="40" t="inlineStr">
        <is>
          <t>O</t>
        </is>
      </c>
      <c r="AS75" s="40" t="inlineStr">
        <is>
          <t>P</t>
        </is>
      </c>
      <c r="AT75" s="40" t="inlineStr">
        <is>
          <t>Q</t>
        </is>
      </c>
      <c r="AU75" s="40" t="inlineStr">
        <is>
          <t>R</t>
        </is>
      </c>
      <c r="AV75" s="40" t="inlineStr">
        <is>
          <t>S</t>
        </is>
      </c>
      <c r="AW75" s="40" t="inlineStr">
        <is>
          <t>T</t>
        </is>
      </c>
      <c r="AX75" s="40" t="inlineStr">
        <is>
          <t>U</t>
        </is>
      </c>
      <c r="AY75" s="40" t="inlineStr">
        <is>
          <t>V</t>
        </is>
      </c>
      <c r="AZ75" s="40" t="inlineStr">
        <is>
          <t>W</t>
        </is>
      </c>
      <c r="BA75" s="40" t="inlineStr">
        <is>
          <t>X</t>
        </is>
      </c>
      <c r="BB75" s="26" t="n"/>
      <c r="BC75" s="129" t="n"/>
      <c r="BD75" s="14" t="n"/>
      <c r="BE75" s="14" t="n"/>
      <c r="BF75" s="14" t="n"/>
      <c r="BG75" s="14" t="n"/>
      <c r="BH75" s="14" t="n"/>
    </row>
    <row r="76">
      <c r="A76" s="14" t="n"/>
      <c r="B76" s="14" t="n"/>
      <c r="C76" s="23" t="inlineStr">
        <is>
          <t>Checked PLOT</t>
        </is>
      </c>
      <c r="E76" s="138" t="n"/>
      <c r="F76" s="138" t="n"/>
      <c r="G76" s="138" t="n"/>
      <c r="H76" s="138" t="n"/>
      <c r="I76" s="138" t="n"/>
      <c r="J76" s="138" t="n"/>
      <c r="K76" s="138" t="n"/>
      <c r="L76" s="138" t="n"/>
      <c r="M76" s="138" t="n"/>
      <c r="N76" s="138" t="n"/>
      <c r="O76" s="138" t="n"/>
      <c r="P76" s="138" t="n"/>
      <c r="Q76" s="138" t="n"/>
      <c r="R76" s="138" t="n"/>
      <c r="S76" s="138" t="n"/>
      <c r="T76" s="138" t="n"/>
      <c r="U76" s="138" t="n"/>
      <c r="V76" s="138" t="n"/>
      <c r="W76" s="138" t="n"/>
      <c r="X76" s="138" t="n"/>
      <c r="Y76" s="138" t="n"/>
      <c r="Z76" s="138" t="n"/>
      <c r="AA76" s="138" t="n"/>
      <c r="AB76" s="138" t="n"/>
      <c r="AC76" s="41" t="n"/>
      <c r="AD76" s="138" t="n"/>
      <c r="AE76" s="138" t="n"/>
      <c r="AF76" s="138" t="n"/>
      <c r="AG76" s="138" t="n"/>
      <c r="AH76" s="138" t="n"/>
      <c r="AI76" s="138" t="n"/>
      <c r="AJ76" s="138" t="n"/>
      <c r="AK76" s="138" t="n"/>
      <c r="AL76" s="138" t="n"/>
      <c r="AM76" s="138" t="n"/>
      <c r="AN76" s="138" t="n"/>
      <c r="AO76" s="138" t="n"/>
      <c r="AP76" s="138" t="n"/>
      <c r="AQ76" s="138" t="n"/>
      <c r="AR76" s="138" t="n"/>
      <c r="AS76" s="138" t="n"/>
      <c r="AT76" s="138" t="n"/>
      <c r="AU76" s="138" t="n"/>
      <c r="AV76" s="138" t="n"/>
      <c r="AW76" s="138" t="n"/>
      <c r="AX76" s="138" t="n"/>
      <c r="AY76" s="138" t="n"/>
      <c r="AZ76" s="138" t="n"/>
      <c r="BA76" s="138" t="n"/>
      <c r="BB76" s="11" t="n"/>
      <c r="BC76" s="129" t="n"/>
      <c r="BD76" s="14" t="n"/>
      <c r="BE76" s="14" t="n"/>
      <c r="BF76" s="14" t="n"/>
      <c r="BG76" s="14" t="n"/>
      <c r="BH76" s="14" t="n"/>
    </row>
    <row r="77">
      <c r="A77" s="14" t="n"/>
      <c r="B77" s="14" t="n"/>
      <c r="C77" s="23" t="inlineStr">
        <is>
          <t>RPO PLOT</t>
        </is>
      </c>
      <c r="E77" s="138" t="n"/>
      <c r="F77" s="138" t="n"/>
      <c r="G77" s="138" t="n"/>
      <c r="H77" s="138" t="n"/>
      <c r="I77" s="138" t="n"/>
      <c r="J77" s="138" t="n"/>
      <c r="K77" s="138" t="n"/>
      <c r="L77" s="138" t="n"/>
      <c r="M77" s="138" t="n"/>
      <c r="N77" s="138" t="n"/>
      <c r="O77" s="138" t="n"/>
      <c r="P77" s="138" t="n"/>
      <c r="Q77" s="138" t="n"/>
      <c r="R77" s="138" t="n"/>
      <c r="S77" s="138" t="n"/>
      <c r="T77" s="138" t="n"/>
      <c r="U77" s="138" t="n"/>
      <c r="V77" s="138" t="n"/>
      <c r="W77" s="138" t="n"/>
      <c r="X77" s="138" t="n"/>
      <c r="Y77" s="138" t="n"/>
      <c r="Z77" s="138" t="n"/>
      <c r="AA77" s="138" t="n"/>
      <c r="AB77" s="138" t="n"/>
      <c r="AC77" s="41" t="n"/>
      <c r="AD77" s="138" t="n"/>
      <c r="AE77" s="138" t="n"/>
      <c r="AF77" s="138" t="n"/>
      <c r="AG77" s="138" t="n"/>
      <c r="AH77" s="138" t="n"/>
      <c r="AI77" s="138" t="n"/>
      <c r="AJ77" s="138" t="n"/>
      <c r="AK77" s="138" t="n"/>
      <c r="AL77" s="138" t="n"/>
      <c r="AM77" s="138" t="n"/>
      <c r="AN77" s="138" t="n"/>
      <c r="AO77" s="138" t="n"/>
      <c r="AP77" s="138" t="n"/>
      <c r="AQ77" s="138" t="n"/>
      <c r="AR77" s="138" t="n"/>
      <c r="AS77" s="138" t="n"/>
      <c r="AT77" s="138" t="n"/>
      <c r="AU77" s="138" t="n"/>
      <c r="AV77" s="138" t="n"/>
      <c r="AW77" s="138" t="n"/>
      <c r="AX77" s="138" t="n"/>
      <c r="AY77" s="138" t="n"/>
      <c r="AZ77" s="138" t="n"/>
      <c r="BA77" s="138" t="n"/>
      <c r="BB77" s="11" t="n"/>
      <c r="BC77" s="129" t="n"/>
      <c r="BD77" s="14" t="n"/>
      <c r="BE77" s="14" t="n"/>
      <c r="BF77" s="14" t="n"/>
      <c r="BG77" s="14" t="n"/>
      <c r="BH77" s="14" t="n"/>
    </row>
    <row r="78">
      <c r="A78" s="14" t="n"/>
      <c r="B78" s="14" t="n"/>
      <c r="C78" s="23" t="inlineStr">
        <is>
          <t>Checked BP</t>
        </is>
      </c>
      <c r="E78" s="138" t="n"/>
      <c r="F78" s="138" t="n"/>
      <c r="G78" s="138" t="n"/>
      <c r="H78" s="138" t="n"/>
      <c r="I78" s="138" t="n"/>
      <c r="J78" s="138" t="n"/>
      <c r="K78" s="138" t="n"/>
      <c r="L78" s="138" t="n"/>
      <c r="M78" s="138" t="n"/>
      <c r="N78" s="138" t="n"/>
      <c r="O78" s="138" t="n"/>
      <c r="P78" s="138" t="n"/>
      <c r="Q78" s="138" t="n"/>
      <c r="R78" s="138" t="n"/>
      <c r="S78" s="138" t="n"/>
      <c r="T78" s="138" t="n"/>
      <c r="U78" s="138" t="n"/>
      <c r="V78" s="138" t="n"/>
      <c r="W78" s="138" t="n"/>
      <c r="X78" s="138" t="n"/>
      <c r="Y78" s="138" t="n"/>
      <c r="Z78" s="138" t="n"/>
      <c r="AA78" s="138" t="n"/>
      <c r="AB78" s="138" t="n"/>
      <c r="AC78" s="41" t="n"/>
      <c r="AD78" s="138" t="n"/>
      <c r="AE78" s="138" t="n"/>
      <c r="AF78" s="138" t="n"/>
      <c r="AG78" s="138" t="n"/>
      <c r="AH78" s="138" t="n"/>
      <c r="AI78" s="138" t="n"/>
      <c r="AJ78" s="138" t="n"/>
      <c r="AK78" s="138" t="n"/>
      <c r="AL78" s="138" t="n"/>
      <c r="AM78" s="138" t="n"/>
      <c r="AN78" s="138" t="n"/>
      <c r="AO78" s="138" t="n"/>
      <c r="AP78" s="138" t="n"/>
      <c r="AQ78" s="138" t="n"/>
      <c r="AR78" s="138" t="n"/>
      <c r="AS78" s="138" t="n"/>
      <c r="AT78" s="138" t="n"/>
      <c r="AU78" s="138" t="n"/>
      <c r="AV78" s="138" t="n"/>
      <c r="AW78" s="138" t="n"/>
      <c r="AX78" s="138" t="n"/>
      <c r="AY78" s="138" t="n"/>
      <c r="AZ78" s="138" t="n"/>
      <c r="BA78" s="138" t="n"/>
      <c r="BB78" s="11" t="n"/>
      <c r="BC78" s="129" t="n"/>
      <c r="BD78" s="14" t="n"/>
      <c r="BE78" s="14" t="n"/>
      <c r="BF78" s="14" t="n"/>
      <c r="BG78" s="14" t="n"/>
      <c r="BH78" s="14" t="n"/>
    </row>
    <row r="79">
      <c r="A79" s="14" t="n"/>
      <c r="B79" s="14" t="n"/>
      <c r="C79" s="23" t="inlineStr">
        <is>
          <t>RPO BP</t>
        </is>
      </c>
      <c r="E79" s="138" t="n"/>
      <c r="F79" s="138" t="n"/>
      <c r="G79" s="138" t="n"/>
      <c r="H79" s="138" t="n"/>
      <c r="I79" s="138" t="n"/>
      <c r="J79" s="138" t="n"/>
      <c r="K79" s="138" t="n"/>
      <c r="L79" s="138" t="n"/>
      <c r="M79" s="138" t="n"/>
      <c r="N79" s="138" t="n"/>
      <c r="O79" s="138" t="n"/>
      <c r="P79" s="138" t="n"/>
      <c r="Q79" s="138" t="n"/>
      <c r="R79" s="138" t="n"/>
      <c r="S79" s="138" t="n"/>
      <c r="T79" s="138" t="n"/>
      <c r="U79" s="138" t="n"/>
      <c r="V79" s="138" t="n"/>
      <c r="W79" s="138" t="n"/>
      <c r="X79" s="138" t="n"/>
      <c r="Y79" s="138" t="n"/>
      <c r="Z79" s="138" t="n"/>
      <c r="AA79" s="138" t="n"/>
      <c r="AB79" s="138" t="n"/>
      <c r="AC79" s="41" t="n"/>
      <c r="AD79" s="138" t="n"/>
      <c r="AE79" s="138" t="n"/>
      <c r="AF79" s="138" t="n"/>
      <c r="AG79" s="138" t="n"/>
      <c r="AH79" s="138" t="n"/>
      <c r="AI79" s="138" t="n"/>
      <c r="AJ79" s="138" t="n"/>
      <c r="AK79" s="138" t="n"/>
      <c r="AL79" s="138" t="n"/>
      <c r="AM79" s="138" t="n"/>
      <c r="AN79" s="138" t="n"/>
      <c r="AO79" s="138" t="n"/>
      <c r="AP79" s="138" t="n"/>
      <c r="AQ79" s="138" t="n"/>
      <c r="AR79" s="138" t="n"/>
      <c r="AS79" s="138" t="n"/>
      <c r="AT79" s="138" t="n"/>
      <c r="AU79" s="138" t="n"/>
      <c r="AV79" s="138" t="n"/>
      <c r="AW79" s="138" t="n"/>
      <c r="AX79" s="138" t="n"/>
      <c r="AY79" s="138" t="n"/>
      <c r="AZ79" s="138" t="n"/>
      <c r="BA79" s="138" t="n"/>
      <c r="BB79" s="11" t="n"/>
      <c r="BC79" s="129" t="n"/>
      <c r="BD79" s="14" t="n"/>
      <c r="BE79" s="14" t="n"/>
      <c r="BF79" s="14" t="n"/>
      <c r="BG79" s="14" t="n"/>
      <c r="BH79" s="14" t="n"/>
    </row>
    <row r="80">
      <c r="A80" s="14" t="n"/>
      <c r="B80" s="14" t="n"/>
      <c r="C80" s="23" t="inlineStr">
        <is>
          <t>Invalid PLOT</t>
        </is>
      </c>
      <c r="E80" s="138" t="n"/>
      <c r="F80" s="138" t="n"/>
      <c r="G80" s="138" t="n"/>
      <c r="H80" s="138" t="n"/>
      <c r="I80" s="138" t="n"/>
      <c r="J80" s="138" t="n"/>
      <c r="K80" s="138" t="n"/>
      <c r="L80" s="138" t="n"/>
      <c r="M80" s="138" t="n"/>
      <c r="N80" s="138" t="n"/>
      <c r="O80" s="138" t="n"/>
      <c r="P80" s="138" t="n"/>
      <c r="Q80" s="138" t="n"/>
      <c r="R80" s="138" t="n"/>
      <c r="S80" s="138" t="n"/>
      <c r="T80" s="138" t="n"/>
      <c r="U80" s="138" t="n"/>
      <c r="V80" s="138" t="n"/>
      <c r="W80" s="138" t="n"/>
      <c r="X80" s="138" t="n"/>
      <c r="Y80" s="138" t="n"/>
      <c r="Z80" s="138" t="n"/>
      <c r="AA80" s="138" t="n"/>
      <c r="AB80" s="138" t="n"/>
      <c r="AC80" s="41" t="n"/>
      <c r="AD80" s="138" t="n"/>
      <c r="AE80" s="138" t="n"/>
      <c r="AF80" s="138" t="n"/>
      <c r="AG80" s="138" t="n"/>
      <c r="AH80" s="138" t="n"/>
      <c r="AI80" s="138" t="n"/>
      <c r="AJ80" s="138" t="n"/>
      <c r="AK80" s="138" t="n"/>
      <c r="AL80" s="138" t="n"/>
      <c r="AM80" s="138" t="n"/>
      <c r="AN80" s="138" t="n"/>
      <c r="AO80" s="138" t="n"/>
      <c r="AP80" s="138" t="n"/>
      <c r="AQ80" s="138" t="n"/>
      <c r="AR80" s="138" t="n"/>
      <c r="AS80" s="138" t="n"/>
      <c r="AT80" s="138" t="n"/>
      <c r="AU80" s="138" t="n"/>
      <c r="AV80" s="138" t="n"/>
      <c r="AW80" s="138" t="n"/>
      <c r="AX80" s="138" t="n"/>
      <c r="AY80" s="138" t="n"/>
      <c r="AZ80" s="138" t="n"/>
      <c r="BA80" s="138" t="n"/>
      <c r="BB80" s="11" t="n"/>
      <c r="BC80" s="129" t="n"/>
      <c r="BD80" s="14" t="n"/>
      <c r="BE80" s="14" t="n"/>
      <c r="BF80" s="14" t="n"/>
      <c r="BG80" s="14" t="n"/>
      <c r="BH80" s="14" t="n"/>
    </row>
    <row r="81">
      <c r="A81" s="14" t="n"/>
      <c r="B81" s="14" t="n"/>
      <c r="C81" s="23" t="inlineStr">
        <is>
          <t>Invalid BP</t>
        </is>
      </c>
      <c r="E81" s="138" t="n"/>
      <c r="F81" s="138" t="n"/>
      <c r="G81" s="138" t="n"/>
      <c r="H81" s="138" t="n"/>
      <c r="I81" s="138" t="n"/>
      <c r="J81" s="138" t="n"/>
      <c r="K81" s="138" t="n"/>
      <c r="L81" s="138" t="n"/>
      <c r="M81" s="138" t="n"/>
      <c r="N81" s="138" t="n"/>
      <c r="O81" s="138" t="n"/>
      <c r="P81" s="138" t="n"/>
      <c r="Q81" s="138" t="n"/>
      <c r="R81" s="138" t="n"/>
      <c r="S81" s="138" t="n"/>
      <c r="T81" s="138" t="n"/>
      <c r="U81" s="138" t="n"/>
      <c r="V81" s="138" t="n"/>
      <c r="W81" s="138" t="n"/>
      <c r="X81" s="138" t="n"/>
      <c r="Y81" s="138" t="n"/>
      <c r="Z81" s="138" t="n"/>
      <c r="AA81" s="138" t="n"/>
      <c r="AB81" s="138" t="n"/>
      <c r="AC81" s="41" t="n"/>
      <c r="AD81" s="138" t="n"/>
      <c r="AE81" s="138" t="n"/>
      <c r="AF81" s="138" t="n"/>
      <c r="AG81" s="138" t="n"/>
      <c r="AH81" s="138" t="n"/>
      <c r="AI81" s="138" t="n"/>
      <c r="AJ81" s="138" t="n"/>
      <c r="AK81" s="138" t="n"/>
      <c r="AL81" s="138" t="n"/>
      <c r="AM81" s="138" t="n"/>
      <c r="AN81" s="138" t="n"/>
      <c r="AO81" s="138" t="n"/>
      <c r="AP81" s="138" t="n"/>
      <c r="AQ81" s="138" t="n"/>
      <c r="AR81" s="138" t="n"/>
      <c r="AS81" s="138" t="n"/>
      <c r="AT81" s="138" t="n"/>
      <c r="AU81" s="138" t="n"/>
      <c r="AV81" s="138" t="n"/>
      <c r="AW81" s="138" t="n"/>
      <c r="AX81" s="138" t="n"/>
      <c r="AY81" s="138" t="n"/>
      <c r="AZ81" s="138" t="n"/>
      <c r="BA81" s="138" t="n"/>
      <c r="BB81" s="11" t="n"/>
      <c r="BC81" s="129" t="n"/>
      <c r="BD81" s="14" t="n"/>
      <c r="BE81" s="14" t="n"/>
      <c r="BF81" s="14" t="n"/>
      <c r="BG81" s="14" t="n"/>
      <c r="BH81" s="14" t="n"/>
    </row>
    <row r="82" ht="69.95" customHeight="1">
      <c r="A82" s="14" t="n"/>
      <c r="B82" s="14" t="n"/>
      <c r="C82" s="24" t="inlineStr">
        <is>
          <t>Op Log</t>
        </is>
      </c>
      <c r="E82" s="316" t="n"/>
      <c r="F82" s="322" t="n"/>
      <c r="G82" s="322" t="n"/>
      <c r="H82" s="322" t="n"/>
      <c r="I82" s="322" t="n"/>
      <c r="J82" s="322" t="n"/>
      <c r="K82" s="322" t="n"/>
      <c r="L82" s="322" t="n"/>
      <c r="M82" s="322" t="n"/>
      <c r="N82" s="322" t="n"/>
      <c r="O82" s="322" t="n"/>
      <c r="P82" s="322" t="n"/>
      <c r="Q82" s="322" t="n"/>
      <c r="R82" s="322" t="n"/>
      <c r="S82" s="322" t="n"/>
      <c r="T82" s="322" t="n"/>
      <c r="U82" s="322" t="n"/>
      <c r="V82" s="322" t="n"/>
      <c r="W82" s="322" t="n"/>
      <c r="X82" s="322" t="n"/>
      <c r="Y82" s="322" t="n"/>
      <c r="Z82" s="322" t="n"/>
      <c r="AA82" s="322" t="n"/>
      <c r="AB82" s="322" t="n"/>
      <c r="AC82" s="32" t="n"/>
      <c r="AD82" s="316" t="n"/>
      <c r="AE82" s="322" t="n"/>
      <c r="AF82" s="322" t="n"/>
      <c r="AG82" s="322" t="n"/>
      <c r="AH82" s="322" t="n"/>
      <c r="AI82" s="322" t="n"/>
      <c r="AJ82" s="322" t="n"/>
      <c r="AK82" s="322" t="n"/>
      <c r="AL82" s="322" t="n"/>
      <c r="AM82" s="322" t="n"/>
      <c r="AN82" s="322" t="n"/>
      <c r="AO82" s="322" t="n"/>
      <c r="AP82" s="322" t="n"/>
      <c r="AQ82" s="322" t="n"/>
      <c r="AR82" s="322" t="n"/>
      <c r="AS82" s="322" t="n"/>
      <c r="AT82" s="322" t="n"/>
      <c r="AU82" s="322" t="n"/>
      <c r="AV82" s="322" t="n"/>
      <c r="AW82" s="322" t="n"/>
      <c r="AX82" s="322" t="n"/>
      <c r="AY82" s="322" t="n"/>
      <c r="AZ82" s="322" t="n"/>
      <c r="BA82" s="322" t="n"/>
      <c r="BB82" s="11" t="n"/>
      <c r="BC82" s="129" t="n"/>
      <c r="BD82" s="14" t="n"/>
      <c r="BE82" s="14" t="n"/>
      <c r="BF82" s="14" t="n"/>
      <c r="BG82" s="14" t="n"/>
      <c r="BH82" s="14" t="n"/>
    </row>
    <row r="83" ht="43.5" customHeight="1">
      <c r="A83" s="14" t="n"/>
      <c r="B83" s="14" t="n"/>
      <c r="C83" s="24" t="inlineStr">
        <is>
          <t>Notes:</t>
        </is>
      </c>
      <c r="E83" s="321" t="n"/>
      <c r="F83" s="322" t="n"/>
      <c r="G83" s="322" t="n"/>
      <c r="H83" s="322" t="n"/>
      <c r="I83" s="322" t="n"/>
      <c r="J83" s="322" t="n"/>
      <c r="K83" s="322" t="n"/>
      <c r="L83" s="322" t="n"/>
      <c r="M83" s="322" t="n"/>
      <c r="N83" s="322" t="n"/>
      <c r="O83" s="322" t="n"/>
      <c r="P83" s="323" t="n"/>
      <c r="Q83" s="324" t="n"/>
      <c r="R83" s="322" t="n"/>
      <c r="S83" s="322" t="n"/>
      <c r="T83" s="322" t="n"/>
      <c r="U83" s="322" t="n"/>
      <c r="V83" s="322" t="n"/>
      <c r="W83" s="322" t="n"/>
      <c r="X83" s="322" t="n"/>
      <c r="Y83" s="322" t="n"/>
      <c r="Z83" s="322" t="n"/>
      <c r="AA83" s="322" t="n"/>
      <c r="AB83" s="322" t="n"/>
      <c r="AC83" s="32" t="n"/>
      <c r="AD83" s="321" t="n"/>
      <c r="AE83" s="322" t="n"/>
      <c r="AF83" s="322" t="n"/>
      <c r="AG83" s="322" t="n"/>
      <c r="AH83" s="322" t="n"/>
      <c r="AI83" s="322" t="n"/>
      <c r="AJ83" s="322" t="n"/>
      <c r="AK83" s="322" t="n"/>
      <c r="AL83" s="322" t="n"/>
      <c r="AM83" s="322" t="n"/>
      <c r="AN83" s="322" t="n"/>
      <c r="AO83" s="323" t="n"/>
      <c r="AP83" s="324" t="n"/>
      <c r="AQ83" s="322" t="n"/>
      <c r="AR83" s="322" t="n"/>
      <c r="AS83" s="322" t="n"/>
      <c r="AT83" s="322" t="n"/>
      <c r="AU83" s="322" t="n"/>
      <c r="AV83" s="322" t="n"/>
      <c r="AW83" s="322" t="n"/>
      <c r="AX83" s="322" t="n"/>
      <c r="AY83" s="322" t="n"/>
      <c r="AZ83" s="322" t="n"/>
      <c r="BA83" s="322" t="n"/>
      <c r="BB83" s="11" t="n"/>
      <c r="BC83" s="129" t="n"/>
      <c r="BD83" s="14" t="n"/>
      <c r="BE83" s="14" t="n"/>
      <c r="BF83" s="14" t="n"/>
      <c r="BG83" s="14" t="n"/>
      <c r="BH83" s="14" t="n"/>
    </row>
    <row r="84" ht="18.75" customFormat="1" customHeight="1" s="15">
      <c r="A84" s="29" t="n"/>
      <c r="B84" s="29" t="n"/>
      <c r="E84" s="16" t="n">
        <v>15</v>
      </c>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D84" s="16" t="n">
        <v>16</v>
      </c>
      <c r="AE84" s="16" t="n"/>
      <c r="AF84" s="16" t="n"/>
      <c r="AG84" s="16" t="n"/>
      <c r="AH84" s="16" t="n"/>
      <c r="AI84" s="16" t="n"/>
      <c r="AJ84" s="16" t="n"/>
      <c r="AK84" s="16" t="n"/>
      <c r="AL84" s="16" t="n"/>
      <c r="AM84" s="16" t="n"/>
      <c r="AN84" s="16" t="n"/>
      <c r="AO84" s="16" t="n"/>
      <c r="AP84" s="16" t="n"/>
      <c r="AQ84" s="16" t="n"/>
      <c r="AR84" s="16" t="n"/>
      <c r="AS84" s="16" t="n"/>
      <c r="AT84" s="16" t="n"/>
      <c r="AU84" s="16" t="n"/>
      <c r="AV84" s="16" t="n"/>
      <c r="AW84" s="16" t="n"/>
      <c r="AX84" s="16" t="n"/>
      <c r="AY84" s="16" t="n"/>
      <c r="AZ84" s="16" t="n"/>
      <c r="BA84" s="16" t="n"/>
      <c r="BB84" s="18" t="n"/>
      <c r="BC84" s="137" t="n"/>
      <c r="BD84" s="29" t="n"/>
      <c r="BE84" s="29" t="n"/>
      <c r="BF84" s="29" t="n"/>
      <c r="BG84" s="29" t="n"/>
      <c r="BH84" s="29" t="n"/>
    </row>
    <row r="85" customFormat="1" s="27">
      <c r="A85" s="14" t="n"/>
      <c r="B85" s="14" t="n"/>
      <c r="C85" s="25" t="n"/>
      <c r="D85" s="25" t="n"/>
      <c r="E85" s="39" t="n">
        <v>0</v>
      </c>
      <c r="F85" s="39" t="n">
        <v>1</v>
      </c>
      <c r="G85" s="39" t="n">
        <v>2</v>
      </c>
      <c r="H85" s="39" t="n">
        <v>3</v>
      </c>
      <c r="I85" s="39" t="n">
        <v>4</v>
      </c>
      <c r="J85" s="39" t="n">
        <v>5</v>
      </c>
      <c r="K85" s="39" t="n">
        <v>6</v>
      </c>
      <c r="L85" s="39" t="n">
        <v>7</v>
      </c>
      <c r="M85" s="39" t="n">
        <v>8</v>
      </c>
      <c r="N85" s="39" t="n">
        <v>9</v>
      </c>
      <c r="O85" s="39" t="n">
        <v>10</v>
      </c>
      <c r="P85" s="39" t="n">
        <v>11</v>
      </c>
      <c r="Q85" s="39" t="n">
        <v>12</v>
      </c>
      <c r="R85" s="39" t="n">
        <v>13</v>
      </c>
      <c r="S85" s="39" t="n">
        <v>14</v>
      </c>
      <c r="T85" s="39" t="n">
        <v>15</v>
      </c>
      <c r="U85" s="39" t="n">
        <v>16</v>
      </c>
      <c r="V85" s="39" t="n">
        <v>17</v>
      </c>
      <c r="W85" s="39" t="n">
        <v>18</v>
      </c>
      <c r="X85" s="39" t="n">
        <v>19</v>
      </c>
      <c r="Y85" s="39" t="n">
        <v>20</v>
      </c>
      <c r="Z85" s="39" t="n">
        <v>21</v>
      </c>
      <c r="AA85" s="39" t="n">
        <v>22</v>
      </c>
      <c r="AB85" s="39" t="n">
        <v>23</v>
      </c>
      <c r="AC85" s="25" t="n"/>
      <c r="AD85" s="39" t="n">
        <v>0</v>
      </c>
      <c r="AE85" s="39" t="n">
        <v>1</v>
      </c>
      <c r="AF85" s="39" t="n">
        <v>2</v>
      </c>
      <c r="AG85" s="39" t="n">
        <v>3</v>
      </c>
      <c r="AH85" s="39" t="n">
        <v>4</v>
      </c>
      <c r="AI85" s="39" t="n">
        <v>5</v>
      </c>
      <c r="AJ85" s="39" t="n">
        <v>6</v>
      </c>
      <c r="AK85" s="39" t="n">
        <v>7</v>
      </c>
      <c r="AL85" s="39" t="n">
        <v>8</v>
      </c>
      <c r="AM85" s="39" t="n">
        <v>9</v>
      </c>
      <c r="AN85" s="39" t="n">
        <v>10</v>
      </c>
      <c r="AO85" s="39" t="n">
        <v>11</v>
      </c>
      <c r="AP85" s="39" t="n">
        <v>12</v>
      </c>
      <c r="AQ85" s="39" t="n">
        <v>13</v>
      </c>
      <c r="AR85" s="39" t="n">
        <v>14</v>
      </c>
      <c r="AS85" s="39" t="n">
        <v>15</v>
      </c>
      <c r="AT85" s="39" t="n">
        <v>16</v>
      </c>
      <c r="AU85" s="39" t="n">
        <v>17</v>
      </c>
      <c r="AV85" s="39" t="n">
        <v>18</v>
      </c>
      <c r="AW85" s="39" t="n">
        <v>19</v>
      </c>
      <c r="AX85" s="39" t="n">
        <v>20</v>
      </c>
      <c r="AY85" s="39" t="n">
        <v>21</v>
      </c>
      <c r="AZ85" s="39" t="n">
        <v>22</v>
      </c>
      <c r="BA85" s="39" t="n">
        <v>23</v>
      </c>
      <c r="BB85" s="26" t="n"/>
      <c r="BC85" s="129" t="n"/>
      <c r="BD85" s="14" t="n"/>
      <c r="BE85" s="14" t="n"/>
      <c r="BF85" s="14" t="n"/>
      <c r="BG85" s="14" t="n"/>
      <c r="BH85" s="14" t="n"/>
    </row>
    <row r="86" ht="15" customFormat="1" customHeight="1" s="27">
      <c r="A86" s="14" t="n"/>
      <c r="B86" s="14" t="n"/>
      <c r="C86" s="25" t="n"/>
      <c r="D86" s="25" t="n"/>
      <c r="E86" s="40" t="inlineStr">
        <is>
          <t>A</t>
        </is>
      </c>
      <c r="F86" s="40" t="inlineStr">
        <is>
          <t>B</t>
        </is>
      </c>
      <c r="G86" s="40" t="inlineStr">
        <is>
          <t>C</t>
        </is>
      </c>
      <c r="H86" s="40" t="inlineStr">
        <is>
          <t>D</t>
        </is>
      </c>
      <c r="I86" s="40" t="inlineStr">
        <is>
          <t>E</t>
        </is>
      </c>
      <c r="J86" s="40" t="inlineStr">
        <is>
          <t>F</t>
        </is>
      </c>
      <c r="K86" s="40" t="inlineStr">
        <is>
          <t>G</t>
        </is>
      </c>
      <c r="L86" s="40" t="inlineStr">
        <is>
          <t>H</t>
        </is>
      </c>
      <c r="M86" s="40" t="inlineStr">
        <is>
          <t>I</t>
        </is>
      </c>
      <c r="N86" s="40" t="inlineStr">
        <is>
          <t>J</t>
        </is>
      </c>
      <c r="O86" s="40" t="inlineStr">
        <is>
          <t>K</t>
        </is>
      </c>
      <c r="P86" s="40" t="inlineStr">
        <is>
          <t>L</t>
        </is>
      </c>
      <c r="Q86" s="40" t="inlineStr">
        <is>
          <t>M</t>
        </is>
      </c>
      <c r="R86" s="40" t="inlineStr">
        <is>
          <t>N</t>
        </is>
      </c>
      <c r="S86" s="40" t="inlineStr">
        <is>
          <t>O</t>
        </is>
      </c>
      <c r="T86" s="40" t="inlineStr">
        <is>
          <t>P</t>
        </is>
      </c>
      <c r="U86" s="40" t="inlineStr">
        <is>
          <t>Q</t>
        </is>
      </c>
      <c r="V86" s="40" t="inlineStr">
        <is>
          <t>R</t>
        </is>
      </c>
      <c r="W86" s="40" t="inlineStr">
        <is>
          <t>S</t>
        </is>
      </c>
      <c r="X86" s="40" t="inlineStr">
        <is>
          <t>T</t>
        </is>
      </c>
      <c r="Y86" s="40" t="inlineStr">
        <is>
          <t>U</t>
        </is>
      </c>
      <c r="Z86" s="40" t="inlineStr">
        <is>
          <t>V</t>
        </is>
      </c>
      <c r="AA86" s="40" t="inlineStr">
        <is>
          <t>W</t>
        </is>
      </c>
      <c r="AB86" s="40" t="inlineStr">
        <is>
          <t>X</t>
        </is>
      </c>
      <c r="AC86" s="25" t="n"/>
      <c r="AD86" s="40" t="inlineStr">
        <is>
          <t>A</t>
        </is>
      </c>
      <c r="AE86" s="40" t="inlineStr">
        <is>
          <t>B</t>
        </is>
      </c>
      <c r="AF86" s="40" t="inlineStr">
        <is>
          <t>C</t>
        </is>
      </c>
      <c r="AG86" s="40" t="inlineStr">
        <is>
          <t>D</t>
        </is>
      </c>
      <c r="AH86" s="40" t="inlineStr">
        <is>
          <t>E</t>
        </is>
      </c>
      <c r="AI86" s="40" t="inlineStr">
        <is>
          <t>F</t>
        </is>
      </c>
      <c r="AJ86" s="40" t="inlineStr">
        <is>
          <t>G</t>
        </is>
      </c>
      <c r="AK86" s="40" t="inlineStr">
        <is>
          <t>H</t>
        </is>
      </c>
      <c r="AL86" s="40" t="inlineStr">
        <is>
          <t>I</t>
        </is>
      </c>
      <c r="AM86" s="40" t="inlineStr">
        <is>
          <t>J</t>
        </is>
      </c>
      <c r="AN86" s="40" t="inlineStr">
        <is>
          <t>K</t>
        </is>
      </c>
      <c r="AO86" s="40" t="inlineStr">
        <is>
          <t>L</t>
        </is>
      </c>
      <c r="AP86" s="40" t="inlineStr">
        <is>
          <t>M</t>
        </is>
      </c>
      <c r="AQ86" s="40" t="inlineStr">
        <is>
          <t>N</t>
        </is>
      </c>
      <c r="AR86" s="40" t="inlineStr">
        <is>
          <t>O</t>
        </is>
      </c>
      <c r="AS86" s="40" t="inlineStr">
        <is>
          <t>P</t>
        </is>
      </c>
      <c r="AT86" s="40" t="inlineStr">
        <is>
          <t>Q</t>
        </is>
      </c>
      <c r="AU86" s="40" t="inlineStr">
        <is>
          <t>R</t>
        </is>
      </c>
      <c r="AV86" s="40" t="inlineStr">
        <is>
          <t>S</t>
        </is>
      </c>
      <c r="AW86" s="40" t="inlineStr">
        <is>
          <t>T</t>
        </is>
      </c>
      <c r="AX86" s="40" t="inlineStr">
        <is>
          <t>U</t>
        </is>
      </c>
      <c r="AY86" s="40" t="inlineStr">
        <is>
          <t>V</t>
        </is>
      </c>
      <c r="AZ86" s="40" t="inlineStr">
        <is>
          <t>W</t>
        </is>
      </c>
      <c r="BA86" s="40" t="inlineStr">
        <is>
          <t>X</t>
        </is>
      </c>
      <c r="BB86" s="26" t="n"/>
      <c r="BC86" s="129" t="n"/>
      <c r="BD86" s="14" t="n"/>
      <c r="BE86" s="14" t="n"/>
      <c r="BF86" s="14" t="n"/>
      <c r="BG86" s="14" t="n"/>
      <c r="BH86" s="14" t="n"/>
    </row>
    <row r="87">
      <c r="A87" s="14" t="n"/>
      <c r="B87" s="14" t="n"/>
      <c r="C87" s="23" t="inlineStr">
        <is>
          <t>Checked PLOT</t>
        </is>
      </c>
      <c r="E87" s="138" t="n"/>
      <c r="F87" s="138" t="n"/>
      <c r="G87" s="138" t="n"/>
      <c r="H87" s="138" t="n"/>
      <c r="I87" s="138" t="n"/>
      <c r="J87" s="138" t="n"/>
      <c r="K87" s="138" t="n"/>
      <c r="L87" s="138" t="n"/>
      <c r="M87" s="138" t="n"/>
      <c r="N87" s="138" t="n"/>
      <c r="O87" s="138" t="n"/>
      <c r="P87" s="138" t="n"/>
      <c r="Q87" s="138" t="n"/>
      <c r="R87" s="138" t="n"/>
      <c r="S87" s="138" t="n"/>
      <c r="T87" s="138" t="n"/>
      <c r="U87" s="138" t="n"/>
      <c r="V87" s="138" t="n"/>
      <c r="W87" s="138" t="n"/>
      <c r="X87" s="138" t="n"/>
      <c r="Y87" s="138" t="n"/>
      <c r="Z87" s="138" t="n"/>
      <c r="AA87" s="138" t="n"/>
      <c r="AB87" s="138" t="n"/>
      <c r="AC87" s="41" t="n"/>
      <c r="AD87" s="138" t="n"/>
      <c r="AE87" s="138" t="n"/>
      <c r="AF87" s="138" t="n"/>
      <c r="AG87" s="138" t="n"/>
      <c r="AH87" s="138" t="n"/>
      <c r="AI87" s="138" t="n"/>
      <c r="AJ87" s="138" t="n"/>
      <c r="AK87" s="138" t="n"/>
      <c r="AL87" s="138" t="n"/>
      <c r="AM87" s="138" t="n"/>
      <c r="AN87" s="138" t="n"/>
      <c r="AO87" s="138" t="n"/>
      <c r="AP87" s="138" t="n"/>
      <c r="AQ87" s="138" t="n"/>
      <c r="AR87" s="138" t="n"/>
      <c r="AS87" s="138" t="n"/>
      <c r="AT87" s="138" t="n"/>
      <c r="AU87" s="138" t="n"/>
      <c r="AV87" s="138" t="n"/>
      <c r="AW87" s="138" t="n"/>
      <c r="AX87" s="138" t="n"/>
      <c r="AY87" s="138" t="n"/>
      <c r="AZ87" s="138" t="n"/>
      <c r="BA87" s="138" t="n"/>
      <c r="BB87" s="11" t="n"/>
      <c r="BC87" s="129" t="n"/>
      <c r="BD87" s="14" t="n"/>
      <c r="BE87" s="14" t="n"/>
      <c r="BF87" s="14" t="n"/>
      <c r="BG87" s="14" t="n"/>
      <c r="BH87" s="14" t="n"/>
    </row>
    <row r="88">
      <c r="A88" s="14" t="n"/>
      <c r="B88" s="14" t="n"/>
      <c r="C88" s="23" t="inlineStr">
        <is>
          <t>RPO PLOT</t>
        </is>
      </c>
      <c r="E88" s="138" t="n"/>
      <c r="F88" s="138" t="n"/>
      <c r="G88" s="138" t="n"/>
      <c r="H88" s="138" t="n"/>
      <c r="I88" s="138" t="n"/>
      <c r="J88" s="138" t="n"/>
      <c r="K88" s="138" t="n"/>
      <c r="L88" s="138" t="n"/>
      <c r="M88" s="138" t="n"/>
      <c r="N88" s="138" t="n"/>
      <c r="O88" s="138" t="n"/>
      <c r="P88" s="138" t="n"/>
      <c r="Q88" s="138" t="n"/>
      <c r="R88" s="138" t="n"/>
      <c r="S88" s="138" t="n"/>
      <c r="T88" s="138" t="n"/>
      <c r="U88" s="138" t="n"/>
      <c r="V88" s="138" t="n"/>
      <c r="W88" s="138" t="n"/>
      <c r="X88" s="138" t="n"/>
      <c r="Y88" s="138" t="n"/>
      <c r="Z88" s="138" t="n"/>
      <c r="AA88" s="138" t="n"/>
      <c r="AB88" s="138" t="n"/>
      <c r="AC88" s="41" t="n"/>
      <c r="AD88" s="138" t="n"/>
      <c r="AE88" s="138" t="n"/>
      <c r="AF88" s="138" t="n"/>
      <c r="AG88" s="138" t="n"/>
      <c r="AH88" s="138" t="n"/>
      <c r="AI88" s="138" t="n"/>
      <c r="AJ88" s="138" t="n"/>
      <c r="AK88" s="138" t="n"/>
      <c r="AL88" s="138" t="n"/>
      <c r="AM88" s="138" t="n"/>
      <c r="AN88" s="138" t="n"/>
      <c r="AO88" s="138" t="n"/>
      <c r="AP88" s="138" t="n"/>
      <c r="AQ88" s="138" t="n"/>
      <c r="AR88" s="138" t="n"/>
      <c r="AS88" s="138" t="n"/>
      <c r="AT88" s="138" t="n"/>
      <c r="AU88" s="138" t="n"/>
      <c r="AV88" s="138" t="n"/>
      <c r="AW88" s="138" t="n"/>
      <c r="AX88" s="138" t="n"/>
      <c r="AY88" s="138" t="n"/>
      <c r="AZ88" s="138" t="n"/>
      <c r="BA88" s="138" t="n"/>
      <c r="BB88" s="11" t="n"/>
      <c r="BC88" s="129" t="n"/>
      <c r="BD88" s="14" t="n"/>
      <c r="BE88" s="14" t="n"/>
      <c r="BF88" s="14" t="n"/>
      <c r="BG88" s="14" t="n"/>
      <c r="BH88" s="14" t="n"/>
    </row>
    <row r="89">
      <c r="A89" s="14" t="n"/>
      <c r="B89" s="14" t="n"/>
      <c r="C89" s="23" t="inlineStr">
        <is>
          <t>Checked BP</t>
        </is>
      </c>
      <c r="E89" s="138" t="n"/>
      <c r="F89" s="138" t="n"/>
      <c r="G89" s="138" t="n"/>
      <c r="H89" s="138" t="n"/>
      <c r="I89" s="138" t="n"/>
      <c r="J89" s="138" t="n"/>
      <c r="K89" s="138" t="n"/>
      <c r="L89" s="138" t="n"/>
      <c r="M89" s="138" t="n"/>
      <c r="N89" s="138" t="n"/>
      <c r="O89" s="138" t="n"/>
      <c r="P89" s="138" t="n"/>
      <c r="Q89" s="138" t="n"/>
      <c r="R89" s="138" t="n"/>
      <c r="S89" s="138" t="n"/>
      <c r="T89" s="138" t="n"/>
      <c r="U89" s="138" t="n"/>
      <c r="V89" s="138" t="n"/>
      <c r="W89" s="138" t="n"/>
      <c r="X89" s="138" t="n"/>
      <c r="Y89" s="138" t="n"/>
      <c r="Z89" s="138" t="n"/>
      <c r="AA89" s="138" t="n"/>
      <c r="AB89" s="138" t="n"/>
      <c r="AC89" s="41" t="n"/>
      <c r="AD89" s="138" t="n"/>
      <c r="AE89" s="138" t="n"/>
      <c r="AF89" s="138" t="n"/>
      <c r="AG89" s="138" t="n"/>
      <c r="AH89" s="138" t="n"/>
      <c r="AI89" s="138" t="n"/>
      <c r="AJ89" s="138" t="n"/>
      <c r="AK89" s="138" t="n"/>
      <c r="AL89" s="138" t="n"/>
      <c r="AM89" s="138" t="n"/>
      <c r="AN89" s="138" t="n"/>
      <c r="AO89" s="138" t="n"/>
      <c r="AP89" s="138" t="n"/>
      <c r="AQ89" s="138" t="n"/>
      <c r="AR89" s="138" t="n"/>
      <c r="AS89" s="138" t="n"/>
      <c r="AT89" s="138" t="n"/>
      <c r="AU89" s="138" t="n"/>
      <c r="AV89" s="138" t="n"/>
      <c r="AW89" s="138" t="n"/>
      <c r="AX89" s="138" t="n"/>
      <c r="AY89" s="138" t="n"/>
      <c r="AZ89" s="138" t="n"/>
      <c r="BA89" s="138" t="n"/>
      <c r="BB89" s="11" t="n"/>
      <c r="BC89" s="129" t="n"/>
      <c r="BD89" s="14" t="n"/>
      <c r="BE89" s="14" t="n"/>
      <c r="BF89" s="14" t="n"/>
      <c r="BG89" s="14" t="n"/>
      <c r="BH89" s="14" t="n"/>
    </row>
    <row r="90">
      <c r="A90" s="14" t="n"/>
      <c r="B90" s="14" t="n"/>
      <c r="C90" s="23" t="inlineStr">
        <is>
          <t>RPO BP</t>
        </is>
      </c>
      <c r="E90" s="138" t="n"/>
      <c r="F90" s="138" t="n"/>
      <c r="G90" s="138" t="n"/>
      <c r="H90" s="138" t="n"/>
      <c r="I90" s="138" t="n"/>
      <c r="J90" s="138" t="n"/>
      <c r="K90" s="138" t="n"/>
      <c r="L90" s="138" t="n"/>
      <c r="M90" s="138" t="n"/>
      <c r="N90" s="138" t="n"/>
      <c r="O90" s="138" t="n"/>
      <c r="P90" s="138" t="n"/>
      <c r="Q90" s="138" t="n"/>
      <c r="R90" s="138" t="n"/>
      <c r="S90" s="138" t="n"/>
      <c r="T90" s="138" t="n"/>
      <c r="U90" s="138" t="n"/>
      <c r="V90" s="138" t="n"/>
      <c r="W90" s="138" t="n"/>
      <c r="X90" s="138" t="n"/>
      <c r="Y90" s="138" t="n"/>
      <c r="Z90" s="138" t="n"/>
      <c r="AA90" s="138" t="n"/>
      <c r="AB90" s="138" t="n"/>
      <c r="AC90" s="41" t="n"/>
      <c r="AD90" s="138" t="n"/>
      <c r="AE90" s="138" t="n"/>
      <c r="AF90" s="138" t="n"/>
      <c r="AG90" s="138" t="n"/>
      <c r="AH90" s="138" t="n"/>
      <c r="AI90" s="138" t="n"/>
      <c r="AJ90" s="138" t="n"/>
      <c r="AK90" s="138" t="n"/>
      <c r="AL90" s="138" t="n"/>
      <c r="AM90" s="138" t="n"/>
      <c r="AN90" s="138" t="n"/>
      <c r="AO90" s="138" t="n"/>
      <c r="AP90" s="138" t="n"/>
      <c r="AQ90" s="138" t="n"/>
      <c r="AR90" s="138" t="n"/>
      <c r="AS90" s="138" t="n"/>
      <c r="AT90" s="138" t="n"/>
      <c r="AU90" s="138" t="n"/>
      <c r="AV90" s="138" t="n"/>
      <c r="AW90" s="138" t="n"/>
      <c r="AX90" s="138" t="n"/>
      <c r="AY90" s="138" t="n"/>
      <c r="AZ90" s="138" t="n"/>
      <c r="BA90" s="138" t="n"/>
      <c r="BB90" s="11" t="n"/>
      <c r="BC90" s="129" t="n"/>
      <c r="BD90" s="14" t="n"/>
      <c r="BE90" s="14" t="n"/>
      <c r="BF90" s="14" t="n"/>
      <c r="BG90" s="14" t="n"/>
      <c r="BH90" s="14" t="n"/>
    </row>
    <row r="91">
      <c r="A91" s="14" t="n"/>
      <c r="B91" s="14" t="n"/>
      <c r="C91" s="23" t="inlineStr">
        <is>
          <t>Invalid PLOT</t>
        </is>
      </c>
      <c r="E91" s="138" t="n"/>
      <c r="F91" s="138" t="n"/>
      <c r="G91" s="138" t="n"/>
      <c r="H91" s="138" t="n"/>
      <c r="I91" s="138" t="n"/>
      <c r="J91" s="138" t="n"/>
      <c r="K91" s="138" t="n"/>
      <c r="L91" s="138" t="n"/>
      <c r="M91" s="138" t="n"/>
      <c r="N91" s="138" t="n"/>
      <c r="O91" s="138" t="n"/>
      <c r="P91" s="138" t="n"/>
      <c r="Q91" s="138" t="n"/>
      <c r="R91" s="138" t="n"/>
      <c r="S91" s="138" t="n"/>
      <c r="T91" s="138" t="n"/>
      <c r="U91" s="138" t="n"/>
      <c r="V91" s="138" t="n"/>
      <c r="W91" s="138" t="n"/>
      <c r="X91" s="138" t="n"/>
      <c r="Y91" s="138" t="n"/>
      <c r="Z91" s="138" t="n"/>
      <c r="AA91" s="138" t="n"/>
      <c r="AB91" s="138" t="n"/>
      <c r="AC91" s="41" t="n"/>
      <c r="AD91" s="138" t="n"/>
      <c r="AE91" s="138" t="n"/>
      <c r="AF91" s="138" t="n"/>
      <c r="AG91" s="138" t="n"/>
      <c r="AH91" s="138" t="n"/>
      <c r="AI91" s="138" t="n"/>
      <c r="AJ91" s="138" t="n"/>
      <c r="AK91" s="138" t="n"/>
      <c r="AL91" s="138" t="n"/>
      <c r="AM91" s="138" t="n"/>
      <c r="AN91" s="138" t="n"/>
      <c r="AO91" s="138" t="n"/>
      <c r="AP91" s="138" t="n"/>
      <c r="AQ91" s="138" t="n"/>
      <c r="AR91" s="138" t="n"/>
      <c r="AS91" s="138" t="n"/>
      <c r="AT91" s="138" t="n"/>
      <c r="AU91" s="138" t="n"/>
      <c r="AV91" s="138" t="n"/>
      <c r="AW91" s="138" t="n"/>
      <c r="AX91" s="138" t="n"/>
      <c r="AY91" s="138" t="n"/>
      <c r="AZ91" s="138" t="n"/>
      <c r="BA91" s="138" t="n"/>
      <c r="BB91" s="11" t="n"/>
      <c r="BC91" s="129" t="n"/>
      <c r="BD91" s="14" t="n"/>
      <c r="BE91" s="14" t="n"/>
      <c r="BF91" s="14" t="n"/>
      <c r="BG91" s="14" t="n"/>
      <c r="BH91" s="14" t="n"/>
    </row>
    <row r="92">
      <c r="A92" s="14" t="n"/>
      <c r="B92" s="14" t="n"/>
      <c r="C92" s="23" t="inlineStr">
        <is>
          <t>Invalid BP</t>
        </is>
      </c>
      <c r="E92" s="138" t="n"/>
      <c r="F92" s="138" t="n"/>
      <c r="G92" s="138" t="n"/>
      <c r="H92" s="138" t="n"/>
      <c r="I92" s="138" t="n"/>
      <c r="J92" s="138" t="n"/>
      <c r="K92" s="138" t="n"/>
      <c r="L92" s="138" t="n"/>
      <c r="M92" s="138" t="n"/>
      <c r="N92" s="138" t="n"/>
      <c r="O92" s="138" t="n"/>
      <c r="P92" s="138" t="n"/>
      <c r="Q92" s="138" t="n"/>
      <c r="R92" s="138" t="n"/>
      <c r="S92" s="138" t="n"/>
      <c r="T92" s="138" t="n"/>
      <c r="U92" s="138" t="n"/>
      <c r="V92" s="138" t="n"/>
      <c r="W92" s="138" t="n"/>
      <c r="X92" s="138" t="n"/>
      <c r="Y92" s="138" t="n"/>
      <c r="Z92" s="138" t="n"/>
      <c r="AA92" s="138" t="n"/>
      <c r="AB92" s="138" t="n"/>
      <c r="AC92" s="41" t="n"/>
      <c r="AD92" s="138" t="n"/>
      <c r="AE92" s="138" t="n"/>
      <c r="AF92" s="138" t="n"/>
      <c r="AG92" s="138" t="n"/>
      <c r="AH92" s="138" t="n"/>
      <c r="AI92" s="138" t="n"/>
      <c r="AJ92" s="138" t="n"/>
      <c r="AK92" s="138" t="n"/>
      <c r="AL92" s="138" t="n"/>
      <c r="AM92" s="138" t="n"/>
      <c r="AN92" s="138" t="n"/>
      <c r="AO92" s="138" t="n"/>
      <c r="AP92" s="138" t="n"/>
      <c r="AQ92" s="138" t="n"/>
      <c r="AR92" s="138" t="n"/>
      <c r="AS92" s="138" t="n"/>
      <c r="AT92" s="138" t="n"/>
      <c r="AU92" s="138" t="n"/>
      <c r="AV92" s="138" t="n"/>
      <c r="AW92" s="138" t="n"/>
      <c r="AX92" s="138" t="n"/>
      <c r="AY92" s="138" t="n"/>
      <c r="AZ92" s="138" t="n"/>
      <c r="BA92" s="138" t="n"/>
      <c r="BB92" s="11" t="n"/>
      <c r="BC92" s="129" t="n"/>
      <c r="BD92" s="14" t="n"/>
      <c r="BE92" s="14" t="n"/>
      <c r="BF92" s="14" t="n"/>
      <c r="BG92" s="14" t="n"/>
      <c r="BH92" s="14" t="n"/>
    </row>
    <row r="93" ht="69.95" customHeight="1">
      <c r="A93" s="14" t="n"/>
      <c r="B93" s="14" t="n"/>
      <c r="C93" s="24" t="inlineStr">
        <is>
          <t>Op Log</t>
        </is>
      </c>
      <c r="E93" s="316" t="n"/>
      <c r="F93" s="322" t="n"/>
      <c r="G93" s="322" t="n"/>
      <c r="H93" s="322" t="n"/>
      <c r="I93" s="322" t="n"/>
      <c r="J93" s="322" t="n"/>
      <c r="K93" s="322" t="n"/>
      <c r="L93" s="322" t="n"/>
      <c r="M93" s="322" t="n"/>
      <c r="N93" s="322" t="n"/>
      <c r="O93" s="322" t="n"/>
      <c r="P93" s="322" t="n"/>
      <c r="Q93" s="322" t="n"/>
      <c r="R93" s="322" t="n"/>
      <c r="S93" s="322" t="n"/>
      <c r="T93" s="322" t="n"/>
      <c r="U93" s="322" t="n"/>
      <c r="V93" s="322" t="n"/>
      <c r="W93" s="322" t="n"/>
      <c r="X93" s="322" t="n"/>
      <c r="Y93" s="322" t="n"/>
      <c r="Z93" s="322" t="n"/>
      <c r="AA93" s="322" t="n"/>
      <c r="AB93" s="322" t="n"/>
      <c r="AC93" s="32" t="n"/>
      <c r="AD93" s="316" t="n"/>
      <c r="AE93" s="322" t="n"/>
      <c r="AF93" s="322" t="n"/>
      <c r="AG93" s="322" t="n"/>
      <c r="AH93" s="322" t="n"/>
      <c r="AI93" s="322" t="n"/>
      <c r="AJ93" s="322" t="n"/>
      <c r="AK93" s="322" t="n"/>
      <c r="AL93" s="322" t="n"/>
      <c r="AM93" s="322" t="n"/>
      <c r="AN93" s="322" t="n"/>
      <c r="AO93" s="322" t="n"/>
      <c r="AP93" s="322" t="n"/>
      <c r="AQ93" s="322" t="n"/>
      <c r="AR93" s="322" t="n"/>
      <c r="AS93" s="322" t="n"/>
      <c r="AT93" s="322" t="n"/>
      <c r="AU93" s="322" t="n"/>
      <c r="AV93" s="322" t="n"/>
      <c r="AW93" s="322" t="n"/>
      <c r="AX93" s="322" t="n"/>
      <c r="AY93" s="322" t="n"/>
      <c r="AZ93" s="322" t="n"/>
      <c r="BA93" s="322" t="n"/>
      <c r="BB93" s="11" t="n"/>
      <c r="BC93" s="129" t="n"/>
      <c r="BD93" s="14" t="n"/>
      <c r="BE93" s="14" t="n"/>
      <c r="BF93" s="14" t="n"/>
      <c r="BG93" s="14" t="n"/>
      <c r="BH93" s="14" t="n"/>
    </row>
    <row r="94" ht="43.5" customHeight="1">
      <c r="A94" s="14" t="n"/>
      <c r="B94" s="14" t="n"/>
      <c r="C94" s="24" t="inlineStr">
        <is>
          <t>Notes:</t>
        </is>
      </c>
      <c r="E94" s="321" t="n"/>
      <c r="F94" s="322" t="n"/>
      <c r="G94" s="322" t="n"/>
      <c r="H94" s="322" t="n"/>
      <c r="I94" s="322" t="n"/>
      <c r="J94" s="322" t="n"/>
      <c r="K94" s="322" t="n"/>
      <c r="L94" s="322" t="n"/>
      <c r="M94" s="322" t="n"/>
      <c r="N94" s="322" t="n"/>
      <c r="O94" s="322" t="n"/>
      <c r="P94" s="323" t="n"/>
      <c r="Q94" s="324" t="n"/>
      <c r="R94" s="322" t="n"/>
      <c r="S94" s="322" t="n"/>
      <c r="T94" s="322" t="n"/>
      <c r="U94" s="322" t="n"/>
      <c r="V94" s="322" t="n"/>
      <c r="W94" s="322" t="n"/>
      <c r="X94" s="322" t="n"/>
      <c r="Y94" s="322" t="n"/>
      <c r="Z94" s="322" t="n"/>
      <c r="AA94" s="322" t="n"/>
      <c r="AB94" s="322" t="n"/>
      <c r="AC94" s="32" t="n"/>
      <c r="AD94" s="321" t="n"/>
      <c r="AE94" s="322" t="n"/>
      <c r="AF94" s="322" t="n"/>
      <c r="AG94" s="322" t="n"/>
      <c r="AH94" s="322" t="n"/>
      <c r="AI94" s="322" t="n"/>
      <c r="AJ94" s="322" t="n"/>
      <c r="AK94" s="322" t="n"/>
      <c r="AL94" s="322" t="n"/>
      <c r="AM94" s="322" t="n"/>
      <c r="AN94" s="322" t="n"/>
      <c r="AO94" s="323" t="n"/>
      <c r="AP94" s="324" t="n"/>
      <c r="AQ94" s="322" t="n"/>
      <c r="AR94" s="322" t="n"/>
      <c r="AS94" s="322" t="n"/>
      <c r="AT94" s="322" t="n"/>
      <c r="AU94" s="322" t="n"/>
      <c r="AV94" s="322" t="n"/>
      <c r="AW94" s="322" t="n"/>
      <c r="AX94" s="322" t="n"/>
      <c r="AY94" s="322" t="n"/>
      <c r="AZ94" s="322" t="n"/>
      <c r="BA94" s="322" t="n"/>
      <c r="BB94" s="11" t="n"/>
      <c r="BC94" s="129" t="n"/>
      <c r="BD94" s="14" t="n"/>
      <c r="BE94" s="14" t="n"/>
      <c r="BF94" s="14" t="n"/>
      <c r="BG94" s="14" t="n"/>
      <c r="BH94" s="14" t="n"/>
    </row>
    <row r="95">
      <c r="A95" s="14" t="n"/>
      <c r="B95" s="14" t="n"/>
      <c r="BB95" s="11" t="n"/>
      <c r="BC95" s="129" t="n"/>
      <c r="BD95" s="14" t="n"/>
      <c r="BE95" s="14" t="n"/>
      <c r="BF95" s="14" t="n"/>
      <c r="BG95" s="14" t="n"/>
      <c r="BH95" s="14" t="n"/>
    </row>
    <row r="96" ht="16.5" customHeight="1" thickBot="1">
      <c r="A96" s="14" t="n"/>
      <c r="B96" s="14" t="n"/>
      <c r="C96" s="315" t="inlineStr">
        <is>
          <t>Reprocess Plan</t>
        </is>
      </c>
      <c r="N96" s="12" t="inlineStr">
        <is>
          <t>Site:</t>
        </is>
      </c>
      <c r="O96" s="13" t="n"/>
      <c r="P96" s="314">
        <f>P2</f>
        <v/>
      </c>
      <c r="Q96" s="193" t="n"/>
      <c r="R96" s="193" t="n"/>
      <c r="S96" s="193" t="n"/>
      <c r="T96" s="193" t="n"/>
      <c r="U96" s="193" t="n"/>
      <c r="V96" s="12" t="inlineStr">
        <is>
          <t>Month/Year:</t>
        </is>
      </c>
      <c r="W96" s="13" t="n"/>
      <c r="X96" s="13" t="n"/>
      <c r="Y96" s="13" t="n"/>
      <c r="Z96" s="314">
        <f>Z2</f>
        <v/>
      </c>
      <c r="AA96" s="193" t="n"/>
      <c r="AB96" s="193" t="n"/>
      <c r="AC96" s="193" t="n"/>
      <c r="AD96" s="193" t="n"/>
      <c r="AE96" s="193" t="n"/>
      <c r="AZ96" s="10" t="inlineStr">
        <is>
          <t>Pg.</t>
        </is>
      </c>
      <c r="BA96" s="10" t="n">
        <v>3</v>
      </c>
      <c r="BB96" s="11" t="n"/>
      <c r="BC96" s="129" t="n"/>
      <c r="BD96" s="14" t="n"/>
      <c r="BE96" s="14" t="n"/>
      <c r="BF96" s="14" t="n"/>
      <c r="BG96" s="14" t="n"/>
      <c r="BH96" s="14" t="n"/>
    </row>
    <row r="97">
      <c r="A97" s="14" t="n"/>
      <c r="B97" s="14" t="n"/>
      <c r="N97" s="12" t="n"/>
      <c r="V97" s="12" t="n"/>
      <c r="BB97" s="11" t="n"/>
      <c r="BC97" s="129" t="n"/>
      <c r="BD97" s="14" t="n"/>
      <c r="BE97" s="14" t="n"/>
      <c r="BF97" s="14" t="n"/>
      <c r="BG97" s="14" t="n"/>
      <c r="BH97" s="14" t="n"/>
    </row>
    <row r="98" ht="18.75" customFormat="1" customHeight="1" s="15">
      <c r="A98" s="29" t="n"/>
      <c r="B98" s="29" t="n"/>
      <c r="E98" s="16" t="n">
        <v>17</v>
      </c>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D98" s="16" t="n">
        <v>18</v>
      </c>
      <c r="AE98" s="16" t="n"/>
      <c r="AF98" s="16" t="n"/>
      <c r="AG98" s="16" t="n"/>
      <c r="AH98" s="16" t="n"/>
      <c r="AI98" s="16" t="n"/>
      <c r="AJ98" s="16" t="n"/>
      <c r="AK98" s="16" t="n"/>
      <c r="AL98" s="16" t="n"/>
      <c r="AM98" s="16" t="n"/>
      <c r="AN98" s="16" t="n"/>
      <c r="AO98" s="16" t="n"/>
      <c r="AP98" s="16" t="n"/>
      <c r="AQ98" s="16" t="n"/>
      <c r="AR98" s="16" t="n"/>
      <c r="AS98" s="16" t="n"/>
      <c r="AT98" s="16" t="n"/>
      <c r="AU98" s="16" t="n"/>
      <c r="AV98" s="16" t="n"/>
      <c r="AW98" s="16" t="n"/>
      <c r="AX98" s="16" t="n"/>
      <c r="AY98" s="16" t="n"/>
      <c r="AZ98" s="16" t="n"/>
      <c r="BA98" s="16" t="n"/>
      <c r="BB98" s="18" t="n"/>
      <c r="BC98" s="130" t="n"/>
      <c r="BD98" s="325" t="inlineStr">
        <is>
          <t>CVS</t>
        </is>
      </c>
      <c r="BE98" s="322" t="n"/>
      <c r="BF98" s="322" t="n"/>
      <c r="BG98" s="322" t="n"/>
      <c r="BH98" s="323" t="n"/>
    </row>
    <row r="99" customFormat="1" s="27">
      <c r="A99" s="14" t="n"/>
      <c r="B99" s="14" t="n"/>
      <c r="C99" s="25" t="n"/>
      <c r="D99" s="25" t="n"/>
      <c r="E99" s="39" t="n">
        <v>0</v>
      </c>
      <c r="F99" s="39" t="n">
        <v>1</v>
      </c>
      <c r="G99" s="39" t="n">
        <v>2</v>
      </c>
      <c r="H99" s="39" t="n">
        <v>3</v>
      </c>
      <c r="I99" s="39" t="n">
        <v>4</v>
      </c>
      <c r="J99" s="39" t="n">
        <v>5</v>
      </c>
      <c r="K99" s="39" t="n">
        <v>6</v>
      </c>
      <c r="L99" s="39" t="n">
        <v>7</v>
      </c>
      <c r="M99" s="39" t="n">
        <v>8</v>
      </c>
      <c r="N99" s="39" t="n">
        <v>9</v>
      </c>
      <c r="O99" s="39" t="n">
        <v>10</v>
      </c>
      <c r="P99" s="39" t="n">
        <v>11</v>
      </c>
      <c r="Q99" s="39" t="n">
        <v>12</v>
      </c>
      <c r="R99" s="39" t="n">
        <v>13</v>
      </c>
      <c r="S99" s="39" t="n">
        <v>14</v>
      </c>
      <c r="T99" s="39" t="n">
        <v>15</v>
      </c>
      <c r="U99" s="39" t="n">
        <v>16</v>
      </c>
      <c r="V99" s="39" t="n">
        <v>17</v>
      </c>
      <c r="W99" s="39" t="n">
        <v>18</v>
      </c>
      <c r="X99" s="39" t="n">
        <v>19</v>
      </c>
      <c r="Y99" s="39" t="n">
        <v>20</v>
      </c>
      <c r="Z99" s="39" t="n">
        <v>21</v>
      </c>
      <c r="AA99" s="39" t="n">
        <v>22</v>
      </c>
      <c r="AB99" s="39" t="n">
        <v>23</v>
      </c>
      <c r="AC99" s="25" t="n"/>
      <c r="AD99" s="39" t="n">
        <v>0</v>
      </c>
      <c r="AE99" s="39" t="n">
        <v>1</v>
      </c>
      <c r="AF99" s="39" t="n">
        <v>2</v>
      </c>
      <c r="AG99" s="39" t="n">
        <v>3</v>
      </c>
      <c r="AH99" s="39" t="n">
        <v>4</v>
      </c>
      <c r="AI99" s="39" t="n">
        <v>5</v>
      </c>
      <c r="AJ99" s="39" t="n">
        <v>6</v>
      </c>
      <c r="AK99" s="39" t="n">
        <v>7</v>
      </c>
      <c r="AL99" s="39" t="n">
        <v>8</v>
      </c>
      <c r="AM99" s="39" t="n">
        <v>9</v>
      </c>
      <c r="AN99" s="39" t="n">
        <v>10</v>
      </c>
      <c r="AO99" s="39" t="n">
        <v>11</v>
      </c>
      <c r="AP99" s="39" t="n">
        <v>12</v>
      </c>
      <c r="AQ99" s="39" t="n">
        <v>13</v>
      </c>
      <c r="AR99" s="39" t="n">
        <v>14</v>
      </c>
      <c r="AS99" s="39" t="n">
        <v>15</v>
      </c>
      <c r="AT99" s="39" t="n">
        <v>16</v>
      </c>
      <c r="AU99" s="39" t="n">
        <v>17</v>
      </c>
      <c r="AV99" s="39" t="n">
        <v>18</v>
      </c>
      <c r="AW99" s="39" t="n">
        <v>19</v>
      </c>
      <c r="AX99" s="39" t="n">
        <v>20</v>
      </c>
      <c r="AY99" s="39" t="n">
        <v>21</v>
      </c>
      <c r="AZ99" s="39" t="n">
        <v>22</v>
      </c>
      <c r="BA99" s="39" t="n">
        <v>23</v>
      </c>
      <c r="BB99" s="26" t="n"/>
      <c r="BC99" s="28" t="n"/>
      <c r="BD99" s="326" t="inlineStr">
        <is>
          <t>Blank</t>
        </is>
      </c>
      <c r="BE99" s="322" t="n"/>
      <c r="BF99" s="322" t="n"/>
      <c r="BG99" s="322" t="n"/>
      <c r="BH99" s="323" t="n"/>
    </row>
    <row r="100" ht="15" customFormat="1" customHeight="1" s="27">
      <c r="A100" s="14" t="n"/>
      <c r="B100" s="14" t="n"/>
      <c r="C100" s="25" t="n"/>
      <c r="D100" s="25" t="n"/>
      <c r="E100" s="40" t="inlineStr">
        <is>
          <t>A</t>
        </is>
      </c>
      <c r="F100" s="40" t="inlineStr">
        <is>
          <t>B</t>
        </is>
      </c>
      <c r="G100" s="40" t="inlineStr">
        <is>
          <t>C</t>
        </is>
      </c>
      <c r="H100" s="40" t="inlineStr">
        <is>
          <t>D</t>
        </is>
      </c>
      <c r="I100" s="40" t="inlineStr">
        <is>
          <t>E</t>
        </is>
      </c>
      <c r="J100" s="40" t="inlineStr">
        <is>
          <t>F</t>
        </is>
      </c>
      <c r="K100" s="40" t="inlineStr">
        <is>
          <t>G</t>
        </is>
      </c>
      <c r="L100" s="40" t="inlineStr">
        <is>
          <t>H</t>
        </is>
      </c>
      <c r="M100" s="40" t="inlineStr">
        <is>
          <t>I</t>
        </is>
      </c>
      <c r="N100" s="40" t="inlineStr">
        <is>
          <t>J</t>
        </is>
      </c>
      <c r="O100" s="40" t="inlineStr">
        <is>
          <t>K</t>
        </is>
      </c>
      <c r="P100" s="40" t="inlineStr">
        <is>
          <t>L</t>
        </is>
      </c>
      <c r="Q100" s="40" t="inlineStr">
        <is>
          <t>M</t>
        </is>
      </c>
      <c r="R100" s="40" t="inlineStr">
        <is>
          <t>N</t>
        </is>
      </c>
      <c r="S100" s="40" t="inlineStr">
        <is>
          <t>O</t>
        </is>
      </c>
      <c r="T100" s="40" t="inlineStr">
        <is>
          <t>P</t>
        </is>
      </c>
      <c r="U100" s="40" t="inlineStr">
        <is>
          <t>Q</t>
        </is>
      </c>
      <c r="V100" s="40" t="inlineStr">
        <is>
          <t>R</t>
        </is>
      </c>
      <c r="W100" s="40" t="inlineStr">
        <is>
          <t>S</t>
        </is>
      </c>
      <c r="X100" s="40" t="inlineStr">
        <is>
          <t>T</t>
        </is>
      </c>
      <c r="Y100" s="40" t="inlineStr">
        <is>
          <t>U</t>
        </is>
      </c>
      <c r="Z100" s="40" t="inlineStr">
        <is>
          <t>V</t>
        </is>
      </c>
      <c r="AA100" s="40" t="inlineStr">
        <is>
          <t>W</t>
        </is>
      </c>
      <c r="AB100" s="40" t="inlineStr">
        <is>
          <t>X</t>
        </is>
      </c>
      <c r="AC100" s="25" t="n"/>
      <c r="AD100" s="40" t="inlineStr">
        <is>
          <t>A</t>
        </is>
      </c>
      <c r="AE100" s="40" t="inlineStr">
        <is>
          <t>B</t>
        </is>
      </c>
      <c r="AF100" s="40" t="inlineStr">
        <is>
          <t>C</t>
        </is>
      </c>
      <c r="AG100" s="40" t="inlineStr">
        <is>
          <t>D</t>
        </is>
      </c>
      <c r="AH100" s="40" t="inlineStr">
        <is>
          <t>E</t>
        </is>
      </c>
      <c r="AI100" s="40" t="inlineStr">
        <is>
          <t>F</t>
        </is>
      </c>
      <c r="AJ100" s="40" t="inlineStr">
        <is>
          <t>G</t>
        </is>
      </c>
      <c r="AK100" s="40" t="inlineStr">
        <is>
          <t>H</t>
        </is>
      </c>
      <c r="AL100" s="40" t="inlineStr">
        <is>
          <t>I</t>
        </is>
      </c>
      <c r="AM100" s="40" t="inlineStr">
        <is>
          <t>J</t>
        </is>
      </c>
      <c r="AN100" s="40" t="inlineStr">
        <is>
          <t>K</t>
        </is>
      </c>
      <c r="AO100" s="40" t="inlineStr">
        <is>
          <t>L</t>
        </is>
      </c>
      <c r="AP100" s="40" t="inlineStr">
        <is>
          <t>M</t>
        </is>
      </c>
      <c r="AQ100" s="40" t="inlineStr">
        <is>
          <t>N</t>
        </is>
      </c>
      <c r="AR100" s="40" t="inlineStr">
        <is>
          <t>O</t>
        </is>
      </c>
      <c r="AS100" s="40" t="inlineStr">
        <is>
          <t>P</t>
        </is>
      </c>
      <c r="AT100" s="40" t="inlineStr">
        <is>
          <t>Q</t>
        </is>
      </c>
      <c r="AU100" s="40" t="inlineStr">
        <is>
          <t>R</t>
        </is>
      </c>
      <c r="AV100" s="40" t="inlineStr">
        <is>
          <t>S</t>
        </is>
      </c>
      <c r="AW100" s="40" t="inlineStr">
        <is>
          <t>T</t>
        </is>
      </c>
      <c r="AX100" s="40" t="inlineStr">
        <is>
          <t>U</t>
        </is>
      </c>
      <c r="AY100" s="40" t="inlineStr">
        <is>
          <t>V</t>
        </is>
      </c>
      <c r="AZ100" s="40" t="inlineStr">
        <is>
          <t>W</t>
        </is>
      </c>
      <c r="BA100" s="40" t="inlineStr">
        <is>
          <t>X</t>
        </is>
      </c>
      <c r="BB100" s="26" t="n"/>
      <c r="BC100" s="125" t="n"/>
      <c r="BD100" s="317" t="inlineStr">
        <is>
          <t>LCS</t>
        </is>
      </c>
      <c r="BE100" s="322" t="n"/>
      <c r="BF100" s="322" t="n"/>
      <c r="BG100" s="322" t="n"/>
      <c r="BH100" s="323" t="n"/>
    </row>
    <row r="101">
      <c r="A101" s="14" t="n"/>
      <c r="B101" s="14" t="n"/>
      <c r="C101" s="23" t="inlineStr">
        <is>
          <t>Checked PLOT</t>
        </is>
      </c>
      <c r="E101" s="138" t="n"/>
      <c r="F101" s="138" t="n"/>
      <c r="G101" s="138" t="n"/>
      <c r="H101" s="138" t="n"/>
      <c r="I101" s="138" t="n"/>
      <c r="J101" s="138" t="n"/>
      <c r="K101" s="138" t="n"/>
      <c r="L101" s="138" t="n"/>
      <c r="M101" s="138" t="n"/>
      <c r="N101" s="138" t="n"/>
      <c r="O101" s="138" t="n"/>
      <c r="P101" s="138" t="n"/>
      <c r="Q101" s="138" t="n"/>
      <c r="R101" s="138" t="n"/>
      <c r="S101" s="138" t="n"/>
      <c r="T101" s="138" t="n"/>
      <c r="U101" s="138" t="n"/>
      <c r="V101" s="138" t="n"/>
      <c r="W101" s="138" t="n"/>
      <c r="X101" s="138" t="n"/>
      <c r="Y101" s="138" t="n"/>
      <c r="Z101" s="138" t="n"/>
      <c r="AA101" s="138" t="n"/>
      <c r="AB101" s="138" t="n"/>
      <c r="AC101" s="41" t="n"/>
      <c r="AD101" s="138" t="n"/>
      <c r="AE101" s="138" t="n"/>
      <c r="AF101" s="138" t="n"/>
      <c r="AG101" s="138" t="n"/>
      <c r="AH101" s="138" t="n"/>
      <c r="AI101" s="138" t="n"/>
      <c r="AJ101" s="138" t="n"/>
      <c r="AK101" s="138" t="n"/>
      <c r="AL101" s="138" t="n"/>
      <c r="AM101" s="138" t="n"/>
      <c r="AN101" s="138" t="n"/>
      <c r="AO101" s="138" t="n"/>
      <c r="AP101" s="138" t="n"/>
      <c r="AQ101" s="138" t="n"/>
      <c r="AR101" s="138" t="n"/>
      <c r="AS101" s="138" t="n"/>
      <c r="AT101" s="138" t="n"/>
      <c r="AU101" s="138" t="n"/>
      <c r="AV101" s="138" t="n"/>
      <c r="AW101" s="138" t="n"/>
      <c r="AX101" s="138" t="n"/>
      <c r="AY101" s="138" t="n"/>
      <c r="AZ101" s="138" t="n"/>
      <c r="BA101" s="138" t="n"/>
      <c r="BB101" s="11" t="n"/>
      <c r="BC101" s="126" t="n"/>
      <c r="BD101" s="317" t="inlineStr">
        <is>
          <t>RTS</t>
        </is>
      </c>
      <c r="BE101" s="322" t="n"/>
      <c r="BF101" s="322" t="n"/>
      <c r="BG101" s="322" t="n"/>
      <c r="BH101" s="323" t="n"/>
    </row>
    <row r="102" ht="15.75" customHeight="1">
      <c r="A102" s="14" t="n"/>
      <c r="B102" s="14" t="n"/>
      <c r="C102" s="23" t="inlineStr">
        <is>
          <t>RPO PLOT</t>
        </is>
      </c>
      <c r="E102" s="138" t="n"/>
      <c r="F102" s="138" t="n"/>
      <c r="G102" s="138" t="n"/>
      <c r="H102" s="138" t="n"/>
      <c r="I102" s="138" t="n"/>
      <c r="J102" s="138" t="n"/>
      <c r="K102" s="138" t="n"/>
      <c r="L102" s="138" t="n"/>
      <c r="M102" s="138" t="n"/>
      <c r="N102" s="138" t="n"/>
      <c r="O102" s="138" t="n"/>
      <c r="P102" s="138" t="n"/>
      <c r="Q102" s="138" t="n"/>
      <c r="R102" s="138" t="n"/>
      <c r="S102" s="138" t="n"/>
      <c r="T102" s="138" t="n"/>
      <c r="U102" s="138" t="n"/>
      <c r="V102" s="138" t="n"/>
      <c r="W102" s="138" t="n"/>
      <c r="X102" s="138" t="n"/>
      <c r="Y102" s="138" t="n"/>
      <c r="Z102" s="138" t="n"/>
      <c r="AA102" s="138" t="n"/>
      <c r="AB102" s="138" t="n"/>
      <c r="AC102" s="41" t="n"/>
      <c r="AD102" s="138" t="n"/>
      <c r="AE102" s="138" t="n"/>
      <c r="AF102" s="138" t="n"/>
      <c r="AG102" s="138" t="n"/>
      <c r="AH102" s="138" t="n"/>
      <c r="AI102" s="138" t="n"/>
      <c r="AJ102" s="138" t="n"/>
      <c r="AK102" s="138" t="n"/>
      <c r="AL102" s="138" t="n"/>
      <c r="AM102" s="138" t="n"/>
      <c r="AN102" s="138" t="n"/>
      <c r="AO102" s="138" t="n"/>
      <c r="AP102" s="138" t="n"/>
      <c r="AQ102" s="138" t="n"/>
      <c r="AR102" s="138" t="n"/>
      <c r="AS102" s="138" t="n"/>
      <c r="AT102" s="138" t="n"/>
      <c r="AU102" s="138" t="n"/>
      <c r="AV102" s="138" t="n"/>
      <c r="AW102" s="138" t="n"/>
      <c r="AX102" s="138" t="n"/>
      <c r="AY102" s="138" t="n"/>
      <c r="AZ102" s="138" t="n"/>
      <c r="BA102" s="138" t="n"/>
      <c r="BB102" s="11" t="n"/>
      <c r="BC102" s="127" t="n"/>
      <c r="BD102" s="317" t="inlineStr">
        <is>
          <t>Experimental/ Test</t>
        </is>
      </c>
      <c r="BE102" s="322" t="n"/>
      <c r="BF102" s="322" t="n"/>
      <c r="BG102" s="322" t="n"/>
      <c r="BH102" s="323" t="n"/>
    </row>
    <row r="103">
      <c r="A103" s="14" t="n"/>
      <c r="B103" s="14" t="n"/>
      <c r="C103" s="23" t="inlineStr">
        <is>
          <t>Checked BP</t>
        </is>
      </c>
      <c r="E103" s="138" t="n"/>
      <c r="F103" s="138" t="n"/>
      <c r="G103" s="138" t="n"/>
      <c r="H103" s="138" t="n"/>
      <c r="I103" s="138" t="n"/>
      <c r="J103" s="138" t="n"/>
      <c r="K103" s="138" t="n"/>
      <c r="L103" s="138" t="n"/>
      <c r="M103" s="138" t="n"/>
      <c r="N103" s="138" t="n"/>
      <c r="O103" s="138" t="n"/>
      <c r="P103" s="138" t="n"/>
      <c r="Q103" s="138" t="n"/>
      <c r="R103" s="138" t="n"/>
      <c r="S103" s="138" t="n"/>
      <c r="T103" s="138" t="n"/>
      <c r="U103" s="138" t="n"/>
      <c r="V103" s="138" t="n"/>
      <c r="W103" s="138" t="n"/>
      <c r="X103" s="138" t="n"/>
      <c r="Y103" s="138" t="n"/>
      <c r="Z103" s="138" t="n"/>
      <c r="AA103" s="138" t="n"/>
      <c r="AB103" s="138" t="n"/>
      <c r="AC103" s="41" t="n"/>
      <c r="AD103" s="138" t="n"/>
      <c r="AE103" s="138" t="n"/>
      <c r="AF103" s="138" t="n"/>
      <c r="AG103" s="138" t="n"/>
      <c r="AH103" s="138" t="n"/>
      <c r="AI103" s="138" t="n"/>
      <c r="AJ103" s="138" t="n"/>
      <c r="AK103" s="138" t="n"/>
      <c r="AL103" s="138" t="n"/>
      <c r="AM103" s="138" t="n"/>
      <c r="AN103" s="138" t="n"/>
      <c r="AO103" s="138" t="n"/>
      <c r="AP103" s="138" t="n"/>
      <c r="AQ103" s="138" t="n"/>
      <c r="AR103" s="138" t="n"/>
      <c r="AS103" s="138" t="n"/>
      <c r="AT103" s="138" t="n"/>
      <c r="AU103" s="138" t="n"/>
      <c r="AV103" s="138" t="n"/>
      <c r="AW103" s="138" t="n"/>
      <c r="AX103" s="138" t="n"/>
      <c r="AY103" s="138" t="n"/>
      <c r="AZ103" s="138" t="n"/>
      <c r="BA103" s="138" t="n"/>
      <c r="BB103" s="11" t="n"/>
      <c r="BC103" s="131" t="n"/>
      <c r="BD103" s="317" t="inlineStr">
        <is>
          <t>Missing Data</t>
        </is>
      </c>
      <c r="BE103" s="322" t="n"/>
      <c r="BF103" s="322" t="n"/>
      <c r="BG103" s="322" t="n"/>
      <c r="BH103" s="323" t="n"/>
    </row>
    <row r="104">
      <c r="A104" s="14" t="n"/>
      <c r="B104" s="14" t="n"/>
      <c r="C104" s="23" t="inlineStr">
        <is>
          <t>RPO BP</t>
        </is>
      </c>
      <c r="E104" s="138" t="n"/>
      <c r="F104" s="138" t="n"/>
      <c r="G104" s="138" t="n"/>
      <c r="H104" s="138" t="n"/>
      <c r="I104" s="138" t="n"/>
      <c r="J104" s="138" t="n"/>
      <c r="K104" s="138" t="n"/>
      <c r="L104" s="138" t="n"/>
      <c r="M104" s="138" t="n"/>
      <c r="N104" s="138" t="n"/>
      <c r="O104" s="138" t="n"/>
      <c r="P104" s="138" t="n"/>
      <c r="Q104" s="138" t="n"/>
      <c r="R104" s="138" t="n"/>
      <c r="S104" s="138" t="n"/>
      <c r="T104" s="138" t="n"/>
      <c r="U104" s="138" t="n"/>
      <c r="V104" s="138" t="n"/>
      <c r="W104" s="138" t="n"/>
      <c r="X104" s="138" t="n"/>
      <c r="Y104" s="138" t="n"/>
      <c r="Z104" s="138" t="n"/>
      <c r="AA104" s="138" t="n"/>
      <c r="AB104" s="138" t="n"/>
      <c r="AC104" s="41" t="n"/>
      <c r="AD104" s="138" t="n"/>
      <c r="AE104" s="138" t="n"/>
      <c r="AF104" s="138" t="n"/>
      <c r="AG104" s="138" t="n"/>
      <c r="AH104" s="138" t="n"/>
      <c r="AI104" s="138" t="n"/>
      <c r="AJ104" s="138" t="n"/>
      <c r="AK104" s="138" t="n"/>
      <c r="AL104" s="138" t="n"/>
      <c r="AM104" s="138" t="n"/>
      <c r="AN104" s="138" t="n"/>
      <c r="AO104" s="138" t="n"/>
      <c r="AP104" s="138" t="n"/>
      <c r="AQ104" s="138" t="n"/>
      <c r="AR104" s="138" t="n"/>
      <c r="AS104" s="138" t="n"/>
      <c r="AT104" s="138" t="n"/>
      <c r="AU104" s="138" t="n"/>
      <c r="AV104" s="138" t="n"/>
      <c r="AW104" s="138" t="n"/>
      <c r="AX104" s="138" t="n"/>
      <c r="AY104" s="138" t="n"/>
      <c r="AZ104" s="138" t="n"/>
      <c r="BA104" s="138" t="n"/>
      <c r="BB104" s="11" t="n"/>
      <c r="BC104" s="128" t="n"/>
      <c r="BD104" s="317" t="inlineStr">
        <is>
          <t>Invalidate</t>
        </is>
      </c>
      <c r="BE104" s="322" t="n"/>
      <c r="BF104" s="322" t="n"/>
      <c r="BG104" s="322" t="n"/>
      <c r="BH104" s="323" t="n"/>
    </row>
    <row r="105">
      <c r="A105" s="14" t="n"/>
      <c r="B105" s="14" t="n"/>
      <c r="C105" s="23" t="inlineStr">
        <is>
          <t>Invalid PLOT</t>
        </is>
      </c>
      <c r="E105" s="138" t="n"/>
      <c r="F105" s="138" t="n"/>
      <c r="G105" s="138" t="n"/>
      <c r="H105" s="138" t="n"/>
      <c r="I105" s="138" t="n"/>
      <c r="J105" s="138" t="n"/>
      <c r="K105" s="138" t="n"/>
      <c r="L105" s="138" t="n"/>
      <c r="M105" s="138" t="n"/>
      <c r="N105" s="138" t="n"/>
      <c r="O105" s="138" t="n"/>
      <c r="P105" s="138" t="n"/>
      <c r="Q105" s="138" t="n"/>
      <c r="R105" s="138" t="n"/>
      <c r="S105" s="138" t="n"/>
      <c r="T105" s="138" t="n"/>
      <c r="U105" s="138" t="n"/>
      <c r="V105" s="138" t="n"/>
      <c r="W105" s="138" t="n"/>
      <c r="X105" s="138" t="n"/>
      <c r="Y105" s="138" t="n"/>
      <c r="Z105" s="138" t="n"/>
      <c r="AA105" s="138" t="n"/>
      <c r="AB105" s="138" t="n"/>
      <c r="AC105" s="41" t="n"/>
      <c r="AD105" s="138" t="n"/>
      <c r="AE105" s="138" t="n"/>
      <c r="AF105" s="138" t="n"/>
      <c r="AG105" s="138" t="n"/>
      <c r="AH105" s="138" t="n"/>
      <c r="AI105" s="138" t="n"/>
      <c r="AJ105" s="138" t="n"/>
      <c r="AK105" s="138" t="n"/>
      <c r="AL105" s="138" t="n"/>
      <c r="AM105" s="138" t="n"/>
      <c r="AN105" s="138" t="n"/>
      <c r="AO105" s="138" t="n"/>
      <c r="AP105" s="138" t="n"/>
      <c r="AQ105" s="138" t="n"/>
      <c r="AR105" s="138" t="n"/>
      <c r="AS105" s="138" t="n"/>
      <c r="AT105" s="138" t="n"/>
      <c r="AU105" s="138" t="n"/>
      <c r="AV105" s="138" t="n"/>
      <c r="AW105" s="138" t="n"/>
      <c r="AX105" s="138" t="n"/>
      <c r="AY105" s="138" t="n"/>
      <c r="AZ105" s="138" t="n"/>
      <c r="BA105" s="138" t="n"/>
      <c r="BB105" s="11" t="n"/>
      <c r="BC105" s="132" t="n"/>
      <c r="BD105" s="313" t="inlineStr">
        <is>
          <t>Check this Hour</t>
        </is>
      </c>
      <c r="BE105" s="347" t="n"/>
      <c r="BF105" s="347" t="n"/>
      <c r="BG105" s="347" t="n"/>
      <c r="BH105" s="249" t="n"/>
    </row>
    <row r="106">
      <c r="A106" s="14" t="n"/>
      <c r="B106" s="14" t="n"/>
      <c r="C106" s="23" t="inlineStr">
        <is>
          <t>Invalid BP</t>
        </is>
      </c>
      <c r="E106" s="138" t="n"/>
      <c r="F106" s="138" t="n"/>
      <c r="G106" s="138" t="n"/>
      <c r="H106" s="138" t="n"/>
      <c r="I106" s="138" t="n"/>
      <c r="J106" s="138" t="n"/>
      <c r="K106" s="138" t="n"/>
      <c r="L106" s="138" t="n"/>
      <c r="M106" s="138" t="n"/>
      <c r="N106" s="138" t="n"/>
      <c r="O106" s="138" t="n"/>
      <c r="P106" s="138" t="n"/>
      <c r="Q106" s="138" t="n"/>
      <c r="R106" s="138" t="n"/>
      <c r="S106" s="138" t="n"/>
      <c r="T106" s="138" t="n"/>
      <c r="U106" s="138" t="n"/>
      <c r="V106" s="138" t="n"/>
      <c r="W106" s="138" t="n"/>
      <c r="X106" s="138" t="n"/>
      <c r="Y106" s="138" t="n"/>
      <c r="Z106" s="138" t="n"/>
      <c r="AA106" s="138" t="n"/>
      <c r="AB106" s="138" t="n"/>
      <c r="AC106" s="41" t="n"/>
      <c r="AD106" s="138" t="n"/>
      <c r="AE106" s="138" t="n"/>
      <c r="AF106" s="138" t="n"/>
      <c r="AG106" s="138" t="n"/>
      <c r="AH106" s="138" t="n"/>
      <c r="AI106" s="138" t="n"/>
      <c r="AJ106" s="138" t="n"/>
      <c r="AK106" s="138" t="n"/>
      <c r="AL106" s="138" t="n"/>
      <c r="AM106" s="138" t="n"/>
      <c r="AN106" s="138" t="n"/>
      <c r="AO106" s="138" t="n"/>
      <c r="AP106" s="138" t="n"/>
      <c r="AQ106" s="138" t="n"/>
      <c r="AR106" s="138" t="n"/>
      <c r="AS106" s="138" t="n"/>
      <c r="AT106" s="138" t="n"/>
      <c r="AU106" s="138" t="n"/>
      <c r="AV106" s="138" t="n"/>
      <c r="AW106" s="138" t="n"/>
      <c r="AX106" s="138" t="n"/>
      <c r="AY106" s="138" t="n"/>
      <c r="AZ106" s="138" t="n"/>
      <c r="BA106" s="138" t="n"/>
      <c r="BB106" s="11" t="n"/>
      <c r="BC106" s="97" t="inlineStr">
        <is>
          <t>RP</t>
        </is>
      </c>
      <c r="BD106" s="313" t="inlineStr">
        <is>
          <t>Reprocessed file</t>
        </is>
      </c>
      <c r="BE106" s="347" t="n"/>
      <c r="BF106" s="347" t="n"/>
      <c r="BG106" s="347" t="n"/>
      <c r="BH106" s="249" t="n"/>
    </row>
    <row r="107" ht="69.95" customHeight="1">
      <c r="A107" s="14" t="n"/>
      <c r="B107" s="14" t="n"/>
      <c r="C107" s="24" t="inlineStr">
        <is>
          <t>Op Log</t>
        </is>
      </c>
      <c r="E107" s="316" t="n"/>
      <c r="F107" s="322" t="n"/>
      <c r="G107" s="322" t="n"/>
      <c r="H107" s="322" t="n"/>
      <c r="I107" s="322" t="n"/>
      <c r="J107" s="322" t="n"/>
      <c r="K107" s="322" t="n"/>
      <c r="L107" s="322" t="n"/>
      <c r="M107" s="322" t="n"/>
      <c r="N107" s="322" t="n"/>
      <c r="O107" s="322" t="n"/>
      <c r="P107" s="322" t="n"/>
      <c r="Q107" s="322" t="n"/>
      <c r="R107" s="322" t="n"/>
      <c r="S107" s="322" t="n"/>
      <c r="T107" s="322" t="n"/>
      <c r="U107" s="322" t="n"/>
      <c r="V107" s="322" t="n"/>
      <c r="W107" s="322" t="n"/>
      <c r="X107" s="322" t="n"/>
      <c r="Y107" s="322" t="n"/>
      <c r="Z107" s="322" t="n"/>
      <c r="AA107" s="322" t="n"/>
      <c r="AB107" s="322" t="n"/>
      <c r="AC107" s="32" t="n"/>
      <c r="AD107" s="316" t="n"/>
      <c r="AE107" s="322" t="n"/>
      <c r="AF107" s="322" t="n"/>
      <c r="AG107" s="322" t="n"/>
      <c r="AH107" s="322" t="n"/>
      <c r="AI107" s="322" t="n"/>
      <c r="AJ107" s="322" t="n"/>
      <c r="AK107" s="322" t="n"/>
      <c r="AL107" s="322" t="n"/>
      <c r="AM107" s="322" t="n"/>
      <c r="AN107" s="322" t="n"/>
      <c r="AO107" s="322" t="n"/>
      <c r="AP107" s="322" t="n"/>
      <c r="AQ107" s="322" t="n"/>
      <c r="AR107" s="322" t="n"/>
      <c r="AS107" s="322" t="n"/>
      <c r="AT107" s="322" t="n"/>
      <c r="AU107" s="322" t="n"/>
      <c r="AV107" s="322" t="n"/>
      <c r="AW107" s="322" t="n"/>
      <c r="AX107" s="322" t="n"/>
      <c r="AY107" s="322" t="n"/>
      <c r="AZ107" s="322" t="n"/>
      <c r="BA107" s="322" t="n"/>
      <c r="BB107" s="11" t="n"/>
      <c r="BC107" s="133" t="inlineStr">
        <is>
          <t>OK</t>
        </is>
      </c>
      <c r="BD107" s="313" t="inlineStr">
        <is>
          <t>Hour reviewed and correct</t>
        </is>
      </c>
      <c r="BE107" s="347" t="n"/>
      <c r="BF107" s="347" t="n"/>
      <c r="BG107" s="347" t="n"/>
      <c r="BH107" s="249" t="n"/>
    </row>
    <row r="108" ht="43.5" customHeight="1">
      <c r="A108" s="14" t="n"/>
      <c r="B108" s="14" t="n"/>
      <c r="C108" s="24" t="inlineStr">
        <is>
          <t>Notes:</t>
        </is>
      </c>
      <c r="E108" s="321" t="n"/>
      <c r="F108" s="322" t="n"/>
      <c r="G108" s="322" t="n"/>
      <c r="H108" s="322" t="n"/>
      <c r="I108" s="322" t="n"/>
      <c r="J108" s="322" t="n"/>
      <c r="K108" s="322" t="n"/>
      <c r="L108" s="322" t="n"/>
      <c r="M108" s="322" t="n"/>
      <c r="N108" s="322" t="n"/>
      <c r="O108" s="322" t="n"/>
      <c r="P108" s="323" t="n"/>
      <c r="Q108" s="324" t="n"/>
      <c r="R108" s="322" t="n"/>
      <c r="S108" s="322" t="n"/>
      <c r="T108" s="322" t="n"/>
      <c r="U108" s="322" t="n"/>
      <c r="V108" s="322" t="n"/>
      <c r="W108" s="322" t="n"/>
      <c r="X108" s="322" t="n"/>
      <c r="Y108" s="322" t="n"/>
      <c r="Z108" s="322" t="n"/>
      <c r="AA108" s="322" t="n"/>
      <c r="AB108" s="322" t="n"/>
      <c r="AC108" s="32" t="n"/>
      <c r="AD108" s="321" t="n"/>
      <c r="AE108" s="322" t="n"/>
      <c r="AF108" s="322" t="n"/>
      <c r="AG108" s="322" t="n"/>
      <c r="AH108" s="322" t="n"/>
      <c r="AI108" s="322" t="n"/>
      <c r="AJ108" s="322" t="n"/>
      <c r="AK108" s="322" t="n"/>
      <c r="AL108" s="322" t="n"/>
      <c r="AM108" s="322" t="n"/>
      <c r="AN108" s="322" t="n"/>
      <c r="AO108" s="323" t="n"/>
      <c r="AP108" s="324" t="n"/>
      <c r="AQ108" s="322" t="n"/>
      <c r="AR108" s="322" t="n"/>
      <c r="AS108" s="322" t="n"/>
      <c r="AT108" s="322" t="n"/>
      <c r="AU108" s="322" t="n"/>
      <c r="AV108" s="322" t="n"/>
      <c r="AW108" s="322" t="n"/>
      <c r="AX108" s="322" t="n"/>
      <c r="AY108" s="322" t="n"/>
      <c r="AZ108" s="322" t="n"/>
      <c r="BA108" s="322" t="n"/>
      <c r="BB108" s="11" t="n"/>
      <c r="BC108" s="134" t="n"/>
      <c r="BD108" s="317" t="inlineStr">
        <is>
          <t>Multipoint</t>
        </is>
      </c>
      <c r="BE108" s="322" t="n"/>
      <c r="BF108" s="322" t="n"/>
      <c r="BG108" s="322" t="n"/>
      <c r="BH108" s="323" t="n"/>
    </row>
    <row r="109" ht="18.75" customFormat="1" customHeight="1" s="15">
      <c r="A109" s="29" t="n"/>
      <c r="B109" s="29" t="n"/>
      <c r="E109" s="16" t="n">
        <v>19</v>
      </c>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D109" s="16" t="n">
        <v>20</v>
      </c>
      <c r="AE109" s="16" t="n"/>
      <c r="AF109" s="16" t="n"/>
      <c r="AG109" s="16" t="n"/>
      <c r="AH109" s="16" t="n"/>
      <c r="AI109" s="16" t="n"/>
      <c r="AJ109" s="16" t="n"/>
      <c r="AK109" s="16" t="n"/>
      <c r="AL109" s="16" t="n"/>
      <c r="AM109" s="16" t="n"/>
      <c r="AN109" s="16" t="n"/>
      <c r="AO109" s="16" t="n"/>
      <c r="AP109" s="16" t="n"/>
      <c r="AQ109" s="16" t="n"/>
      <c r="AR109" s="16" t="n"/>
      <c r="AS109" s="16" t="n"/>
      <c r="AT109" s="16" t="n"/>
      <c r="AU109" s="16" t="n"/>
      <c r="AV109" s="16" t="n"/>
      <c r="AW109" s="16" t="n"/>
      <c r="AX109" s="16" t="n"/>
      <c r="AY109" s="16" t="n"/>
      <c r="AZ109" s="16" t="n"/>
      <c r="BA109" s="16" t="n"/>
      <c r="BB109" s="18" t="n"/>
      <c r="BC109" s="135" t="n"/>
      <c r="BD109" s="313" t="inlineStr">
        <is>
          <t>Detection Limit</t>
        </is>
      </c>
      <c r="BE109" s="347" t="n"/>
      <c r="BF109" s="347" t="n"/>
      <c r="BG109" s="347" t="n"/>
      <c r="BH109" s="249" t="n"/>
    </row>
    <row r="110" customFormat="1" s="27">
      <c r="A110" s="14" t="n"/>
      <c r="B110" s="14" t="n"/>
      <c r="C110" s="25" t="n"/>
      <c r="D110" s="25" t="n"/>
      <c r="E110" s="39" t="n">
        <v>0</v>
      </c>
      <c r="F110" s="39" t="n">
        <v>1</v>
      </c>
      <c r="G110" s="39" t="n">
        <v>2</v>
      </c>
      <c r="H110" s="39" t="n">
        <v>3</v>
      </c>
      <c r="I110" s="39" t="n">
        <v>4</v>
      </c>
      <c r="J110" s="39" t="n">
        <v>5</v>
      </c>
      <c r="K110" s="39" t="n">
        <v>6</v>
      </c>
      <c r="L110" s="39" t="n">
        <v>7</v>
      </c>
      <c r="M110" s="39" t="n">
        <v>8</v>
      </c>
      <c r="N110" s="39" t="n">
        <v>9</v>
      </c>
      <c r="O110" s="39" t="n">
        <v>10</v>
      </c>
      <c r="P110" s="39" t="n">
        <v>11</v>
      </c>
      <c r="Q110" s="39" t="n">
        <v>12</v>
      </c>
      <c r="R110" s="39" t="n">
        <v>13</v>
      </c>
      <c r="S110" s="39" t="n">
        <v>14</v>
      </c>
      <c r="T110" s="39" t="n">
        <v>15</v>
      </c>
      <c r="U110" s="39" t="n">
        <v>16</v>
      </c>
      <c r="V110" s="39" t="n">
        <v>17</v>
      </c>
      <c r="W110" s="39" t="n">
        <v>18</v>
      </c>
      <c r="X110" s="39" t="n">
        <v>19</v>
      </c>
      <c r="Y110" s="39" t="n">
        <v>20</v>
      </c>
      <c r="Z110" s="39" t="n">
        <v>21</v>
      </c>
      <c r="AA110" s="39" t="n">
        <v>22</v>
      </c>
      <c r="AB110" s="39" t="n">
        <v>23</v>
      </c>
      <c r="AC110" s="25" t="n"/>
      <c r="AD110" s="39" t="n">
        <v>0</v>
      </c>
      <c r="AE110" s="39" t="n">
        <v>1</v>
      </c>
      <c r="AF110" s="39" t="n">
        <v>2</v>
      </c>
      <c r="AG110" s="39" t="n">
        <v>3</v>
      </c>
      <c r="AH110" s="39" t="n">
        <v>4</v>
      </c>
      <c r="AI110" s="39" t="n">
        <v>5</v>
      </c>
      <c r="AJ110" s="39" t="n">
        <v>6</v>
      </c>
      <c r="AK110" s="39" t="n">
        <v>7</v>
      </c>
      <c r="AL110" s="39" t="n">
        <v>8</v>
      </c>
      <c r="AM110" s="39" t="n">
        <v>9</v>
      </c>
      <c r="AN110" s="39" t="n">
        <v>10</v>
      </c>
      <c r="AO110" s="39" t="n">
        <v>11</v>
      </c>
      <c r="AP110" s="39" t="n">
        <v>12</v>
      </c>
      <c r="AQ110" s="39" t="n">
        <v>13</v>
      </c>
      <c r="AR110" s="39" t="n">
        <v>14</v>
      </c>
      <c r="AS110" s="39" t="n">
        <v>15</v>
      </c>
      <c r="AT110" s="39" t="n">
        <v>16</v>
      </c>
      <c r="AU110" s="39" t="n">
        <v>17</v>
      </c>
      <c r="AV110" s="39" t="n">
        <v>18</v>
      </c>
      <c r="AW110" s="39" t="n">
        <v>19</v>
      </c>
      <c r="AX110" s="39" t="n">
        <v>20</v>
      </c>
      <c r="AY110" s="39" t="n">
        <v>21</v>
      </c>
      <c r="AZ110" s="39" t="n">
        <v>22</v>
      </c>
      <c r="BA110" s="39" t="n">
        <v>23</v>
      </c>
      <c r="BB110" s="26" t="n"/>
      <c r="BC110" s="133" t="inlineStr">
        <is>
          <t>SB</t>
        </is>
      </c>
      <c r="BD110" s="313" t="inlineStr">
        <is>
          <t>See Below</t>
        </is>
      </c>
      <c r="BE110" s="347" t="n"/>
      <c r="BF110" s="347" t="n"/>
      <c r="BG110" s="347" t="n"/>
      <c r="BH110" s="249" t="n"/>
    </row>
    <row r="111" ht="15" customFormat="1" customHeight="1" s="27">
      <c r="A111" s="14" t="n"/>
      <c r="B111" s="14" t="n"/>
      <c r="C111" s="25" t="n"/>
      <c r="D111" s="25" t="n"/>
      <c r="E111" s="40" t="inlineStr">
        <is>
          <t>A</t>
        </is>
      </c>
      <c r="F111" s="40" t="inlineStr">
        <is>
          <t>B</t>
        </is>
      </c>
      <c r="G111" s="40" t="inlineStr">
        <is>
          <t>C</t>
        </is>
      </c>
      <c r="H111" s="40" t="inlineStr">
        <is>
          <t>D</t>
        </is>
      </c>
      <c r="I111" s="40" t="inlineStr">
        <is>
          <t>E</t>
        </is>
      </c>
      <c r="J111" s="40" t="inlineStr">
        <is>
          <t>F</t>
        </is>
      </c>
      <c r="K111" s="40" t="inlineStr">
        <is>
          <t>G</t>
        </is>
      </c>
      <c r="L111" s="40" t="inlineStr">
        <is>
          <t>H</t>
        </is>
      </c>
      <c r="M111" s="40" t="inlineStr">
        <is>
          <t>I</t>
        </is>
      </c>
      <c r="N111" s="40" t="inlineStr">
        <is>
          <t>J</t>
        </is>
      </c>
      <c r="O111" s="40" t="inlineStr">
        <is>
          <t>K</t>
        </is>
      </c>
      <c r="P111" s="40" t="inlineStr">
        <is>
          <t>L</t>
        </is>
      </c>
      <c r="Q111" s="40" t="inlineStr">
        <is>
          <t>M</t>
        </is>
      </c>
      <c r="R111" s="40" t="inlineStr">
        <is>
          <t>N</t>
        </is>
      </c>
      <c r="S111" s="40" t="inlineStr">
        <is>
          <t>O</t>
        </is>
      </c>
      <c r="T111" s="40" t="inlineStr">
        <is>
          <t>P</t>
        </is>
      </c>
      <c r="U111" s="40" t="inlineStr">
        <is>
          <t>Q</t>
        </is>
      </c>
      <c r="V111" s="40" t="inlineStr">
        <is>
          <t>R</t>
        </is>
      </c>
      <c r="W111" s="40" t="inlineStr">
        <is>
          <t>S</t>
        </is>
      </c>
      <c r="X111" s="40" t="inlineStr">
        <is>
          <t>T</t>
        </is>
      </c>
      <c r="Y111" s="40" t="inlineStr">
        <is>
          <t>U</t>
        </is>
      </c>
      <c r="Z111" s="40" t="inlineStr">
        <is>
          <t>V</t>
        </is>
      </c>
      <c r="AA111" s="40" t="inlineStr">
        <is>
          <t>W</t>
        </is>
      </c>
      <c r="AB111" s="40" t="inlineStr">
        <is>
          <t>X</t>
        </is>
      </c>
      <c r="AC111" s="25" t="n"/>
      <c r="AD111" s="40" t="inlineStr">
        <is>
          <t>A</t>
        </is>
      </c>
      <c r="AE111" s="40" t="inlineStr">
        <is>
          <t>B</t>
        </is>
      </c>
      <c r="AF111" s="40" t="inlineStr">
        <is>
          <t>C</t>
        </is>
      </c>
      <c r="AG111" s="40" t="inlineStr">
        <is>
          <t>D</t>
        </is>
      </c>
      <c r="AH111" s="40" t="inlineStr">
        <is>
          <t>E</t>
        </is>
      </c>
      <c r="AI111" s="40" t="inlineStr">
        <is>
          <t>F</t>
        </is>
      </c>
      <c r="AJ111" s="40" t="inlineStr">
        <is>
          <t>G</t>
        </is>
      </c>
      <c r="AK111" s="40" t="inlineStr">
        <is>
          <t>H</t>
        </is>
      </c>
      <c r="AL111" s="40" t="inlineStr">
        <is>
          <t>I</t>
        </is>
      </c>
      <c r="AM111" s="40" t="inlineStr">
        <is>
          <t>J</t>
        </is>
      </c>
      <c r="AN111" s="40" t="inlineStr">
        <is>
          <t>K</t>
        </is>
      </c>
      <c r="AO111" s="40" t="inlineStr">
        <is>
          <t>L</t>
        </is>
      </c>
      <c r="AP111" s="40" t="inlineStr">
        <is>
          <t>M</t>
        </is>
      </c>
      <c r="AQ111" s="40" t="inlineStr">
        <is>
          <t>N</t>
        </is>
      </c>
      <c r="AR111" s="40" t="inlineStr">
        <is>
          <t>O</t>
        </is>
      </c>
      <c r="AS111" s="40" t="inlineStr">
        <is>
          <t>P</t>
        </is>
      </c>
      <c r="AT111" s="40" t="inlineStr">
        <is>
          <t>Q</t>
        </is>
      </c>
      <c r="AU111" s="40" t="inlineStr">
        <is>
          <t>R</t>
        </is>
      </c>
      <c r="AV111" s="40" t="inlineStr">
        <is>
          <t>S</t>
        </is>
      </c>
      <c r="AW111" s="40" t="inlineStr">
        <is>
          <t>T</t>
        </is>
      </c>
      <c r="AX111" s="40" t="inlineStr">
        <is>
          <t>U</t>
        </is>
      </c>
      <c r="AY111" s="40" t="inlineStr">
        <is>
          <t>V</t>
        </is>
      </c>
      <c r="AZ111" s="40" t="inlineStr">
        <is>
          <t>W</t>
        </is>
      </c>
      <c r="BA111" s="40" t="inlineStr">
        <is>
          <t>X</t>
        </is>
      </c>
      <c r="BB111" s="26" t="n"/>
      <c r="BC111" s="136" t="n"/>
    </row>
    <row r="112">
      <c r="A112" s="14" t="n"/>
      <c r="B112" s="14" t="n"/>
      <c r="C112" s="23" t="inlineStr">
        <is>
          <t>Checked PLOT</t>
        </is>
      </c>
      <c r="E112" s="138" t="n"/>
      <c r="F112" s="138" t="n"/>
      <c r="G112" s="138" t="n"/>
      <c r="H112" s="138" t="n"/>
      <c r="I112" s="138" t="n"/>
      <c r="J112" s="138" t="n"/>
      <c r="K112" s="138" t="n"/>
      <c r="L112" s="138" t="n"/>
      <c r="M112" s="138" t="n"/>
      <c r="N112" s="138" t="n"/>
      <c r="O112" s="138" t="n"/>
      <c r="P112" s="138" t="n"/>
      <c r="Q112" s="138" t="n"/>
      <c r="R112" s="138" t="n"/>
      <c r="S112" s="138" t="n"/>
      <c r="T112" s="138" t="n"/>
      <c r="U112" s="138" t="n"/>
      <c r="V112" s="138" t="n"/>
      <c r="W112" s="138" t="n"/>
      <c r="X112" s="138" t="n"/>
      <c r="Y112" s="138" t="n"/>
      <c r="Z112" s="138" t="n"/>
      <c r="AA112" s="138" t="n"/>
      <c r="AB112" s="138" t="n"/>
      <c r="AC112" s="41" t="n"/>
      <c r="AD112" s="138" t="n"/>
      <c r="AE112" s="138" t="n"/>
      <c r="AF112" s="138" t="n"/>
      <c r="AG112" s="138" t="n"/>
      <c r="AH112" s="138" t="n"/>
      <c r="AI112" s="138" t="n"/>
      <c r="AJ112" s="138" t="n"/>
      <c r="AK112" s="138" t="n"/>
      <c r="AL112" s="138" t="n"/>
      <c r="AM112" s="138" t="n"/>
      <c r="AN112" s="138" t="n"/>
      <c r="AO112" s="138" t="n"/>
      <c r="AP112" s="138" t="n"/>
      <c r="AQ112" s="138" t="n"/>
      <c r="AR112" s="138" t="n"/>
      <c r="AS112" s="138" t="n"/>
      <c r="AT112" s="138" t="n"/>
      <c r="AU112" s="138" t="n"/>
      <c r="AV112" s="138" t="n"/>
      <c r="AW112" s="138" t="n"/>
      <c r="AX112" s="138" t="n"/>
      <c r="AY112" s="138" t="n"/>
      <c r="AZ112" s="138" t="n"/>
      <c r="BA112" s="138" t="n"/>
      <c r="BB112" s="11" t="n"/>
      <c r="BC112" s="62" t="n"/>
      <c r="BD112" s="10" t="n"/>
      <c r="BE112" s="10" t="n"/>
      <c r="BF112" s="10" t="n"/>
      <c r="BG112" s="10" t="n"/>
      <c r="BH112" s="10" t="n"/>
    </row>
    <row r="113">
      <c r="A113" s="14" t="n"/>
      <c r="B113" s="14" t="n"/>
      <c r="C113" s="23" t="inlineStr">
        <is>
          <t>RPO PLOT</t>
        </is>
      </c>
      <c r="E113" s="138" t="n"/>
      <c r="F113" s="138" t="n"/>
      <c r="G113" s="138" t="n"/>
      <c r="H113" s="138" t="n"/>
      <c r="I113" s="138" t="n"/>
      <c r="J113" s="138" t="n"/>
      <c r="K113" s="138" t="n"/>
      <c r="L113" s="138" t="n"/>
      <c r="M113" s="138" t="n"/>
      <c r="N113" s="138" t="n"/>
      <c r="O113" s="138" t="n"/>
      <c r="P113" s="138" t="n"/>
      <c r="Q113" s="138" t="n"/>
      <c r="R113" s="138" t="n"/>
      <c r="S113" s="138" t="n"/>
      <c r="T113" s="138" t="n"/>
      <c r="U113" s="138" t="n"/>
      <c r="V113" s="138" t="n"/>
      <c r="W113" s="138" t="n"/>
      <c r="X113" s="138" t="n"/>
      <c r="Y113" s="138" t="n"/>
      <c r="Z113" s="138" t="n"/>
      <c r="AA113" s="138" t="n"/>
      <c r="AB113" s="138" t="n"/>
      <c r="AC113" s="41" t="n"/>
      <c r="AD113" s="138" t="n"/>
      <c r="AE113" s="138" t="n"/>
      <c r="AF113" s="138" t="n"/>
      <c r="AG113" s="138" t="n"/>
      <c r="AH113" s="138" t="n"/>
      <c r="AI113" s="138" t="n"/>
      <c r="AJ113" s="138" t="n"/>
      <c r="AK113" s="138" t="n"/>
      <c r="AL113" s="138" t="n"/>
      <c r="AM113" s="138" t="n"/>
      <c r="AN113" s="138" t="n"/>
      <c r="AO113" s="138" t="n"/>
      <c r="AP113" s="138" t="n"/>
      <c r="AQ113" s="138" t="n"/>
      <c r="AR113" s="138" t="n"/>
      <c r="AS113" s="138" t="n"/>
      <c r="AT113" s="138" t="n"/>
      <c r="AU113" s="138" t="n"/>
      <c r="AV113" s="138" t="n"/>
      <c r="AW113" s="138" t="n"/>
      <c r="AX113" s="138" t="n"/>
      <c r="AY113" s="138" t="n"/>
      <c r="AZ113" s="138" t="n"/>
      <c r="BA113" s="138" t="n"/>
      <c r="BB113" s="11" t="n"/>
      <c r="BC113" s="62" t="n"/>
      <c r="BD113" s="10" t="n"/>
      <c r="BE113" s="10" t="n"/>
      <c r="BF113" s="10" t="n"/>
      <c r="BG113" s="10" t="n"/>
      <c r="BH113" s="10" t="n"/>
    </row>
    <row r="114">
      <c r="A114" s="14" t="n"/>
      <c r="B114" s="14" t="n"/>
      <c r="C114" s="23" t="inlineStr">
        <is>
          <t>Checked BP</t>
        </is>
      </c>
      <c r="E114" s="138" t="n"/>
      <c r="F114" s="138" t="n"/>
      <c r="G114" s="138" t="n"/>
      <c r="H114" s="138" t="n"/>
      <c r="I114" s="138" t="n"/>
      <c r="J114" s="138" t="n"/>
      <c r="K114" s="138" t="n"/>
      <c r="L114" s="138" t="n"/>
      <c r="M114" s="138" t="n"/>
      <c r="N114" s="138" t="n"/>
      <c r="O114" s="138" t="n"/>
      <c r="P114" s="138" t="n"/>
      <c r="Q114" s="138" t="n"/>
      <c r="R114" s="138" t="n"/>
      <c r="S114" s="138" t="n"/>
      <c r="T114" s="138" t="n"/>
      <c r="U114" s="138" t="n"/>
      <c r="V114" s="138" t="n"/>
      <c r="W114" s="138" t="n"/>
      <c r="X114" s="138" t="n"/>
      <c r="Y114" s="138" t="n"/>
      <c r="Z114" s="138" t="n"/>
      <c r="AA114" s="138" t="n"/>
      <c r="AB114" s="138" t="n"/>
      <c r="AC114" s="41" t="n"/>
      <c r="AD114" s="138" t="n"/>
      <c r="AE114" s="138" t="n"/>
      <c r="AF114" s="138" t="n"/>
      <c r="AG114" s="138" t="n"/>
      <c r="AH114" s="138" t="n"/>
      <c r="AI114" s="138" t="n"/>
      <c r="AJ114" s="138" t="n"/>
      <c r="AK114" s="138" t="n"/>
      <c r="AL114" s="138" t="n"/>
      <c r="AM114" s="138" t="n"/>
      <c r="AN114" s="138" t="n"/>
      <c r="AO114" s="138" t="n"/>
      <c r="AP114" s="138" t="n"/>
      <c r="AQ114" s="138" t="n"/>
      <c r="AR114" s="138" t="n"/>
      <c r="AS114" s="138" t="n"/>
      <c r="AT114" s="138" t="n"/>
      <c r="AU114" s="138" t="n"/>
      <c r="AV114" s="138" t="n"/>
      <c r="AW114" s="138" t="n"/>
      <c r="AX114" s="138" t="n"/>
      <c r="AY114" s="138" t="n"/>
      <c r="AZ114" s="138" t="n"/>
      <c r="BA114" s="138" t="n"/>
      <c r="BB114" s="11" t="n"/>
      <c r="BC114" s="62" t="n"/>
      <c r="BD114" s="10" t="n"/>
      <c r="BE114" s="10" t="n"/>
      <c r="BF114" s="10" t="n"/>
      <c r="BG114" s="10" t="n"/>
      <c r="BH114" s="10" t="n"/>
    </row>
    <row r="115">
      <c r="A115" s="14" t="n"/>
      <c r="B115" s="14" t="n"/>
      <c r="C115" s="23" t="inlineStr">
        <is>
          <t>RPO BP</t>
        </is>
      </c>
      <c r="E115" s="138" t="n"/>
      <c r="F115" s="138" t="n"/>
      <c r="G115" s="138" t="n"/>
      <c r="H115" s="138" t="n"/>
      <c r="I115" s="138" t="n"/>
      <c r="J115" s="138" t="n"/>
      <c r="K115" s="138" t="n"/>
      <c r="L115" s="138" t="n"/>
      <c r="M115" s="138" t="n"/>
      <c r="N115" s="138" t="n"/>
      <c r="O115" s="138" t="n"/>
      <c r="P115" s="138" t="n"/>
      <c r="Q115" s="138" t="n"/>
      <c r="R115" s="138" t="n"/>
      <c r="S115" s="138" t="n"/>
      <c r="T115" s="138" t="n"/>
      <c r="U115" s="138" t="n"/>
      <c r="V115" s="138" t="n"/>
      <c r="W115" s="138" t="n"/>
      <c r="X115" s="138" t="n"/>
      <c r="Y115" s="138" t="n"/>
      <c r="Z115" s="138" t="n"/>
      <c r="AA115" s="138" t="n"/>
      <c r="AB115" s="138" t="n"/>
      <c r="AC115" s="41" t="n"/>
      <c r="AD115" s="138" t="n"/>
      <c r="AE115" s="138" t="n"/>
      <c r="AF115" s="138" t="n"/>
      <c r="AG115" s="138" t="n"/>
      <c r="AH115" s="138" t="n"/>
      <c r="AI115" s="138" t="n"/>
      <c r="AJ115" s="138" t="n"/>
      <c r="AK115" s="138" t="n"/>
      <c r="AL115" s="138" t="n"/>
      <c r="AM115" s="138" t="n"/>
      <c r="AN115" s="138" t="n"/>
      <c r="AO115" s="138" t="n"/>
      <c r="AP115" s="138" t="n"/>
      <c r="AQ115" s="138" t="n"/>
      <c r="AR115" s="138" t="n"/>
      <c r="AS115" s="138" t="n"/>
      <c r="AT115" s="138" t="n"/>
      <c r="AU115" s="138" t="n"/>
      <c r="AV115" s="138" t="n"/>
      <c r="AW115" s="138" t="n"/>
      <c r="AX115" s="138" t="n"/>
      <c r="AY115" s="138" t="n"/>
      <c r="AZ115" s="138" t="n"/>
      <c r="BA115" s="138" t="n"/>
      <c r="BB115" s="11" t="n"/>
      <c r="BC115" s="62" t="n"/>
      <c r="BD115" s="10" t="n"/>
      <c r="BE115" s="10" t="n"/>
      <c r="BF115" s="10" t="n"/>
      <c r="BG115" s="10" t="n"/>
      <c r="BH115" s="10" t="n"/>
    </row>
    <row r="116">
      <c r="A116" s="14" t="n"/>
      <c r="B116" s="14" t="n"/>
      <c r="C116" s="23" t="inlineStr">
        <is>
          <t>Invalid PLOT</t>
        </is>
      </c>
      <c r="E116" s="138" t="n"/>
      <c r="F116" s="138" t="n"/>
      <c r="G116" s="138" t="n"/>
      <c r="H116" s="138" t="n"/>
      <c r="I116" s="138" t="n"/>
      <c r="J116" s="138" t="n"/>
      <c r="K116" s="138" t="n"/>
      <c r="L116" s="138" t="n"/>
      <c r="M116" s="138" t="n"/>
      <c r="N116" s="138" t="n"/>
      <c r="O116" s="138" t="n"/>
      <c r="P116" s="138" t="n"/>
      <c r="Q116" s="138" t="n"/>
      <c r="R116" s="138" t="n"/>
      <c r="S116" s="138" t="n"/>
      <c r="T116" s="138" t="n"/>
      <c r="U116" s="138" t="n"/>
      <c r="V116" s="138" t="n"/>
      <c r="W116" s="138" t="n"/>
      <c r="X116" s="138" t="n"/>
      <c r="Y116" s="138" t="n"/>
      <c r="Z116" s="138" t="n"/>
      <c r="AA116" s="138" t="n"/>
      <c r="AB116" s="138" t="n"/>
      <c r="AC116" s="41" t="n"/>
      <c r="AD116" s="138" t="n"/>
      <c r="AE116" s="138" t="n"/>
      <c r="AF116" s="138" t="n"/>
      <c r="AG116" s="138" t="n"/>
      <c r="AH116" s="138" t="n"/>
      <c r="AI116" s="138" t="n"/>
      <c r="AJ116" s="138" t="n"/>
      <c r="AK116" s="138" t="n"/>
      <c r="AL116" s="138" t="n"/>
      <c r="AM116" s="138" t="n"/>
      <c r="AN116" s="138" t="n"/>
      <c r="AO116" s="138" t="n"/>
      <c r="AP116" s="138" t="n"/>
      <c r="AQ116" s="138" t="n"/>
      <c r="AR116" s="138" t="n"/>
      <c r="AS116" s="138" t="n"/>
      <c r="AT116" s="138" t="n"/>
      <c r="AU116" s="138" t="n"/>
      <c r="AV116" s="138" t="n"/>
      <c r="AW116" s="138" t="n"/>
      <c r="AX116" s="138" t="n"/>
      <c r="AY116" s="138" t="n"/>
      <c r="AZ116" s="138" t="n"/>
      <c r="BA116" s="138" t="n"/>
      <c r="BB116" s="11" t="n"/>
      <c r="BC116" s="129" t="n"/>
      <c r="BD116" s="14" t="n"/>
      <c r="BE116" s="14" t="n"/>
      <c r="BF116" s="14" t="n"/>
      <c r="BG116" s="14" t="n"/>
      <c r="BH116" s="14" t="n"/>
    </row>
    <row r="117">
      <c r="A117" s="14" t="n"/>
      <c r="B117" s="14" t="n"/>
      <c r="C117" s="23" t="inlineStr">
        <is>
          <t>Invalid BP</t>
        </is>
      </c>
      <c r="E117" s="138" t="n"/>
      <c r="F117" s="138" t="n"/>
      <c r="G117" s="138" t="n"/>
      <c r="H117" s="138" t="n"/>
      <c r="I117" s="138" t="n"/>
      <c r="J117" s="138" t="n"/>
      <c r="K117" s="138" t="n"/>
      <c r="L117" s="138" t="n"/>
      <c r="M117" s="138" t="n"/>
      <c r="N117" s="138" t="n"/>
      <c r="O117" s="138" t="n"/>
      <c r="P117" s="138" t="n"/>
      <c r="Q117" s="138" t="n"/>
      <c r="R117" s="138" t="n"/>
      <c r="S117" s="138" t="n"/>
      <c r="T117" s="138" t="n"/>
      <c r="U117" s="138" t="n"/>
      <c r="V117" s="138" t="n"/>
      <c r="W117" s="138" t="n"/>
      <c r="X117" s="138" t="n"/>
      <c r="Y117" s="138" t="n"/>
      <c r="Z117" s="138" t="n"/>
      <c r="AA117" s="138" t="n"/>
      <c r="AB117" s="138" t="n"/>
      <c r="AC117" s="41" t="n"/>
      <c r="AD117" s="138" t="n"/>
      <c r="AE117" s="138" t="n"/>
      <c r="AF117" s="138" t="n"/>
      <c r="AG117" s="138" t="n"/>
      <c r="AH117" s="138" t="n"/>
      <c r="AI117" s="138" t="n"/>
      <c r="AJ117" s="138" t="n"/>
      <c r="AK117" s="138" t="n"/>
      <c r="AL117" s="138" t="n"/>
      <c r="AM117" s="138" t="n"/>
      <c r="AN117" s="138" t="n"/>
      <c r="AO117" s="138" t="n"/>
      <c r="AP117" s="138" t="n"/>
      <c r="AQ117" s="138" t="n"/>
      <c r="AR117" s="138" t="n"/>
      <c r="AS117" s="138" t="n"/>
      <c r="AT117" s="138" t="n"/>
      <c r="AU117" s="138" t="n"/>
      <c r="AV117" s="138" t="n"/>
      <c r="AW117" s="138" t="n"/>
      <c r="AX117" s="138" t="n"/>
      <c r="AY117" s="138" t="n"/>
      <c r="AZ117" s="138" t="n"/>
      <c r="BA117" s="138" t="n"/>
      <c r="BB117" s="11" t="n"/>
      <c r="BC117" s="129" t="n"/>
      <c r="BD117" s="14" t="n"/>
      <c r="BE117" s="14" t="n"/>
      <c r="BF117" s="14" t="n"/>
      <c r="BG117" s="14" t="n"/>
      <c r="BH117" s="14" t="n"/>
    </row>
    <row r="118" ht="69.95" customHeight="1">
      <c r="A118" s="14" t="n"/>
      <c r="B118" s="14" t="n"/>
      <c r="C118" s="24" t="inlineStr">
        <is>
          <t>Op Log</t>
        </is>
      </c>
      <c r="E118" s="316" t="n"/>
      <c r="F118" s="322" t="n"/>
      <c r="G118" s="322" t="n"/>
      <c r="H118" s="322" t="n"/>
      <c r="I118" s="322" t="n"/>
      <c r="J118" s="322" t="n"/>
      <c r="K118" s="322" t="n"/>
      <c r="L118" s="322" t="n"/>
      <c r="M118" s="322" t="n"/>
      <c r="N118" s="322" t="n"/>
      <c r="O118" s="322" t="n"/>
      <c r="P118" s="322" t="n"/>
      <c r="Q118" s="322" t="n"/>
      <c r="R118" s="322" t="n"/>
      <c r="S118" s="322" t="n"/>
      <c r="T118" s="322" t="n"/>
      <c r="U118" s="322" t="n"/>
      <c r="V118" s="322" t="n"/>
      <c r="W118" s="322" t="n"/>
      <c r="X118" s="322" t="n"/>
      <c r="Y118" s="322" t="n"/>
      <c r="Z118" s="322" t="n"/>
      <c r="AA118" s="322" t="n"/>
      <c r="AB118" s="322" t="n"/>
      <c r="AC118" s="32" t="n"/>
      <c r="AD118" s="316" t="n"/>
      <c r="AE118" s="322" t="n"/>
      <c r="AF118" s="322" t="n"/>
      <c r="AG118" s="322" t="n"/>
      <c r="AH118" s="322" t="n"/>
      <c r="AI118" s="322" t="n"/>
      <c r="AJ118" s="322" t="n"/>
      <c r="AK118" s="322" t="n"/>
      <c r="AL118" s="322" t="n"/>
      <c r="AM118" s="322" t="n"/>
      <c r="AN118" s="322" t="n"/>
      <c r="AO118" s="322" t="n"/>
      <c r="AP118" s="322" t="n"/>
      <c r="AQ118" s="322" t="n"/>
      <c r="AR118" s="322" t="n"/>
      <c r="AS118" s="322" t="n"/>
      <c r="AT118" s="322" t="n"/>
      <c r="AU118" s="322" t="n"/>
      <c r="AV118" s="322" t="n"/>
      <c r="AW118" s="322" t="n"/>
      <c r="AX118" s="322" t="n"/>
      <c r="AY118" s="322" t="n"/>
      <c r="AZ118" s="322" t="n"/>
      <c r="BA118" s="322" t="n"/>
      <c r="BB118" s="11" t="n"/>
      <c r="BC118" s="129" t="n"/>
      <c r="BD118" s="14" t="n"/>
      <c r="BE118" s="14" t="n"/>
      <c r="BF118" s="14" t="n"/>
      <c r="BG118" s="14" t="n"/>
      <c r="BH118" s="14" t="n"/>
    </row>
    <row r="119" ht="43.5" customHeight="1">
      <c r="A119" s="14" t="n"/>
      <c r="B119" s="14" t="n"/>
      <c r="C119" s="24" t="inlineStr">
        <is>
          <t>Notes:</t>
        </is>
      </c>
      <c r="E119" s="321" t="n"/>
      <c r="F119" s="322" t="n"/>
      <c r="G119" s="322" t="n"/>
      <c r="H119" s="322" t="n"/>
      <c r="I119" s="322" t="n"/>
      <c r="J119" s="322" t="n"/>
      <c r="K119" s="322" t="n"/>
      <c r="L119" s="322" t="n"/>
      <c r="M119" s="322" t="n"/>
      <c r="N119" s="322" t="n"/>
      <c r="O119" s="322" t="n"/>
      <c r="P119" s="323" t="n"/>
      <c r="Q119" s="324" t="n"/>
      <c r="R119" s="322" t="n"/>
      <c r="S119" s="322" t="n"/>
      <c r="T119" s="322" t="n"/>
      <c r="U119" s="322" t="n"/>
      <c r="V119" s="322" t="n"/>
      <c r="W119" s="322" t="n"/>
      <c r="X119" s="322" t="n"/>
      <c r="Y119" s="322" t="n"/>
      <c r="Z119" s="322" t="n"/>
      <c r="AA119" s="322" t="n"/>
      <c r="AB119" s="322" t="n"/>
      <c r="AC119" s="32" t="n"/>
      <c r="AD119" s="321" t="n"/>
      <c r="AE119" s="322" t="n"/>
      <c r="AF119" s="322" t="n"/>
      <c r="AG119" s="322" t="n"/>
      <c r="AH119" s="322" t="n"/>
      <c r="AI119" s="322" t="n"/>
      <c r="AJ119" s="322" t="n"/>
      <c r="AK119" s="322" t="n"/>
      <c r="AL119" s="322" t="n"/>
      <c r="AM119" s="322" t="n"/>
      <c r="AN119" s="322" t="n"/>
      <c r="AO119" s="323" t="n"/>
      <c r="AP119" s="324" t="n"/>
      <c r="AQ119" s="322" t="n"/>
      <c r="AR119" s="322" t="n"/>
      <c r="AS119" s="322" t="n"/>
      <c r="AT119" s="322" t="n"/>
      <c r="AU119" s="322" t="n"/>
      <c r="AV119" s="322" t="n"/>
      <c r="AW119" s="322" t="n"/>
      <c r="AX119" s="322" t="n"/>
      <c r="AY119" s="322" t="n"/>
      <c r="AZ119" s="322" t="n"/>
      <c r="BA119" s="322" t="n"/>
      <c r="BB119" s="11" t="n"/>
      <c r="BC119" s="129" t="n"/>
      <c r="BD119" s="14" t="n"/>
      <c r="BE119" s="14" t="n"/>
      <c r="BF119" s="14" t="n"/>
      <c r="BG119" s="14" t="n"/>
      <c r="BH119" s="14" t="n"/>
    </row>
    <row r="120" ht="18.75" customFormat="1" customHeight="1" s="15">
      <c r="A120" s="29" t="n"/>
      <c r="B120" s="29" t="n"/>
      <c r="E120" s="16" t="n">
        <v>21</v>
      </c>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D120" s="16" t="n">
        <v>22</v>
      </c>
      <c r="AE120" s="16" t="n"/>
      <c r="AF120" s="16" t="n"/>
      <c r="AG120" s="16" t="n"/>
      <c r="AH120" s="16" t="n"/>
      <c r="AI120" s="16" t="n"/>
      <c r="AJ120" s="16" t="n"/>
      <c r="AK120" s="16" t="n"/>
      <c r="AL120" s="16" t="n"/>
      <c r="AM120" s="16" t="n"/>
      <c r="AN120" s="16" t="n"/>
      <c r="AO120" s="16" t="n"/>
      <c r="AP120" s="16" t="n"/>
      <c r="AQ120" s="16" t="n"/>
      <c r="AR120" s="16" t="n"/>
      <c r="AS120" s="16" t="n"/>
      <c r="AT120" s="16" t="n"/>
      <c r="AU120" s="16" t="n"/>
      <c r="AV120" s="16" t="n"/>
      <c r="AW120" s="16" t="n"/>
      <c r="AX120" s="16" t="n"/>
      <c r="AY120" s="16" t="n"/>
      <c r="AZ120" s="16" t="n"/>
      <c r="BA120" s="16" t="n"/>
      <c r="BB120" s="18" t="n"/>
      <c r="BC120" s="137" t="n"/>
      <c r="BD120" s="29" t="n"/>
      <c r="BE120" s="29" t="n"/>
      <c r="BF120" s="29" t="n"/>
      <c r="BG120" s="29" t="n"/>
      <c r="BH120" s="29" t="n"/>
    </row>
    <row r="121" customFormat="1" s="27">
      <c r="A121" s="14" t="n"/>
      <c r="B121" s="14" t="n"/>
      <c r="C121" s="25" t="n"/>
      <c r="D121" s="25" t="n"/>
      <c r="E121" s="39" t="n">
        <v>0</v>
      </c>
      <c r="F121" s="39" t="n">
        <v>1</v>
      </c>
      <c r="G121" s="39" t="n">
        <v>2</v>
      </c>
      <c r="H121" s="39" t="n">
        <v>3</v>
      </c>
      <c r="I121" s="39" t="n">
        <v>4</v>
      </c>
      <c r="J121" s="39" t="n">
        <v>5</v>
      </c>
      <c r="K121" s="39" t="n">
        <v>6</v>
      </c>
      <c r="L121" s="39" t="n">
        <v>7</v>
      </c>
      <c r="M121" s="39" t="n">
        <v>8</v>
      </c>
      <c r="N121" s="39" t="n">
        <v>9</v>
      </c>
      <c r="O121" s="39" t="n">
        <v>10</v>
      </c>
      <c r="P121" s="39" t="n">
        <v>11</v>
      </c>
      <c r="Q121" s="39" t="n">
        <v>12</v>
      </c>
      <c r="R121" s="39" t="n">
        <v>13</v>
      </c>
      <c r="S121" s="39" t="n">
        <v>14</v>
      </c>
      <c r="T121" s="39" t="n">
        <v>15</v>
      </c>
      <c r="U121" s="39" t="n">
        <v>16</v>
      </c>
      <c r="V121" s="39" t="n">
        <v>17</v>
      </c>
      <c r="W121" s="39" t="n">
        <v>18</v>
      </c>
      <c r="X121" s="39" t="n">
        <v>19</v>
      </c>
      <c r="Y121" s="39" t="n">
        <v>20</v>
      </c>
      <c r="Z121" s="39" t="n">
        <v>21</v>
      </c>
      <c r="AA121" s="39" t="n">
        <v>22</v>
      </c>
      <c r="AB121" s="39" t="n">
        <v>23</v>
      </c>
      <c r="AC121" s="25" t="n"/>
      <c r="AD121" s="39" t="n">
        <v>0</v>
      </c>
      <c r="AE121" s="39" t="n">
        <v>1</v>
      </c>
      <c r="AF121" s="39" t="n">
        <v>2</v>
      </c>
      <c r="AG121" s="39" t="n">
        <v>3</v>
      </c>
      <c r="AH121" s="39" t="n">
        <v>4</v>
      </c>
      <c r="AI121" s="39" t="n">
        <v>5</v>
      </c>
      <c r="AJ121" s="39" t="n">
        <v>6</v>
      </c>
      <c r="AK121" s="39" t="n">
        <v>7</v>
      </c>
      <c r="AL121" s="39" t="n">
        <v>8</v>
      </c>
      <c r="AM121" s="39" t="n">
        <v>9</v>
      </c>
      <c r="AN121" s="39" t="n">
        <v>10</v>
      </c>
      <c r="AO121" s="39" t="n">
        <v>11</v>
      </c>
      <c r="AP121" s="39" t="n">
        <v>12</v>
      </c>
      <c r="AQ121" s="39" t="n">
        <v>13</v>
      </c>
      <c r="AR121" s="39" t="n">
        <v>14</v>
      </c>
      <c r="AS121" s="39" t="n">
        <v>15</v>
      </c>
      <c r="AT121" s="39" t="n">
        <v>16</v>
      </c>
      <c r="AU121" s="39" t="n">
        <v>17</v>
      </c>
      <c r="AV121" s="39" t="n">
        <v>18</v>
      </c>
      <c r="AW121" s="39" t="n">
        <v>19</v>
      </c>
      <c r="AX121" s="39" t="n">
        <v>20</v>
      </c>
      <c r="AY121" s="39" t="n">
        <v>21</v>
      </c>
      <c r="AZ121" s="39" t="n">
        <v>22</v>
      </c>
      <c r="BA121" s="39" t="n">
        <v>23</v>
      </c>
      <c r="BB121" s="26" t="n"/>
      <c r="BC121" s="129" t="n"/>
      <c r="BD121" s="14" t="n"/>
      <c r="BE121" s="14" t="n"/>
      <c r="BF121" s="14" t="n"/>
      <c r="BG121" s="14" t="n"/>
      <c r="BH121" s="14" t="n"/>
    </row>
    <row r="122" ht="15" customFormat="1" customHeight="1" s="27">
      <c r="A122" s="14" t="n"/>
      <c r="B122" s="14" t="n"/>
      <c r="C122" s="25" t="n"/>
      <c r="D122" s="25" t="n"/>
      <c r="E122" s="40" t="inlineStr">
        <is>
          <t>A</t>
        </is>
      </c>
      <c r="F122" s="40" t="inlineStr">
        <is>
          <t>B</t>
        </is>
      </c>
      <c r="G122" s="40" t="inlineStr">
        <is>
          <t>C</t>
        </is>
      </c>
      <c r="H122" s="40" t="inlineStr">
        <is>
          <t>D</t>
        </is>
      </c>
      <c r="I122" s="40" t="inlineStr">
        <is>
          <t>E</t>
        </is>
      </c>
      <c r="J122" s="40" t="inlineStr">
        <is>
          <t>F</t>
        </is>
      </c>
      <c r="K122" s="40" t="inlineStr">
        <is>
          <t>G</t>
        </is>
      </c>
      <c r="L122" s="40" t="inlineStr">
        <is>
          <t>H</t>
        </is>
      </c>
      <c r="M122" s="40" t="inlineStr">
        <is>
          <t>I</t>
        </is>
      </c>
      <c r="N122" s="40" t="inlineStr">
        <is>
          <t>J</t>
        </is>
      </c>
      <c r="O122" s="40" t="inlineStr">
        <is>
          <t>K</t>
        </is>
      </c>
      <c r="P122" s="40" t="inlineStr">
        <is>
          <t>L</t>
        </is>
      </c>
      <c r="Q122" s="40" t="inlineStr">
        <is>
          <t>M</t>
        </is>
      </c>
      <c r="R122" s="40" t="inlineStr">
        <is>
          <t>N</t>
        </is>
      </c>
      <c r="S122" s="40" t="inlineStr">
        <is>
          <t>O</t>
        </is>
      </c>
      <c r="T122" s="40" t="inlineStr">
        <is>
          <t>P</t>
        </is>
      </c>
      <c r="U122" s="40" t="inlineStr">
        <is>
          <t>Q</t>
        </is>
      </c>
      <c r="V122" s="40" t="inlineStr">
        <is>
          <t>R</t>
        </is>
      </c>
      <c r="W122" s="40" t="inlineStr">
        <is>
          <t>S</t>
        </is>
      </c>
      <c r="X122" s="40" t="inlineStr">
        <is>
          <t>T</t>
        </is>
      </c>
      <c r="Y122" s="40" t="inlineStr">
        <is>
          <t>U</t>
        </is>
      </c>
      <c r="Z122" s="40" t="inlineStr">
        <is>
          <t>V</t>
        </is>
      </c>
      <c r="AA122" s="40" t="inlineStr">
        <is>
          <t>W</t>
        </is>
      </c>
      <c r="AB122" s="40" t="inlineStr">
        <is>
          <t>X</t>
        </is>
      </c>
      <c r="AC122" s="25" t="n"/>
      <c r="AD122" s="40" t="inlineStr">
        <is>
          <t>A</t>
        </is>
      </c>
      <c r="AE122" s="40" t="inlineStr">
        <is>
          <t>B</t>
        </is>
      </c>
      <c r="AF122" s="40" t="inlineStr">
        <is>
          <t>C</t>
        </is>
      </c>
      <c r="AG122" s="40" t="inlineStr">
        <is>
          <t>D</t>
        </is>
      </c>
      <c r="AH122" s="40" t="inlineStr">
        <is>
          <t>E</t>
        </is>
      </c>
      <c r="AI122" s="40" t="inlineStr">
        <is>
          <t>F</t>
        </is>
      </c>
      <c r="AJ122" s="40" t="inlineStr">
        <is>
          <t>G</t>
        </is>
      </c>
      <c r="AK122" s="40" t="inlineStr">
        <is>
          <t>H</t>
        </is>
      </c>
      <c r="AL122" s="40" t="inlineStr">
        <is>
          <t>I</t>
        </is>
      </c>
      <c r="AM122" s="40" t="inlineStr">
        <is>
          <t>J</t>
        </is>
      </c>
      <c r="AN122" s="40" t="inlineStr">
        <is>
          <t>K</t>
        </is>
      </c>
      <c r="AO122" s="40" t="inlineStr">
        <is>
          <t>L</t>
        </is>
      </c>
      <c r="AP122" s="40" t="inlineStr">
        <is>
          <t>M</t>
        </is>
      </c>
      <c r="AQ122" s="40" t="inlineStr">
        <is>
          <t>N</t>
        </is>
      </c>
      <c r="AR122" s="40" t="inlineStr">
        <is>
          <t>O</t>
        </is>
      </c>
      <c r="AS122" s="40" t="inlineStr">
        <is>
          <t>P</t>
        </is>
      </c>
      <c r="AT122" s="40" t="inlineStr">
        <is>
          <t>Q</t>
        </is>
      </c>
      <c r="AU122" s="40" t="inlineStr">
        <is>
          <t>R</t>
        </is>
      </c>
      <c r="AV122" s="40" t="inlineStr">
        <is>
          <t>S</t>
        </is>
      </c>
      <c r="AW122" s="40" t="inlineStr">
        <is>
          <t>T</t>
        </is>
      </c>
      <c r="AX122" s="40" t="inlineStr">
        <is>
          <t>U</t>
        </is>
      </c>
      <c r="AY122" s="40" t="inlineStr">
        <is>
          <t>V</t>
        </is>
      </c>
      <c r="AZ122" s="40" t="inlineStr">
        <is>
          <t>W</t>
        </is>
      </c>
      <c r="BA122" s="40" t="inlineStr">
        <is>
          <t>X</t>
        </is>
      </c>
      <c r="BB122" s="26" t="n"/>
      <c r="BC122" s="129" t="n"/>
      <c r="BD122" s="14" t="n"/>
      <c r="BE122" s="14" t="n"/>
      <c r="BF122" s="14" t="n"/>
      <c r="BG122" s="14" t="n"/>
      <c r="BH122" s="14" t="n"/>
    </row>
    <row r="123">
      <c r="A123" s="14" t="n"/>
      <c r="B123" s="14" t="n"/>
      <c r="C123" s="23" t="inlineStr">
        <is>
          <t>Checked PLOT</t>
        </is>
      </c>
      <c r="E123" s="138" t="n"/>
      <c r="F123" s="138" t="n"/>
      <c r="G123" s="138" t="n"/>
      <c r="H123" s="138" t="n"/>
      <c r="I123" s="138" t="n"/>
      <c r="J123" s="138" t="n"/>
      <c r="K123" s="138" t="n"/>
      <c r="L123" s="138" t="n"/>
      <c r="M123" s="138" t="n"/>
      <c r="N123" s="138" t="n"/>
      <c r="O123" s="138" t="n"/>
      <c r="P123" s="138" t="n"/>
      <c r="Q123" s="138" t="n"/>
      <c r="R123" s="138" t="n"/>
      <c r="S123" s="138" t="n"/>
      <c r="T123" s="138" t="n"/>
      <c r="U123" s="138" t="n"/>
      <c r="V123" s="138" t="n"/>
      <c r="W123" s="138" t="n"/>
      <c r="X123" s="138" t="n"/>
      <c r="Y123" s="138" t="n"/>
      <c r="Z123" s="138" t="n"/>
      <c r="AA123" s="138" t="n"/>
      <c r="AB123" s="138" t="n"/>
      <c r="AC123" s="41" t="n"/>
      <c r="AD123" s="138" t="n"/>
      <c r="AE123" s="138" t="n"/>
      <c r="AF123" s="138" t="n"/>
      <c r="AG123" s="138" t="n"/>
      <c r="AH123" s="138" t="n"/>
      <c r="AI123" s="138" t="n"/>
      <c r="AJ123" s="138" t="n"/>
      <c r="AK123" s="138" t="n"/>
      <c r="AL123" s="138" t="n"/>
      <c r="AM123" s="138" t="n"/>
      <c r="AN123" s="138" t="n"/>
      <c r="AO123" s="138" t="n"/>
      <c r="AP123" s="138" t="n"/>
      <c r="AQ123" s="138" t="n"/>
      <c r="AR123" s="138" t="n"/>
      <c r="AS123" s="138" t="n"/>
      <c r="AT123" s="138" t="n"/>
      <c r="AU123" s="138" t="n"/>
      <c r="AV123" s="138" t="n"/>
      <c r="AW123" s="138" t="n"/>
      <c r="AX123" s="138" t="n"/>
      <c r="AY123" s="138" t="n"/>
      <c r="AZ123" s="138" t="n"/>
      <c r="BA123" s="138" t="n"/>
      <c r="BB123" s="11" t="n"/>
      <c r="BC123" s="129" t="n"/>
      <c r="BD123" s="14" t="n"/>
      <c r="BE123" s="14" t="n"/>
      <c r="BF123" s="14" t="n"/>
      <c r="BG123" s="14" t="n"/>
      <c r="BH123" s="14" t="n"/>
    </row>
    <row r="124">
      <c r="A124" s="14" t="n"/>
      <c r="B124" s="14" t="n"/>
      <c r="C124" s="23" t="inlineStr">
        <is>
          <t>RPO PLOT</t>
        </is>
      </c>
      <c r="E124" s="138" t="n"/>
      <c r="F124" s="138" t="n"/>
      <c r="G124" s="138" t="n"/>
      <c r="H124" s="138" t="n"/>
      <c r="I124" s="138" t="n"/>
      <c r="J124" s="138" t="n"/>
      <c r="K124" s="138" t="n"/>
      <c r="L124" s="138" t="n"/>
      <c r="M124" s="138" t="n"/>
      <c r="N124" s="138" t="n"/>
      <c r="O124" s="138" t="n"/>
      <c r="P124" s="138" t="n"/>
      <c r="Q124" s="138" t="n"/>
      <c r="R124" s="138" t="n"/>
      <c r="S124" s="138" t="n"/>
      <c r="T124" s="138" t="n"/>
      <c r="U124" s="138" t="n"/>
      <c r="V124" s="138" t="n"/>
      <c r="W124" s="138" t="n"/>
      <c r="X124" s="138" t="n"/>
      <c r="Y124" s="138" t="n"/>
      <c r="Z124" s="138" t="n"/>
      <c r="AA124" s="138" t="n"/>
      <c r="AB124" s="138" t="n"/>
      <c r="AC124" s="41" t="n"/>
      <c r="AD124" s="138" t="n"/>
      <c r="AE124" s="138" t="n"/>
      <c r="AF124" s="138" t="n"/>
      <c r="AG124" s="138" t="n"/>
      <c r="AH124" s="138" t="n"/>
      <c r="AI124" s="138" t="n"/>
      <c r="AJ124" s="138" t="n"/>
      <c r="AK124" s="138" t="n"/>
      <c r="AL124" s="138" t="n"/>
      <c r="AM124" s="138" t="n"/>
      <c r="AN124" s="138" t="n"/>
      <c r="AO124" s="138" t="n"/>
      <c r="AP124" s="138" t="n"/>
      <c r="AQ124" s="138" t="n"/>
      <c r="AR124" s="138" t="n"/>
      <c r="AS124" s="138" t="n"/>
      <c r="AT124" s="138" t="n"/>
      <c r="AU124" s="138" t="n"/>
      <c r="AV124" s="138" t="n"/>
      <c r="AW124" s="138" t="n"/>
      <c r="AX124" s="138" t="n"/>
      <c r="AY124" s="138" t="n"/>
      <c r="AZ124" s="138" t="n"/>
      <c r="BA124" s="138" t="n"/>
      <c r="BB124" s="11" t="n"/>
      <c r="BC124" s="129" t="n"/>
      <c r="BD124" s="14" t="n"/>
      <c r="BE124" s="14" t="n"/>
      <c r="BF124" s="14" t="n"/>
      <c r="BG124" s="14" t="n"/>
      <c r="BH124" s="14" t="n"/>
    </row>
    <row r="125">
      <c r="A125" s="14" t="n"/>
      <c r="B125" s="14" t="n"/>
      <c r="C125" s="23" t="inlineStr">
        <is>
          <t>Checked BP</t>
        </is>
      </c>
      <c r="E125" s="138" t="n"/>
      <c r="F125" s="138" t="n"/>
      <c r="G125" s="138" t="n"/>
      <c r="H125" s="138" t="n"/>
      <c r="I125" s="138" t="n"/>
      <c r="J125" s="138" t="n"/>
      <c r="K125" s="138" t="n"/>
      <c r="L125" s="138" t="n"/>
      <c r="M125" s="138" t="n"/>
      <c r="N125" s="138" t="n"/>
      <c r="O125" s="138" t="n"/>
      <c r="P125" s="138" t="n"/>
      <c r="Q125" s="138" t="n"/>
      <c r="R125" s="138" t="n"/>
      <c r="S125" s="138" t="n"/>
      <c r="T125" s="138" t="n"/>
      <c r="U125" s="138" t="n"/>
      <c r="V125" s="138" t="n"/>
      <c r="W125" s="138" t="n"/>
      <c r="X125" s="138" t="n"/>
      <c r="Y125" s="138" t="n"/>
      <c r="Z125" s="138" t="n"/>
      <c r="AA125" s="138" t="n"/>
      <c r="AB125" s="138" t="n"/>
      <c r="AC125" s="41" t="n"/>
      <c r="AD125" s="138" t="n"/>
      <c r="AE125" s="138" t="n"/>
      <c r="AF125" s="138" t="n"/>
      <c r="AG125" s="138" t="n"/>
      <c r="AH125" s="138" t="n"/>
      <c r="AI125" s="138" t="n"/>
      <c r="AJ125" s="138" t="n"/>
      <c r="AK125" s="138" t="n"/>
      <c r="AL125" s="138" t="n"/>
      <c r="AM125" s="138" t="n"/>
      <c r="AN125" s="138" t="n"/>
      <c r="AO125" s="138" t="n"/>
      <c r="AP125" s="138" t="n"/>
      <c r="AQ125" s="138" t="n"/>
      <c r="AR125" s="138" t="n"/>
      <c r="AS125" s="138" t="n"/>
      <c r="AT125" s="138" t="n"/>
      <c r="AU125" s="138" t="n"/>
      <c r="AV125" s="138" t="n"/>
      <c r="AW125" s="138" t="n"/>
      <c r="AX125" s="138" t="n"/>
      <c r="AY125" s="138" t="n"/>
      <c r="AZ125" s="138" t="n"/>
      <c r="BA125" s="138" t="n"/>
      <c r="BB125" s="11" t="n"/>
      <c r="BC125" s="129" t="n"/>
      <c r="BD125" s="14" t="n"/>
      <c r="BE125" s="14" t="n"/>
      <c r="BF125" s="14" t="n"/>
      <c r="BG125" s="14" t="n"/>
      <c r="BH125" s="14" t="n"/>
    </row>
    <row r="126">
      <c r="A126" s="14" t="n"/>
      <c r="B126" s="14" t="n"/>
      <c r="C126" s="23" t="inlineStr">
        <is>
          <t>RPO BP</t>
        </is>
      </c>
      <c r="E126" s="138" t="n"/>
      <c r="F126" s="138" t="n"/>
      <c r="G126" s="138" t="n"/>
      <c r="H126" s="138" t="n"/>
      <c r="I126" s="138" t="n"/>
      <c r="J126" s="138" t="n"/>
      <c r="K126" s="138" t="n"/>
      <c r="L126" s="138" t="n"/>
      <c r="M126" s="138" t="n"/>
      <c r="N126" s="138" t="n"/>
      <c r="O126" s="138" t="n"/>
      <c r="P126" s="138" t="n"/>
      <c r="Q126" s="138" t="n"/>
      <c r="R126" s="138" t="n"/>
      <c r="S126" s="138" t="n"/>
      <c r="T126" s="138" t="n"/>
      <c r="U126" s="138" t="n"/>
      <c r="V126" s="138" t="n"/>
      <c r="W126" s="138" t="n"/>
      <c r="X126" s="138" t="n"/>
      <c r="Y126" s="138" t="n"/>
      <c r="Z126" s="138" t="n"/>
      <c r="AA126" s="138" t="n"/>
      <c r="AB126" s="138" t="n"/>
      <c r="AC126" s="41" t="n"/>
      <c r="AD126" s="138" t="n"/>
      <c r="AE126" s="138" t="n"/>
      <c r="AF126" s="138" t="n"/>
      <c r="AG126" s="138" t="n"/>
      <c r="AH126" s="138" t="n"/>
      <c r="AI126" s="138" t="n"/>
      <c r="AJ126" s="138" t="n"/>
      <c r="AK126" s="138" t="n"/>
      <c r="AL126" s="138" t="n"/>
      <c r="AM126" s="138" t="n"/>
      <c r="AN126" s="138" t="n"/>
      <c r="AO126" s="138" t="n"/>
      <c r="AP126" s="138" t="n"/>
      <c r="AQ126" s="138" t="n"/>
      <c r="AR126" s="138" t="n"/>
      <c r="AS126" s="138" t="n"/>
      <c r="AT126" s="138" t="n"/>
      <c r="AU126" s="138" t="n"/>
      <c r="AV126" s="138" t="n"/>
      <c r="AW126" s="138" t="n"/>
      <c r="AX126" s="138" t="n"/>
      <c r="AY126" s="138" t="n"/>
      <c r="AZ126" s="138" t="n"/>
      <c r="BA126" s="138" t="n"/>
      <c r="BB126" s="11" t="n"/>
      <c r="BC126" s="129" t="n"/>
      <c r="BD126" s="14" t="n"/>
      <c r="BE126" s="14" t="n"/>
      <c r="BF126" s="14" t="n"/>
      <c r="BG126" s="14" t="n"/>
      <c r="BH126" s="14" t="n"/>
    </row>
    <row r="127">
      <c r="A127" s="14" t="n"/>
      <c r="B127" s="14" t="n"/>
      <c r="C127" s="23" t="inlineStr">
        <is>
          <t>Invalid PLOT</t>
        </is>
      </c>
      <c r="E127" s="138" t="n"/>
      <c r="F127" s="138" t="n"/>
      <c r="G127" s="138" t="n"/>
      <c r="H127" s="138" t="n"/>
      <c r="I127" s="138" t="n"/>
      <c r="J127" s="138" t="n"/>
      <c r="K127" s="138" t="n"/>
      <c r="L127" s="138" t="n"/>
      <c r="M127" s="138" t="n"/>
      <c r="N127" s="138" t="n"/>
      <c r="O127" s="138" t="n"/>
      <c r="P127" s="138" t="n"/>
      <c r="Q127" s="138" t="n"/>
      <c r="R127" s="138" t="n"/>
      <c r="S127" s="138" t="n"/>
      <c r="T127" s="138" t="n"/>
      <c r="U127" s="138" t="n"/>
      <c r="V127" s="138" t="n"/>
      <c r="W127" s="138" t="n"/>
      <c r="X127" s="138" t="n"/>
      <c r="Y127" s="138" t="n"/>
      <c r="Z127" s="138" t="n"/>
      <c r="AA127" s="138" t="n"/>
      <c r="AB127" s="138" t="n"/>
      <c r="AC127" s="41" t="n"/>
      <c r="AD127" s="138" t="n"/>
      <c r="AE127" s="138" t="n"/>
      <c r="AF127" s="138" t="n"/>
      <c r="AG127" s="138" t="n"/>
      <c r="AH127" s="138" t="n"/>
      <c r="AI127" s="138" t="n"/>
      <c r="AJ127" s="138" t="n"/>
      <c r="AK127" s="138" t="n"/>
      <c r="AL127" s="138" t="n"/>
      <c r="AM127" s="138" t="n"/>
      <c r="AN127" s="138" t="n"/>
      <c r="AO127" s="138" t="n"/>
      <c r="AP127" s="138" t="n"/>
      <c r="AQ127" s="138" t="n"/>
      <c r="AR127" s="138" t="n"/>
      <c r="AS127" s="138" t="n"/>
      <c r="AT127" s="138" t="n"/>
      <c r="AU127" s="138" t="n"/>
      <c r="AV127" s="138" t="n"/>
      <c r="AW127" s="138" t="n"/>
      <c r="AX127" s="138" t="n"/>
      <c r="AY127" s="138" t="n"/>
      <c r="AZ127" s="138" t="n"/>
      <c r="BA127" s="138" t="n"/>
      <c r="BB127" s="11" t="n"/>
      <c r="BC127" s="129" t="n"/>
      <c r="BD127" s="14" t="n"/>
      <c r="BE127" s="14" t="n"/>
      <c r="BF127" s="14" t="n"/>
      <c r="BG127" s="14" t="n"/>
      <c r="BH127" s="14" t="n"/>
    </row>
    <row r="128">
      <c r="A128" s="14" t="n"/>
      <c r="B128" s="14" t="n"/>
      <c r="C128" s="23" t="inlineStr">
        <is>
          <t>Invalid BP</t>
        </is>
      </c>
      <c r="E128" s="138" t="n"/>
      <c r="F128" s="138" t="n"/>
      <c r="G128" s="138" t="n"/>
      <c r="H128" s="138" t="n"/>
      <c r="I128" s="138" t="n"/>
      <c r="J128" s="138" t="n"/>
      <c r="K128" s="138" t="n"/>
      <c r="L128" s="138" t="n"/>
      <c r="M128" s="138" t="n"/>
      <c r="N128" s="138" t="n"/>
      <c r="O128" s="138" t="n"/>
      <c r="P128" s="138" t="n"/>
      <c r="Q128" s="138" t="n"/>
      <c r="R128" s="138" t="n"/>
      <c r="S128" s="138" t="n"/>
      <c r="T128" s="138" t="n"/>
      <c r="U128" s="138" t="n"/>
      <c r="V128" s="138" t="n"/>
      <c r="W128" s="138" t="n"/>
      <c r="X128" s="138" t="n"/>
      <c r="Y128" s="138" t="n"/>
      <c r="Z128" s="138" t="n"/>
      <c r="AA128" s="138" t="n"/>
      <c r="AB128" s="138" t="n"/>
      <c r="AC128" s="41" t="n"/>
      <c r="AD128" s="138" t="n"/>
      <c r="AE128" s="138" t="n"/>
      <c r="AF128" s="138" t="n"/>
      <c r="AG128" s="138" t="n"/>
      <c r="AH128" s="138" t="n"/>
      <c r="AI128" s="138" t="n"/>
      <c r="AJ128" s="138" t="n"/>
      <c r="AK128" s="138" t="n"/>
      <c r="AL128" s="138" t="n"/>
      <c r="AM128" s="138" t="n"/>
      <c r="AN128" s="138" t="n"/>
      <c r="AO128" s="138" t="n"/>
      <c r="AP128" s="138" t="n"/>
      <c r="AQ128" s="138" t="n"/>
      <c r="AR128" s="138" t="n"/>
      <c r="AS128" s="138" t="n"/>
      <c r="AT128" s="138" t="n"/>
      <c r="AU128" s="138" t="n"/>
      <c r="AV128" s="138" t="n"/>
      <c r="AW128" s="138" t="n"/>
      <c r="AX128" s="138" t="n"/>
      <c r="AY128" s="138" t="n"/>
      <c r="AZ128" s="138" t="n"/>
      <c r="BA128" s="138" t="n"/>
      <c r="BB128" s="11" t="n"/>
      <c r="BC128" s="129" t="n"/>
      <c r="BD128" s="14" t="n"/>
      <c r="BE128" s="14" t="n"/>
      <c r="BF128" s="14" t="n"/>
      <c r="BG128" s="14" t="n"/>
      <c r="BH128" s="14" t="n"/>
    </row>
    <row r="129" ht="69.95" customHeight="1">
      <c r="A129" s="14" t="n"/>
      <c r="B129" s="14" t="n"/>
      <c r="C129" s="24" t="inlineStr">
        <is>
          <t>Op Log</t>
        </is>
      </c>
      <c r="E129" s="316" t="n"/>
      <c r="F129" s="322" t="n"/>
      <c r="G129" s="322" t="n"/>
      <c r="H129" s="322" t="n"/>
      <c r="I129" s="322" t="n"/>
      <c r="J129" s="322" t="n"/>
      <c r="K129" s="322" t="n"/>
      <c r="L129" s="322" t="n"/>
      <c r="M129" s="322" t="n"/>
      <c r="N129" s="322" t="n"/>
      <c r="O129" s="322" t="n"/>
      <c r="P129" s="322" t="n"/>
      <c r="Q129" s="322" t="n"/>
      <c r="R129" s="322" t="n"/>
      <c r="S129" s="322" t="n"/>
      <c r="T129" s="322" t="n"/>
      <c r="U129" s="322" t="n"/>
      <c r="V129" s="322" t="n"/>
      <c r="W129" s="322" t="n"/>
      <c r="X129" s="322" t="n"/>
      <c r="Y129" s="322" t="n"/>
      <c r="Z129" s="322" t="n"/>
      <c r="AA129" s="322" t="n"/>
      <c r="AB129" s="322" t="n"/>
      <c r="AC129" s="32" t="n"/>
      <c r="AD129" s="316" t="n"/>
      <c r="AE129" s="322" t="n"/>
      <c r="AF129" s="322" t="n"/>
      <c r="AG129" s="322" t="n"/>
      <c r="AH129" s="322" t="n"/>
      <c r="AI129" s="322" t="n"/>
      <c r="AJ129" s="322" t="n"/>
      <c r="AK129" s="322" t="n"/>
      <c r="AL129" s="322" t="n"/>
      <c r="AM129" s="322" t="n"/>
      <c r="AN129" s="322" t="n"/>
      <c r="AO129" s="322" t="n"/>
      <c r="AP129" s="322" t="n"/>
      <c r="AQ129" s="322" t="n"/>
      <c r="AR129" s="322" t="n"/>
      <c r="AS129" s="322" t="n"/>
      <c r="AT129" s="322" t="n"/>
      <c r="AU129" s="322" t="n"/>
      <c r="AV129" s="322" t="n"/>
      <c r="AW129" s="322" t="n"/>
      <c r="AX129" s="322" t="n"/>
      <c r="AY129" s="322" t="n"/>
      <c r="AZ129" s="322" t="n"/>
      <c r="BA129" s="322" t="n"/>
      <c r="BB129" s="11" t="n"/>
      <c r="BC129" s="129" t="n"/>
      <c r="BD129" s="14" t="n"/>
      <c r="BE129" s="14" t="n"/>
      <c r="BF129" s="14" t="n"/>
      <c r="BG129" s="14" t="n"/>
      <c r="BH129" s="14" t="n"/>
    </row>
    <row r="130" ht="43.5" customHeight="1">
      <c r="A130" s="14" t="n"/>
      <c r="B130" s="14" t="n"/>
      <c r="C130" s="24" t="inlineStr">
        <is>
          <t>Notes:</t>
        </is>
      </c>
      <c r="E130" s="321" t="n"/>
      <c r="F130" s="322" t="n"/>
      <c r="G130" s="322" t="n"/>
      <c r="H130" s="322" t="n"/>
      <c r="I130" s="322" t="n"/>
      <c r="J130" s="322" t="n"/>
      <c r="K130" s="322" t="n"/>
      <c r="L130" s="322" t="n"/>
      <c r="M130" s="322" t="n"/>
      <c r="N130" s="322" t="n"/>
      <c r="O130" s="322" t="n"/>
      <c r="P130" s="323" t="n"/>
      <c r="Q130" s="324" t="n"/>
      <c r="R130" s="322" t="n"/>
      <c r="S130" s="322" t="n"/>
      <c r="T130" s="322" t="n"/>
      <c r="U130" s="322" t="n"/>
      <c r="V130" s="322" t="n"/>
      <c r="W130" s="322" t="n"/>
      <c r="X130" s="322" t="n"/>
      <c r="Y130" s="322" t="n"/>
      <c r="Z130" s="322" t="n"/>
      <c r="AA130" s="322" t="n"/>
      <c r="AB130" s="322" t="n"/>
      <c r="AC130" s="32" t="n"/>
      <c r="AD130" s="321" t="n"/>
      <c r="AE130" s="322" t="n"/>
      <c r="AF130" s="322" t="n"/>
      <c r="AG130" s="322" t="n"/>
      <c r="AH130" s="322" t="n"/>
      <c r="AI130" s="322" t="n"/>
      <c r="AJ130" s="322" t="n"/>
      <c r="AK130" s="322" t="n"/>
      <c r="AL130" s="322" t="n"/>
      <c r="AM130" s="322" t="n"/>
      <c r="AN130" s="322" t="n"/>
      <c r="AO130" s="323" t="n"/>
      <c r="AP130" s="324" t="n"/>
      <c r="AQ130" s="322" t="n"/>
      <c r="AR130" s="322" t="n"/>
      <c r="AS130" s="322" t="n"/>
      <c r="AT130" s="322" t="n"/>
      <c r="AU130" s="322" t="n"/>
      <c r="AV130" s="322" t="n"/>
      <c r="AW130" s="322" t="n"/>
      <c r="AX130" s="322" t="n"/>
      <c r="AY130" s="322" t="n"/>
      <c r="AZ130" s="322" t="n"/>
      <c r="BA130" s="322" t="n"/>
      <c r="BB130" s="11" t="n"/>
      <c r="BC130" s="129" t="n"/>
      <c r="BD130" s="14" t="n"/>
      <c r="BE130" s="14" t="n"/>
      <c r="BF130" s="14" t="n"/>
      <c r="BG130" s="14" t="n"/>
      <c r="BH130" s="14" t="n"/>
    </row>
    <row r="131" ht="18.75" customFormat="1" customHeight="1" s="15">
      <c r="A131" s="29" t="n"/>
      <c r="B131" s="29" t="n"/>
      <c r="E131" s="16" t="n">
        <v>23</v>
      </c>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D131" s="16" t="n">
        <v>24</v>
      </c>
      <c r="AE131" s="16" t="n"/>
      <c r="AF131" s="16" t="n"/>
      <c r="AG131" s="16" t="n"/>
      <c r="AH131" s="16" t="n"/>
      <c r="AI131" s="16" t="n"/>
      <c r="AJ131" s="16" t="n"/>
      <c r="AK131" s="16" t="n"/>
      <c r="AL131" s="16" t="n"/>
      <c r="AM131" s="16" t="n"/>
      <c r="AN131" s="16" t="n"/>
      <c r="AO131" s="16" t="n"/>
      <c r="AP131" s="16" t="n"/>
      <c r="AQ131" s="16" t="n"/>
      <c r="AR131" s="16" t="n"/>
      <c r="AS131" s="16" t="n"/>
      <c r="AT131" s="16" t="n"/>
      <c r="AU131" s="16" t="n"/>
      <c r="AV131" s="16" t="n"/>
      <c r="AW131" s="16" t="n"/>
      <c r="AX131" s="16" t="n"/>
      <c r="AY131" s="16" t="n"/>
      <c r="AZ131" s="16" t="n"/>
      <c r="BA131" s="16" t="n"/>
      <c r="BB131" s="18" t="n"/>
      <c r="BC131" s="137" t="n"/>
      <c r="BD131" s="29" t="n"/>
      <c r="BE131" s="29" t="n"/>
      <c r="BF131" s="29" t="n"/>
      <c r="BG131" s="29" t="n"/>
      <c r="BH131" s="29" t="n"/>
    </row>
    <row r="132" customFormat="1" s="27">
      <c r="A132" s="14" t="n"/>
      <c r="B132" s="14" t="n"/>
      <c r="C132" s="25" t="n"/>
      <c r="D132" s="25" t="n"/>
      <c r="E132" s="39" t="n">
        <v>0</v>
      </c>
      <c r="F132" s="39" t="n">
        <v>1</v>
      </c>
      <c r="G132" s="39" t="n">
        <v>2</v>
      </c>
      <c r="H132" s="39" t="n">
        <v>3</v>
      </c>
      <c r="I132" s="39" t="n">
        <v>4</v>
      </c>
      <c r="J132" s="39" t="n">
        <v>5</v>
      </c>
      <c r="K132" s="39" t="n">
        <v>6</v>
      </c>
      <c r="L132" s="39" t="n">
        <v>7</v>
      </c>
      <c r="M132" s="39" t="n">
        <v>8</v>
      </c>
      <c r="N132" s="39" t="n">
        <v>9</v>
      </c>
      <c r="O132" s="39" t="n">
        <v>10</v>
      </c>
      <c r="P132" s="39" t="n">
        <v>11</v>
      </c>
      <c r="Q132" s="39" t="n">
        <v>12</v>
      </c>
      <c r="R132" s="39" t="n">
        <v>13</v>
      </c>
      <c r="S132" s="39" t="n">
        <v>14</v>
      </c>
      <c r="T132" s="39" t="n">
        <v>15</v>
      </c>
      <c r="U132" s="39" t="n">
        <v>16</v>
      </c>
      <c r="V132" s="39" t="n">
        <v>17</v>
      </c>
      <c r="W132" s="39" t="n">
        <v>18</v>
      </c>
      <c r="X132" s="39" t="n">
        <v>19</v>
      </c>
      <c r="Y132" s="39" t="n">
        <v>20</v>
      </c>
      <c r="Z132" s="39" t="n">
        <v>21</v>
      </c>
      <c r="AA132" s="39" t="n">
        <v>22</v>
      </c>
      <c r="AB132" s="39" t="n">
        <v>23</v>
      </c>
      <c r="AC132" s="25" t="n"/>
      <c r="AD132" s="39" t="n">
        <v>0</v>
      </c>
      <c r="AE132" s="39" t="n">
        <v>1</v>
      </c>
      <c r="AF132" s="39" t="n">
        <v>2</v>
      </c>
      <c r="AG132" s="39" t="n">
        <v>3</v>
      </c>
      <c r="AH132" s="39" t="n">
        <v>4</v>
      </c>
      <c r="AI132" s="39" t="n">
        <v>5</v>
      </c>
      <c r="AJ132" s="39" t="n">
        <v>6</v>
      </c>
      <c r="AK132" s="39" t="n">
        <v>7</v>
      </c>
      <c r="AL132" s="39" t="n">
        <v>8</v>
      </c>
      <c r="AM132" s="39" t="n">
        <v>9</v>
      </c>
      <c r="AN132" s="39" t="n">
        <v>10</v>
      </c>
      <c r="AO132" s="39" t="n">
        <v>11</v>
      </c>
      <c r="AP132" s="39" t="n">
        <v>12</v>
      </c>
      <c r="AQ132" s="39" t="n">
        <v>13</v>
      </c>
      <c r="AR132" s="39" t="n">
        <v>14</v>
      </c>
      <c r="AS132" s="39" t="n">
        <v>15</v>
      </c>
      <c r="AT132" s="39" t="n">
        <v>16</v>
      </c>
      <c r="AU132" s="39" t="n">
        <v>17</v>
      </c>
      <c r="AV132" s="39" t="n">
        <v>18</v>
      </c>
      <c r="AW132" s="39" t="n">
        <v>19</v>
      </c>
      <c r="AX132" s="39" t="n">
        <v>20</v>
      </c>
      <c r="AY132" s="39" t="n">
        <v>21</v>
      </c>
      <c r="AZ132" s="39" t="n">
        <v>22</v>
      </c>
      <c r="BA132" s="39" t="n">
        <v>23</v>
      </c>
      <c r="BB132" s="26" t="n"/>
      <c r="BC132" s="129" t="n"/>
      <c r="BD132" s="14" t="n"/>
      <c r="BE132" s="14" t="n"/>
      <c r="BF132" s="14" t="n"/>
      <c r="BG132" s="14" t="n"/>
      <c r="BH132" s="14" t="n"/>
    </row>
    <row r="133" ht="15" customFormat="1" customHeight="1" s="27">
      <c r="A133" s="14" t="n"/>
      <c r="B133" s="14" t="n"/>
      <c r="C133" s="25" t="n"/>
      <c r="D133" s="25" t="n"/>
      <c r="E133" s="40" t="inlineStr">
        <is>
          <t>A</t>
        </is>
      </c>
      <c r="F133" s="40" t="inlineStr">
        <is>
          <t>B</t>
        </is>
      </c>
      <c r="G133" s="40" t="inlineStr">
        <is>
          <t>C</t>
        </is>
      </c>
      <c r="H133" s="40" t="inlineStr">
        <is>
          <t>D</t>
        </is>
      </c>
      <c r="I133" s="40" t="inlineStr">
        <is>
          <t>E</t>
        </is>
      </c>
      <c r="J133" s="40" t="inlineStr">
        <is>
          <t>F</t>
        </is>
      </c>
      <c r="K133" s="40" t="inlineStr">
        <is>
          <t>G</t>
        </is>
      </c>
      <c r="L133" s="40" t="inlineStr">
        <is>
          <t>H</t>
        </is>
      </c>
      <c r="M133" s="40" t="inlineStr">
        <is>
          <t>I</t>
        </is>
      </c>
      <c r="N133" s="40" t="inlineStr">
        <is>
          <t>J</t>
        </is>
      </c>
      <c r="O133" s="40" t="inlineStr">
        <is>
          <t>K</t>
        </is>
      </c>
      <c r="P133" s="40" t="inlineStr">
        <is>
          <t>L</t>
        </is>
      </c>
      <c r="Q133" s="40" t="inlineStr">
        <is>
          <t>M</t>
        </is>
      </c>
      <c r="R133" s="40" t="inlineStr">
        <is>
          <t>N</t>
        </is>
      </c>
      <c r="S133" s="40" t="inlineStr">
        <is>
          <t>O</t>
        </is>
      </c>
      <c r="T133" s="40" t="inlineStr">
        <is>
          <t>P</t>
        </is>
      </c>
      <c r="U133" s="40" t="inlineStr">
        <is>
          <t>Q</t>
        </is>
      </c>
      <c r="V133" s="40" t="inlineStr">
        <is>
          <t>R</t>
        </is>
      </c>
      <c r="W133" s="40" t="inlineStr">
        <is>
          <t>S</t>
        </is>
      </c>
      <c r="X133" s="40" t="inlineStr">
        <is>
          <t>T</t>
        </is>
      </c>
      <c r="Y133" s="40" t="inlineStr">
        <is>
          <t>U</t>
        </is>
      </c>
      <c r="Z133" s="40" t="inlineStr">
        <is>
          <t>V</t>
        </is>
      </c>
      <c r="AA133" s="40" t="inlineStr">
        <is>
          <t>W</t>
        </is>
      </c>
      <c r="AB133" s="40" t="inlineStr">
        <is>
          <t>X</t>
        </is>
      </c>
      <c r="AC133" s="25" t="n"/>
      <c r="AD133" s="40" t="inlineStr">
        <is>
          <t>A</t>
        </is>
      </c>
      <c r="AE133" s="40" t="inlineStr">
        <is>
          <t>B</t>
        </is>
      </c>
      <c r="AF133" s="40" t="inlineStr">
        <is>
          <t>C</t>
        </is>
      </c>
      <c r="AG133" s="40" t="inlineStr">
        <is>
          <t>D</t>
        </is>
      </c>
      <c r="AH133" s="40" t="inlineStr">
        <is>
          <t>E</t>
        </is>
      </c>
      <c r="AI133" s="40" t="inlineStr">
        <is>
          <t>F</t>
        </is>
      </c>
      <c r="AJ133" s="40" t="inlineStr">
        <is>
          <t>G</t>
        </is>
      </c>
      <c r="AK133" s="40" t="inlineStr">
        <is>
          <t>H</t>
        </is>
      </c>
      <c r="AL133" s="40" t="inlineStr">
        <is>
          <t>I</t>
        </is>
      </c>
      <c r="AM133" s="40" t="inlineStr">
        <is>
          <t>J</t>
        </is>
      </c>
      <c r="AN133" s="40" t="inlineStr">
        <is>
          <t>K</t>
        </is>
      </c>
      <c r="AO133" s="40" t="inlineStr">
        <is>
          <t>L</t>
        </is>
      </c>
      <c r="AP133" s="40" t="inlineStr">
        <is>
          <t>M</t>
        </is>
      </c>
      <c r="AQ133" s="40" t="inlineStr">
        <is>
          <t>N</t>
        </is>
      </c>
      <c r="AR133" s="40" t="inlineStr">
        <is>
          <t>O</t>
        </is>
      </c>
      <c r="AS133" s="40" t="inlineStr">
        <is>
          <t>P</t>
        </is>
      </c>
      <c r="AT133" s="40" t="inlineStr">
        <is>
          <t>Q</t>
        </is>
      </c>
      <c r="AU133" s="40" t="inlineStr">
        <is>
          <t>R</t>
        </is>
      </c>
      <c r="AV133" s="40" t="inlineStr">
        <is>
          <t>S</t>
        </is>
      </c>
      <c r="AW133" s="40" t="inlineStr">
        <is>
          <t>T</t>
        </is>
      </c>
      <c r="AX133" s="40" t="inlineStr">
        <is>
          <t>U</t>
        </is>
      </c>
      <c r="AY133" s="40" t="inlineStr">
        <is>
          <t>V</t>
        </is>
      </c>
      <c r="AZ133" s="40" t="inlineStr">
        <is>
          <t>W</t>
        </is>
      </c>
      <c r="BA133" s="40" t="inlineStr">
        <is>
          <t>X</t>
        </is>
      </c>
      <c r="BB133" s="26" t="n"/>
      <c r="BC133" s="129" t="n"/>
      <c r="BD133" s="14" t="n"/>
      <c r="BE133" s="14" t="n"/>
      <c r="BF133" s="14" t="n"/>
      <c r="BG133" s="14" t="n"/>
      <c r="BH133" s="14" t="n"/>
    </row>
    <row r="134">
      <c r="A134" s="14" t="n"/>
      <c r="B134" s="14" t="n"/>
      <c r="C134" s="23" t="inlineStr">
        <is>
          <t>Checked PLOT</t>
        </is>
      </c>
      <c r="E134" s="138" t="n"/>
      <c r="F134" s="138" t="n"/>
      <c r="G134" s="138" t="n"/>
      <c r="H134" s="138" t="n"/>
      <c r="I134" s="138" t="n"/>
      <c r="J134" s="138" t="n"/>
      <c r="K134" s="138" t="n"/>
      <c r="L134" s="138" t="n"/>
      <c r="M134" s="138" t="n"/>
      <c r="N134" s="138" t="n"/>
      <c r="O134" s="138" t="n"/>
      <c r="P134" s="138" t="n"/>
      <c r="Q134" s="138" t="n"/>
      <c r="R134" s="138" t="n"/>
      <c r="S134" s="138" t="n"/>
      <c r="T134" s="138" t="n"/>
      <c r="U134" s="138" t="n"/>
      <c r="V134" s="138" t="n"/>
      <c r="W134" s="138" t="n"/>
      <c r="X134" s="138" t="n"/>
      <c r="Y134" s="138" t="n"/>
      <c r="Z134" s="138" t="n"/>
      <c r="AA134" s="138" t="n"/>
      <c r="AB134" s="138" t="n"/>
      <c r="AC134" s="41" t="n"/>
      <c r="AD134" s="138" t="n"/>
      <c r="AE134" s="138" t="n"/>
      <c r="AF134" s="138" t="n"/>
      <c r="AG134" s="138" t="n"/>
      <c r="AH134" s="138" t="n"/>
      <c r="AI134" s="138" t="n"/>
      <c r="AJ134" s="138" t="n"/>
      <c r="AK134" s="138" t="n"/>
      <c r="AL134" s="138" t="n"/>
      <c r="AM134" s="138" t="n"/>
      <c r="AN134" s="138" t="n"/>
      <c r="AO134" s="138" t="n"/>
      <c r="AP134" s="138" t="n"/>
      <c r="AQ134" s="138" t="n"/>
      <c r="AR134" s="138" t="n"/>
      <c r="AS134" s="138" t="n"/>
      <c r="AT134" s="138" t="n"/>
      <c r="AU134" s="138" t="n"/>
      <c r="AV134" s="138" t="n"/>
      <c r="AW134" s="138" t="n"/>
      <c r="AX134" s="138" t="n"/>
      <c r="AY134" s="138" t="n"/>
      <c r="AZ134" s="138" t="n"/>
      <c r="BA134" s="138" t="n"/>
      <c r="BB134" s="11" t="n"/>
      <c r="BC134" s="129" t="n"/>
      <c r="BD134" s="14" t="n"/>
      <c r="BE134" s="14" t="n"/>
      <c r="BF134" s="14" t="n"/>
      <c r="BG134" s="14" t="n"/>
      <c r="BH134" s="14" t="n"/>
    </row>
    <row r="135">
      <c r="A135" s="14" t="n"/>
      <c r="B135" s="14" t="n"/>
      <c r="C135" s="23" t="inlineStr">
        <is>
          <t>RPO PLOT</t>
        </is>
      </c>
      <c r="E135" s="138" t="n"/>
      <c r="F135" s="138" t="n"/>
      <c r="G135" s="138" t="n"/>
      <c r="H135" s="138" t="n"/>
      <c r="I135" s="138" t="n"/>
      <c r="J135" s="138" t="n"/>
      <c r="K135" s="138" t="n"/>
      <c r="L135" s="138" t="n"/>
      <c r="M135" s="138" t="n"/>
      <c r="N135" s="138" t="n"/>
      <c r="O135" s="138" t="n"/>
      <c r="P135" s="138" t="n"/>
      <c r="Q135" s="138" t="n"/>
      <c r="R135" s="138" t="n"/>
      <c r="S135" s="138" t="n"/>
      <c r="T135" s="138" t="n"/>
      <c r="U135" s="138" t="n"/>
      <c r="V135" s="138" t="n"/>
      <c r="W135" s="138" t="n"/>
      <c r="X135" s="138" t="n"/>
      <c r="Y135" s="138" t="n"/>
      <c r="Z135" s="138" t="n"/>
      <c r="AA135" s="138" t="n"/>
      <c r="AB135" s="138" t="n"/>
      <c r="AC135" s="41" t="n"/>
      <c r="AD135" s="138" t="n"/>
      <c r="AE135" s="138" t="n"/>
      <c r="AF135" s="138" t="n"/>
      <c r="AG135" s="138" t="n"/>
      <c r="AH135" s="138" t="n"/>
      <c r="AI135" s="138" t="n"/>
      <c r="AJ135" s="138" t="n"/>
      <c r="AK135" s="138" t="n"/>
      <c r="AL135" s="138" t="n"/>
      <c r="AM135" s="138" t="n"/>
      <c r="AN135" s="138" t="n"/>
      <c r="AO135" s="138" t="n"/>
      <c r="AP135" s="138" t="n"/>
      <c r="AQ135" s="138" t="n"/>
      <c r="AR135" s="138" t="n"/>
      <c r="AS135" s="138" t="n"/>
      <c r="AT135" s="138" t="n"/>
      <c r="AU135" s="138" t="n"/>
      <c r="AV135" s="138" t="n"/>
      <c r="AW135" s="138" t="n"/>
      <c r="AX135" s="138" t="n"/>
      <c r="AY135" s="138" t="n"/>
      <c r="AZ135" s="138" t="n"/>
      <c r="BA135" s="138" t="n"/>
      <c r="BB135" s="11" t="n"/>
      <c r="BC135" s="129" t="n"/>
      <c r="BD135" s="14" t="n"/>
      <c r="BE135" s="14" t="n"/>
      <c r="BF135" s="14" t="n"/>
      <c r="BG135" s="14" t="n"/>
      <c r="BH135" s="14" t="n"/>
    </row>
    <row r="136">
      <c r="A136" s="14" t="n"/>
      <c r="B136" s="14" t="n"/>
      <c r="C136" s="23" t="inlineStr">
        <is>
          <t>Checked BP</t>
        </is>
      </c>
      <c r="E136" s="138" t="n"/>
      <c r="F136" s="138" t="n"/>
      <c r="G136" s="138" t="n"/>
      <c r="H136" s="138" t="n"/>
      <c r="I136" s="138" t="n"/>
      <c r="J136" s="138" t="n"/>
      <c r="K136" s="138" t="n"/>
      <c r="L136" s="138" t="n"/>
      <c r="M136" s="138" t="n"/>
      <c r="N136" s="138" t="n"/>
      <c r="O136" s="138" t="n"/>
      <c r="P136" s="138" t="n"/>
      <c r="Q136" s="138" t="n"/>
      <c r="R136" s="138" t="n"/>
      <c r="S136" s="138" t="n"/>
      <c r="T136" s="138" t="n"/>
      <c r="U136" s="138" t="n"/>
      <c r="V136" s="138" t="n"/>
      <c r="W136" s="138" t="n"/>
      <c r="X136" s="138" t="n"/>
      <c r="Y136" s="138" t="n"/>
      <c r="Z136" s="138" t="n"/>
      <c r="AA136" s="138" t="n"/>
      <c r="AB136" s="138" t="n"/>
      <c r="AC136" s="41" t="n"/>
      <c r="AD136" s="138" t="n"/>
      <c r="AE136" s="138" t="n"/>
      <c r="AF136" s="138" t="n"/>
      <c r="AG136" s="138" t="n"/>
      <c r="AH136" s="138" t="n"/>
      <c r="AI136" s="138" t="n"/>
      <c r="AJ136" s="138" t="n"/>
      <c r="AK136" s="138" t="n"/>
      <c r="AL136" s="138" t="n"/>
      <c r="AM136" s="138" t="n"/>
      <c r="AN136" s="138" t="n"/>
      <c r="AO136" s="138" t="n"/>
      <c r="AP136" s="138" t="n"/>
      <c r="AQ136" s="138" t="n"/>
      <c r="AR136" s="138" t="n"/>
      <c r="AS136" s="138" t="n"/>
      <c r="AT136" s="138" t="n"/>
      <c r="AU136" s="138" t="n"/>
      <c r="AV136" s="138" t="n"/>
      <c r="AW136" s="138" t="n"/>
      <c r="AX136" s="138" t="n"/>
      <c r="AY136" s="138" t="n"/>
      <c r="AZ136" s="138" t="n"/>
      <c r="BA136" s="138" t="n"/>
      <c r="BB136" s="11" t="n"/>
      <c r="BC136" s="129" t="n"/>
      <c r="BD136" s="14" t="n"/>
      <c r="BE136" s="14" t="n"/>
      <c r="BF136" s="14" t="n"/>
      <c r="BG136" s="14" t="n"/>
      <c r="BH136" s="14" t="n"/>
    </row>
    <row r="137">
      <c r="A137" s="14" t="n"/>
      <c r="B137" s="14" t="n"/>
      <c r="C137" s="23" t="inlineStr">
        <is>
          <t>RPO BP</t>
        </is>
      </c>
      <c r="E137" s="138" t="n"/>
      <c r="F137" s="138" t="n"/>
      <c r="G137" s="138" t="n"/>
      <c r="H137" s="138" t="n"/>
      <c r="I137" s="138" t="n"/>
      <c r="J137" s="138" t="n"/>
      <c r="K137" s="138" t="n"/>
      <c r="L137" s="138" t="n"/>
      <c r="M137" s="138" t="n"/>
      <c r="N137" s="138" t="n"/>
      <c r="O137" s="138" t="n"/>
      <c r="P137" s="138" t="n"/>
      <c r="Q137" s="138" t="n"/>
      <c r="R137" s="138" t="n"/>
      <c r="S137" s="138" t="n"/>
      <c r="T137" s="138" t="n"/>
      <c r="U137" s="138" t="n"/>
      <c r="V137" s="138" t="n"/>
      <c r="W137" s="138" t="n"/>
      <c r="X137" s="138" t="n"/>
      <c r="Y137" s="138" t="n"/>
      <c r="Z137" s="138" t="n"/>
      <c r="AA137" s="138" t="n"/>
      <c r="AB137" s="138" t="n"/>
      <c r="AC137" s="41" t="n"/>
      <c r="AD137" s="138" t="n"/>
      <c r="AE137" s="138" t="n"/>
      <c r="AF137" s="138" t="n"/>
      <c r="AG137" s="138" t="n"/>
      <c r="AH137" s="138" t="n"/>
      <c r="AI137" s="138" t="n"/>
      <c r="AJ137" s="138" t="n"/>
      <c r="AK137" s="138" t="n"/>
      <c r="AL137" s="138" t="n"/>
      <c r="AM137" s="138" t="n"/>
      <c r="AN137" s="138" t="n"/>
      <c r="AO137" s="138" t="n"/>
      <c r="AP137" s="138" t="n"/>
      <c r="AQ137" s="138" t="n"/>
      <c r="AR137" s="138" t="n"/>
      <c r="AS137" s="138" t="n"/>
      <c r="AT137" s="138" t="n"/>
      <c r="AU137" s="138" t="n"/>
      <c r="AV137" s="138" t="n"/>
      <c r="AW137" s="138" t="n"/>
      <c r="AX137" s="138" t="n"/>
      <c r="AY137" s="138" t="n"/>
      <c r="AZ137" s="138" t="n"/>
      <c r="BA137" s="138" t="n"/>
      <c r="BB137" s="11" t="n"/>
      <c r="BC137" s="129" t="n"/>
      <c r="BD137" s="14" t="n"/>
      <c r="BE137" s="14" t="n"/>
      <c r="BF137" s="14" t="n"/>
      <c r="BG137" s="14" t="n"/>
      <c r="BH137" s="14" t="n"/>
    </row>
    <row r="138">
      <c r="A138" s="14" t="n"/>
      <c r="B138" s="14" t="n"/>
      <c r="C138" s="23" t="inlineStr">
        <is>
          <t>Invalid PLOT</t>
        </is>
      </c>
      <c r="E138" s="138" t="n"/>
      <c r="F138" s="138" t="n"/>
      <c r="G138" s="138" t="n"/>
      <c r="H138" s="138" t="n"/>
      <c r="I138" s="138" t="n"/>
      <c r="J138" s="138" t="n"/>
      <c r="K138" s="138" t="n"/>
      <c r="L138" s="138" t="n"/>
      <c r="M138" s="138" t="n"/>
      <c r="N138" s="138" t="n"/>
      <c r="O138" s="138" t="n"/>
      <c r="P138" s="138" t="n"/>
      <c r="Q138" s="138" t="n"/>
      <c r="R138" s="138" t="n"/>
      <c r="S138" s="138" t="n"/>
      <c r="T138" s="138" t="n"/>
      <c r="U138" s="138" t="n"/>
      <c r="V138" s="138" t="n"/>
      <c r="W138" s="138" t="n"/>
      <c r="X138" s="138" t="n"/>
      <c r="Y138" s="138" t="n"/>
      <c r="Z138" s="138" t="n"/>
      <c r="AA138" s="138" t="n"/>
      <c r="AB138" s="138" t="n"/>
      <c r="AC138" s="41" t="n"/>
      <c r="AD138" s="138" t="n"/>
      <c r="AE138" s="138" t="n"/>
      <c r="AF138" s="138" t="n"/>
      <c r="AG138" s="138" t="n"/>
      <c r="AH138" s="138" t="n"/>
      <c r="AI138" s="138" t="n"/>
      <c r="AJ138" s="138" t="n"/>
      <c r="AK138" s="138" t="n"/>
      <c r="AL138" s="138" t="n"/>
      <c r="AM138" s="138" t="n"/>
      <c r="AN138" s="138" t="n"/>
      <c r="AO138" s="138" t="n"/>
      <c r="AP138" s="138" t="n"/>
      <c r="AQ138" s="138" t="n"/>
      <c r="AR138" s="138" t="n"/>
      <c r="AS138" s="138" t="n"/>
      <c r="AT138" s="138" t="n"/>
      <c r="AU138" s="138" t="n"/>
      <c r="AV138" s="138" t="n"/>
      <c r="AW138" s="138" t="n"/>
      <c r="AX138" s="138" t="n"/>
      <c r="AY138" s="138" t="n"/>
      <c r="AZ138" s="138" t="n"/>
      <c r="BA138" s="138" t="n"/>
      <c r="BB138" s="11" t="n"/>
      <c r="BC138" s="129" t="n"/>
      <c r="BD138" s="14" t="n"/>
      <c r="BE138" s="14" t="n"/>
      <c r="BF138" s="14" t="n"/>
      <c r="BG138" s="14" t="n"/>
      <c r="BH138" s="14" t="n"/>
    </row>
    <row r="139">
      <c r="A139" s="14" t="n"/>
      <c r="B139" s="14" t="n"/>
      <c r="C139" s="23" t="inlineStr">
        <is>
          <t>Invalid BP</t>
        </is>
      </c>
      <c r="E139" s="138" t="n"/>
      <c r="F139" s="138" t="n"/>
      <c r="G139" s="138" t="n"/>
      <c r="H139" s="138" t="n"/>
      <c r="I139" s="138" t="n"/>
      <c r="J139" s="138" t="n"/>
      <c r="K139" s="138" t="n"/>
      <c r="L139" s="138" t="n"/>
      <c r="M139" s="138" t="n"/>
      <c r="N139" s="138" t="n"/>
      <c r="O139" s="138" t="n"/>
      <c r="P139" s="138" t="n"/>
      <c r="Q139" s="138" t="n"/>
      <c r="R139" s="138" t="n"/>
      <c r="S139" s="138" t="n"/>
      <c r="T139" s="138" t="n"/>
      <c r="U139" s="138" t="n"/>
      <c r="V139" s="138" t="n"/>
      <c r="W139" s="138" t="n"/>
      <c r="X139" s="138" t="n"/>
      <c r="Y139" s="138" t="n"/>
      <c r="Z139" s="138" t="n"/>
      <c r="AA139" s="138" t="n"/>
      <c r="AB139" s="138" t="n"/>
      <c r="AC139" s="41" t="n"/>
      <c r="AD139" s="138" t="n"/>
      <c r="AE139" s="138" t="n"/>
      <c r="AF139" s="138" t="n"/>
      <c r="AG139" s="138" t="n"/>
      <c r="AH139" s="138" t="n"/>
      <c r="AI139" s="138" t="n"/>
      <c r="AJ139" s="138" t="n"/>
      <c r="AK139" s="138" t="n"/>
      <c r="AL139" s="138" t="n"/>
      <c r="AM139" s="138" t="n"/>
      <c r="AN139" s="138" t="n"/>
      <c r="AO139" s="138" t="n"/>
      <c r="AP139" s="138" t="n"/>
      <c r="AQ139" s="138" t="n"/>
      <c r="AR139" s="138" t="n"/>
      <c r="AS139" s="138" t="n"/>
      <c r="AT139" s="138" t="n"/>
      <c r="AU139" s="138" t="n"/>
      <c r="AV139" s="138" t="n"/>
      <c r="AW139" s="138" t="n"/>
      <c r="AX139" s="138" t="n"/>
      <c r="AY139" s="138" t="n"/>
      <c r="AZ139" s="138" t="n"/>
      <c r="BA139" s="138" t="n"/>
      <c r="BB139" s="11" t="n"/>
      <c r="BC139" s="129" t="n"/>
      <c r="BD139" s="14" t="n"/>
      <c r="BE139" s="14" t="n"/>
      <c r="BF139" s="14" t="n"/>
      <c r="BG139" s="14" t="n"/>
      <c r="BH139" s="14" t="n"/>
    </row>
    <row r="140" ht="80.25" customHeight="1">
      <c r="A140" s="14" t="n"/>
      <c r="B140" s="14" t="n"/>
      <c r="C140" s="24" t="inlineStr">
        <is>
          <t>Op Log</t>
        </is>
      </c>
      <c r="E140" s="316" t="n"/>
      <c r="F140" s="322" t="n"/>
      <c r="G140" s="322" t="n"/>
      <c r="H140" s="322" t="n"/>
      <c r="I140" s="322" t="n"/>
      <c r="J140" s="322" t="n"/>
      <c r="K140" s="322" t="n"/>
      <c r="L140" s="322" t="n"/>
      <c r="M140" s="322" t="n"/>
      <c r="N140" s="322" t="n"/>
      <c r="O140" s="322" t="n"/>
      <c r="P140" s="322" t="n"/>
      <c r="Q140" s="322" t="n"/>
      <c r="R140" s="322" t="n"/>
      <c r="S140" s="322" t="n"/>
      <c r="T140" s="322" t="n"/>
      <c r="U140" s="322" t="n"/>
      <c r="V140" s="322" t="n"/>
      <c r="W140" s="322" t="n"/>
      <c r="X140" s="322" t="n"/>
      <c r="Y140" s="322" t="n"/>
      <c r="Z140" s="322" t="n"/>
      <c r="AA140" s="322" t="n"/>
      <c r="AB140" s="322" t="n"/>
      <c r="AC140" s="32" t="n"/>
      <c r="AD140" s="316" t="n"/>
      <c r="AE140" s="322" t="n"/>
      <c r="AF140" s="322" t="n"/>
      <c r="AG140" s="322" t="n"/>
      <c r="AH140" s="322" t="n"/>
      <c r="AI140" s="322" t="n"/>
      <c r="AJ140" s="322" t="n"/>
      <c r="AK140" s="322" t="n"/>
      <c r="AL140" s="322" t="n"/>
      <c r="AM140" s="322" t="n"/>
      <c r="AN140" s="322" t="n"/>
      <c r="AO140" s="322" t="n"/>
      <c r="AP140" s="322" t="n"/>
      <c r="AQ140" s="322" t="n"/>
      <c r="AR140" s="322" t="n"/>
      <c r="AS140" s="322" t="n"/>
      <c r="AT140" s="322" t="n"/>
      <c r="AU140" s="322" t="n"/>
      <c r="AV140" s="322" t="n"/>
      <c r="AW140" s="322" t="n"/>
      <c r="AX140" s="322" t="n"/>
      <c r="AY140" s="322" t="n"/>
      <c r="AZ140" s="322" t="n"/>
      <c r="BA140" s="322" t="n"/>
      <c r="BB140" s="11" t="n"/>
      <c r="BC140" s="129" t="n"/>
      <c r="BD140" s="14" t="n"/>
      <c r="BE140" s="14" t="n"/>
      <c r="BF140" s="14" t="n"/>
      <c r="BG140" s="14" t="n"/>
      <c r="BH140" s="14" t="n"/>
    </row>
    <row r="141" ht="43.5" customHeight="1">
      <c r="A141" s="14" t="n"/>
      <c r="B141" s="14" t="n"/>
      <c r="C141" s="24" t="inlineStr">
        <is>
          <t>Notes:</t>
        </is>
      </c>
      <c r="E141" s="321" t="n"/>
      <c r="F141" s="322" t="n"/>
      <c r="G141" s="322" t="n"/>
      <c r="H141" s="322" t="n"/>
      <c r="I141" s="322" t="n"/>
      <c r="J141" s="322" t="n"/>
      <c r="K141" s="322" t="n"/>
      <c r="L141" s="322" t="n"/>
      <c r="M141" s="322" t="n"/>
      <c r="N141" s="322" t="n"/>
      <c r="O141" s="322" t="n"/>
      <c r="P141" s="323" t="n"/>
      <c r="Q141" s="324" t="n"/>
      <c r="R141" s="322" t="n"/>
      <c r="S141" s="322" t="n"/>
      <c r="T141" s="322" t="n"/>
      <c r="U141" s="322" t="n"/>
      <c r="V141" s="322" t="n"/>
      <c r="W141" s="322" t="n"/>
      <c r="X141" s="322" t="n"/>
      <c r="Y141" s="322" t="n"/>
      <c r="Z141" s="322" t="n"/>
      <c r="AA141" s="322" t="n"/>
      <c r="AB141" s="322" t="n"/>
      <c r="AC141" s="32" t="n"/>
      <c r="AD141" s="321" t="n"/>
      <c r="AE141" s="322" t="n"/>
      <c r="AF141" s="322" t="n"/>
      <c r="AG141" s="322" t="n"/>
      <c r="AH141" s="322" t="n"/>
      <c r="AI141" s="322" t="n"/>
      <c r="AJ141" s="322" t="n"/>
      <c r="AK141" s="322" t="n"/>
      <c r="AL141" s="322" t="n"/>
      <c r="AM141" s="322" t="n"/>
      <c r="AN141" s="322" t="n"/>
      <c r="AO141" s="323" t="n"/>
      <c r="AP141" s="324" t="n"/>
      <c r="AQ141" s="322" t="n"/>
      <c r="AR141" s="322" t="n"/>
      <c r="AS141" s="322" t="n"/>
      <c r="AT141" s="322" t="n"/>
      <c r="AU141" s="322" t="n"/>
      <c r="AV141" s="322" t="n"/>
      <c r="AW141" s="322" t="n"/>
      <c r="AX141" s="322" t="n"/>
      <c r="AY141" s="322" t="n"/>
      <c r="AZ141" s="322" t="n"/>
      <c r="BA141" s="322" t="n"/>
      <c r="BB141" s="11" t="n"/>
      <c r="BC141" s="129" t="n"/>
      <c r="BD141" s="14" t="n"/>
      <c r="BE141" s="14" t="n"/>
      <c r="BF141" s="14" t="n"/>
      <c r="BG141" s="14" t="n"/>
      <c r="BH141" s="14" t="n"/>
    </row>
    <row r="142">
      <c r="A142" s="14" t="n"/>
      <c r="B142" s="14" t="n"/>
      <c r="BB142" s="11" t="n"/>
      <c r="BC142" s="129" t="n"/>
      <c r="BD142" s="14" t="n"/>
      <c r="BE142" s="14" t="n"/>
      <c r="BF142" s="14" t="n"/>
      <c r="BG142" s="14" t="n"/>
      <c r="BH142" s="14" t="n"/>
    </row>
    <row r="143" ht="16.5" customHeight="1" thickBot="1">
      <c r="A143" s="14" t="n"/>
      <c r="B143" s="14" t="n"/>
      <c r="C143" s="315" t="inlineStr">
        <is>
          <t>Reprocess Plan</t>
        </is>
      </c>
      <c r="N143" s="12" t="inlineStr">
        <is>
          <t>Site:</t>
        </is>
      </c>
      <c r="O143" s="13" t="n"/>
      <c r="P143" s="314">
        <f>P2</f>
        <v/>
      </c>
      <c r="Q143" s="193" t="n"/>
      <c r="R143" s="193" t="n"/>
      <c r="S143" s="193" t="n"/>
      <c r="T143" s="193" t="n"/>
      <c r="U143" s="193" t="n"/>
      <c r="V143" s="12" t="inlineStr">
        <is>
          <t>Month/Year:</t>
        </is>
      </c>
      <c r="W143" s="13" t="n"/>
      <c r="X143" s="13" t="n"/>
      <c r="Y143" s="13" t="n"/>
      <c r="Z143" s="314">
        <f>Z2</f>
        <v/>
      </c>
      <c r="AA143" s="193" t="n"/>
      <c r="AB143" s="193" t="n"/>
      <c r="AC143" s="193" t="n"/>
      <c r="AD143" s="193" t="n"/>
      <c r="AE143" s="193" t="n"/>
      <c r="AZ143" s="10" t="inlineStr">
        <is>
          <t>Pg.</t>
        </is>
      </c>
      <c r="BA143" s="10" t="n">
        <v>4</v>
      </c>
      <c r="BB143" s="11" t="n"/>
      <c r="BC143" s="129" t="n"/>
      <c r="BD143" s="14" t="n"/>
      <c r="BE143" s="14" t="n"/>
      <c r="BF143" s="14" t="n"/>
      <c r="BG143" s="14" t="n"/>
      <c r="BH143" s="14" t="n"/>
    </row>
    <row r="144">
      <c r="A144" s="14" t="n"/>
      <c r="B144" s="14" t="n"/>
      <c r="N144" s="12" t="n"/>
      <c r="V144" s="12" t="n"/>
      <c r="BB144" s="11" t="n"/>
      <c r="BC144" s="129" t="n"/>
      <c r="BD144" s="14" t="n"/>
      <c r="BE144" s="14" t="n"/>
      <c r="BF144" s="14" t="n"/>
      <c r="BG144" s="14" t="n"/>
      <c r="BH144" s="14" t="n"/>
    </row>
    <row r="145" ht="18.75" customFormat="1" customHeight="1" s="15">
      <c r="A145" s="29" t="n"/>
      <c r="B145" s="29" t="n"/>
      <c r="E145" s="16" t="n">
        <v>25</v>
      </c>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D145" s="16" t="n">
        <v>26</v>
      </c>
      <c r="AE145" s="16" t="n"/>
      <c r="AF145" s="16" t="n"/>
      <c r="AG145" s="16" t="n"/>
      <c r="AH145" s="16" t="n"/>
      <c r="AI145" s="16" t="n"/>
      <c r="AJ145" s="16" t="n"/>
      <c r="AK145" s="16" t="n"/>
      <c r="AL145" s="16" t="n"/>
      <c r="AM145" s="16" t="n"/>
      <c r="AN145" s="16" t="n"/>
      <c r="AO145" s="16" t="n"/>
      <c r="AP145" s="16" t="n"/>
      <c r="AQ145" s="16" t="n"/>
      <c r="AR145" s="16" t="n"/>
      <c r="AS145" s="16" t="n"/>
      <c r="AT145" s="16" t="n"/>
      <c r="AU145" s="16" t="n"/>
      <c r="AV145" s="16" t="n"/>
      <c r="AW145" s="16" t="n"/>
      <c r="AX145" s="16" t="n"/>
      <c r="AY145" s="16" t="n"/>
      <c r="AZ145" s="16" t="n"/>
      <c r="BA145" s="16" t="n"/>
      <c r="BB145" s="18" t="n"/>
      <c r="BC145" s="130" t="n"/>
      <c r="BD145" s="325" t="inlineStr">
        <is>
          <t>CVS</t>
        </is>
      </c>
      <c r="BE145" s="322" t="n"/>
      <c r="BF145" s="322" t="n"/>
      <c r="BG145" s="322" t="n"/>
      <c r="BH145" s="323" t="n"/>
    </row>
    <row r="146" customFormat="1" s="27">
      <c r="A146" s="14" t="n"/>
      <c r="B146" s="14" t="n"/>
      <c r="C146" s="25" t="n"/>
      <c r="D146" s="25" t="n"/>
      <c r="E146" s="39" t="n">
        <v>0</v>
      </c>
      <c r="F146" s="39" t="n">
        <v>1</v>
      </c>
      <c r="G146" s="39" t="n">
        <v>2</v>
      </c>
      <c r="H146" s="39" t="n">
        <v>3</v>
      </c>
      <c r="I146" s="39" t="n">
        <v>4</v>
      </c>
      <c r="J146" s="39" t="n">
        <v>5</v>
      </c>
      <c r="K146" s="39" t="n">
        <v>6</v>
      </c>
      <c r="L146" s="39" t="n">
        <v>7</v>
      </c>
      <c r="M146" s="39" t="n">
        <v>8</v>
      </c>
      <c r="N146" s="39" t="n">
        <v>9</v>
      </c>
      <c r="O146" s="39" t="n">
        <v>10</v>
      </c>
      <c r="P146" s="39" t="n">
        <v>11</v>
      </c>
      <c r="Q146" s="39" t="n">
        <v>12</v>
      </c>
      <c r="R146" s="39" t="n">
        <v>13</v>
      </c>
      <c r="S146" s="39" t="n">
        <v>14</v>
      </c>
      <c r="T146" s="39" t="n">
        <v>15</v>
      </c>
      <c r="U146" s="39" t="n">
        <v>16</v>
      </c>
      <c r="V146" s="39" t="n">
        <v>17</v>
      </c>
      <c r="W146" s="39" t="n">
        <v>18</v>
      </c>
      <c r="X146" s="39" t="n">
        <v>19</v>
      </c>
      <c r="Y146" s="39" t="n">
        <v>20</v>
      </c>
      <c r="Z146" s="39" t="n">
        <v>21</v>
      </c>
      <c r="AA146" s="39" t="n">
        <v>22</v>
      </c>
      <c r="AB146" s="39" t="n">
        <v>23</v>
      </c>
      <c r="AC146" s="25" t="n"/>
      <c r="AD146" s="39" t="n">
        <v>0</v>
      </c>
      <c r="AE146" s="39" t="n">
        <v>1</v>
      </c>
      <c r="AF146" s="39" t="n">
        <v>2</v>
      </c>
      <c r="AG146" s="39" t="n">
        <v>3</v>
      </c>
      <c r="AH146" s="39" t="n">
        <v>4</v>
      </c>
      <c r="AI146" s="39" t="n">
        <v>5</v>
      </c>
      <c r="AJ146" s="39" t="n">
        <v>6</v>
      </c>
      <c r="AK146" s="39" t="n">
        <v>7</v>
      </c>
      <c r="AL146" s="39" t="n">
        <v>8</v>
      </c>
      <c r="AM146" s="39" t="n">
        <v>9</v>
      </c>
      <c r="AN146" s="39" t="n">
        <v>10</v>
      </c>
      <c r="AO146" s="39" t="n">
        <v>11</v>
      </c>
      <c r="AP146" s="39" t="n">
        <v>12</v>
      </c>
      <c r="AQ146" s="39" t="n">
        <v>13</v>
      </c>
      <c r="AR146" s="39" t="n">
        <v>14</v>
      </c>
      <c r="AS146" s="39" t="n">
        <v>15</v>
      </c>
      <c r="AT146" s="39" t="n">
        <v>16</v>
      </c>
      <c r="AU146" s="39" t="n">
        <v>17</v>
      </c>
      <c r="AV146" s="39" t="n">
        <v>18</v>
      </c>
      <c r="AW146" s="39" t="n">
        <v>19</v>
      </c>
      <c r="AX146" s="39" t="n">
        <v>20</v>
      </c>
      <c r="AY146" s="39" t="n">
        <v>21</v>
      </c>
      <c r="AZ146" s="39" t="n">
        <v>22</v>
      </c>
      <c r="BA146" s="39" t="n">
        <v>23</v>
      </c>
      <c r="BB146" s="26" t="n"/>
      <c r="BC146" s="28" t="n"/>
      <c r="BD146" s="326" t="inlineStr">
        <is>
          <t>Blank</t>
        </is>
      </c>
      <c r="BE146" s="322" t="n"/>
      <c r="BF146" s="322" t="n"/>
      <c r="BG146" s="322" t="n"/>
      <c r="BH146" s="323" t="n"/>
    </row>
    <row r="147" ht="15" customFormat="1" customHeight="1" s="27">
      <c r="A147" s="14" t="n"/>
      <c r="B147" s="14" t="n"/>
      <c r="C147" s="25" t="n"/>
      <c r="D147" s="25" t="n"/>
      <c r="E147" s="40" t="inlineStr">
        <is>
          <t>A</t>
        </is>
      </c>
      <c r="F147" s="40" t="inlineStr">
        <is>
          <t>B</t>
        </is>
      </c>
      <c r="G147" s="40" t="inlineStr">
        <is>
          <t>C</t>
        </is>
      </c>
      <c r="H147" s="40" t="inlineStr">
        <is>
          <t>D</t>
        </is>
      </c>
      <c r="I147" s="40" t="inlineStr">
        <is>
          <t>E</t>
        </is>
      </c>
      <c r="J147" s="40" t="inlineStr">
        <is>
          <t>F</t>
        </is>
      </c>
      <c r="K147" s="40" t="inlineStr">
        <is>
          <t>G</t>
        </is>
      </c>
      <c r="L147" s="40" t="inlineStr">
        <is>
          <t>H</t>
        </is>
      </c>
      <c r="M147" s="40" t="inlineStr">
        <is>
          <t>I</t>
        </is>
      </c>
      <c r="N147" s="40" t="inlineStr">
        <is>
          <t>J</t>
        </is>
      </c>
      <c r="O147" s="40" t="inlineStr">
        <is>
          <t>K</t>
        </is>
      </c>
      <c r="P147" s="40" t="inlineStr">
        <is>
          <t>L</t>
        </is>
      </c>
      <c r="Q147" s="40" t="inlineStr">
        <is>
          <t>M</t>
        </is>
      </c>
      <c r="R147" s="40" t="inlineStr">
        <is>
          <t>N</t>
        </is>
      </c>
      <c r="S147" s="40" t="inlineStr">
        <is>
          <t>O</t>
        </is>
      </c>
      <c r="T147" s="40" t="inlineStr">
        <is>
          <t>P</t>
        </is>
      </c>
      <c r="U147" s="40" t="inlineStr">
        <is>
          <t>Q</t>
        </is>
      </c>
      <c r="V147" s="40" t="inlineStr">
        <is>
          <t>R</t>
        </is>
      </c>
      <c r="W147" s="40" t="inlineStr">
        <is>
          <t>S</t>
        </is>
      </c>
      <c r="X147" s="40" t="inlineStr">
        <is>
          <t>T</t>
        </is>
      </c>
      <c r="Y147" s="40" t="inlineStr">
        <is>
          <t>U</t>
        </is>
      </c>
      <c r="Z147" s="40" t="inlineStr">
        <is>
          <t>V</t>
        </is>
      </c>
      <c r="AA147" s="40" t="inlineStr">
        <is>
          <t>W</t>
        </is>
      </c>
      <c r="AB147" s="40" t="inlineStr">
        <is>
          <t>X</t>
        </is>
      </c>
      <c r="AC147" s="25" t="n"/>
      <c r="AD147" s="40" t="inlineStr">
        <is>
          <t>A</t>
        </is>
      </c>
      <c r="AE147" s="40" t="inlineStr">
        <is>
          <t>B</t>
        </is>
      </c>
      <c r="AF147" s="40" t="inlineStr">
        <is>
          <t>C</t>
        </is>
      </c>
      <c r="AG147" s="40" t="inlineStr">
        <is>
          <t>D</t>
        </is>
      </c>
      <c r="AH147" s="40" t="inlineStr">
        <is>
          <t>E</t>
        </is>
      </c>
      <c r="AI147" s="40" t="inlineStr">
        <is>
          <t>F</t>
        </is>
      </c>
      <c r="AJ147" s="40" t="inlineStr">
        <is>
          <t>G</t>
        </is>
      </c>
      <c r="AK147" s="40" t="inlineStr">
        <is>
          <t>H</t>
        </is>
      </c>
      <c r="AL147" s="40" t="inlineStr">
        <is>
          <t>I</t>
        </is>
      </c>
      <c r="AM147" s="40" t="inlineStr">
        <is>
          <t>J</t>
        </is>
      </c>
      <c r="AN147" s="40" t="inlineStr">
        <is>
          <t>K</t>
        </is>
      </c>
      <c r="AO147" s="40" t="inlineStr">
        <is>
          <t>L</t>
        </is>
      </c>
      <c r="AP147" s="40" t="inlineStr">
        <is>
          <t>M</t>
        </is>
      </c>
      <c r="AQ147" s="40" t="inlineStr">
        <is>
          <t>N</t>
        </is>
      </c>
      <c r="AR147" s="40" t="inlineStr">
        <is>
          <t>O</t>
        </is>
      </c>
      <c r="AS147" s="40" t="inlineStr">
        <is>
          <t>P</t>
        </is>
      </c>
      <c r="AT147" s="40" t="inlineStr">
        <is>
          <t>Q</t>
        </is>
      </c>
      <c r="AU147" s="40" t="inlineStr">
        <is>
          <t>R</t>
        </is>
      </c>
      <c r="AV147" s="40" t="inlineStr">
        <is>
          <t>S</t>
        </is>
      </c>
      <c r="AW147" s="40" t="inlineStr">
        <is>
          <t>T</t>
        </is>
      </c>
      <c r="AX147" s="40" t="inlineStr">
        <is>
          <t>U</t>
        </is>
      </c>
      <c r="AY147" s="40" t="inlineStr">
        <is>
          <t>V</t>
        </is>
      </c>
      <c r="AZ147" s="40" t="inlineStr">
        <is>
          <t>W</t>
        </is>
      </c>
      <c r="BA147" s="40" t="inlineStr">
        <is>
          <t>X</t>
        </is>
      </c>
      <c r="BB147" s="26" t="n"/>
      <c r="BC147" s="125" t="n"/>
      <c r="BD147" s="317" t="inlineStr">
        <is>
          <t>LCS</t>
        </is>
      </c>
      <c r="BE147" s="322" t="n"/>
      <c r="BF147" s="322" t="n"/>
      <c r="BG147" s="322" t="n"/>
      <c r="BH147" s="323" t="n"/>
    </row>
    <row r="148">
      <c r="A148" s="14" t="n"/>
      <c r="B148" s="14" t="n"/>
      <c r="C148" s="23" t="inlineStr">
        <is>
          <t>Checked PLOT</t>
        </is>
      </c>
      <c r="E148" s="138" t="n"/>
      <c r="F148" s="138" t="n"/>
      <c r="G148" s="138" t="n"/>
      <c r="H148" s="138" t="n"/>
      <c r="I148" s="138" t="n"/>
      <c r="J148" s="138" t="n"/>
      <c r="K148" s="138" t="n"/>
      <c r="L148" s="138" t="n"/>
      <c r="M148" s="138" t="n"/>
      <c r="N148" s="138" t="n"/>
      <c r="O148" s="138" t="n"/>
      <c r="P148" s="138" t="n"/>
      <c r="Q148" s="138" t="n"/>
      <c r="R148" s="138" t="n"/>
      <c r="S148" s="138" t="n"/>
      <c r="T148" s="138" t="n"/>
      <c r="U148" s="138" t="n"/>
      <c r="V148" s="138" t="n"/>
      <c r="W148" s="138" t="n"/>
      <c r="X148" s="138" t="n"/>
      <c r="Y148" s="138" t="n"/>
      <c r="Z148" s="138" t="n"/>
      <c r="AA148" s="138" t="n"/>
      <c r="AB148" s="138" t="n"/>
      <c r="AC148" s="41" t="n"/>
      <c r="AD148" s="138" t="n"/>
      <c r="AE148" s="138" t="n"/>
      <c r="AF148" s="138" t="n"/>
      <c r="AG148" s="138" t="n"/>
      <c r="AH148" s="138" t="n"/>
      <c r="AI148" s="138" t="n"/>
      <c r="AJ148" s="138" t="n"/>
      <c r="AK148" s="138" t="n"/>
      <c r="AL148" s="138" t="n"/>
      <c r="AM148" s="138" t="n"/>
      <c r="AN148" s="138" t="n"/>
      <c r="AO148" s="138" t="n"/>
      <c r="AP148" s="138" t="n"/>
      <c r="AQ148" s="138" t="n"/>
      <c r="AR148" s="138" t="n"/>
      <c r="AS148" s="138" t="n"/>
      <c r="AT148" s="138" t="n"/>
      <c r="AU148" s="138" t="n"/>
      <c r="AV148" s="138" t="n"/>
      <c r="AW148" s="138" t="n"/>
      <c r="AX148" s="138" t="n"/>
      <c r="AY148" s="138" t="n"/>
      <c r="AZ148" s="138" t="n"/>
      <c r="BA148" s="138" t="n"/>
      <c r="BB148" s="11" t="n"/>
      <c r="BC148" s="126" t="n"/>
      <c r="BD148" s="317" t="inlineStr">
        <is>
          <t>RTS</t>
        </is>
      </c>
      <c r="BE148" s="322" t="n"/>
      <c r="BF148" s="322" t="n"/>
      <c r="BG148" s="322" t="n"/>
      <c r="BH148" s="323" t="n"/>
    </row>
    <row r="149">
      <c r="A149" s="14" t="n"/>
      <c r="B149" s="14" t="n"/>
      <c r="C149" s="23" t="inlineStr">
        <is>
          <t>RPO PLOT</t>
        </is>
      </c>
      <c r="E149" s="138" t="n"/>
      <c r="F149" s="138" t="n"/>
      <c r="G149" s="138" t="n"/>
      <c r="H149" s="138" t="n"/>
      <c r="I149" s="138" t="n"/>
      <c r="J149" s="138" t="n"/>
      <c r="K149" s="138" t="n"/>
      <c r="L149" s="138" t="n"/>
      <c r="M149" s="138" t="n"/>
      <c r="N149" s="138" t="n"/>
      <c r="O149" s="138" t="n"/>
      <c r="P149" s="138" t="n"/>
      <c r="Q149" s="138" t="n"/>
      <c r="R149" s="138" t="n"/>
      <c r="S149" s="138" t="n"/>
      <c r="T149" s="138" t="n"/>
      <c r="U149" s="138" t="n"/>
      <c r="V149" s="138" t="n"/>
      <c r="W149" s="138" t="n"/>
      <c r="X149" s="138" t="n"/>
      <c r="Y149" s="138" t="n"/>
      <c r="Z149" s="138" t="n"/>
      <c r="AA149" s="138" t="n"/>
      <c r="AB149" s="138" t="n"/>
      <c r="AC149" s="41" t="n"/>
      <c r="AD149" s="138" t="n"/>
      <c r="AE149" s="138" t="n"/>
      <c r="AF149" s="138" t="n"/>
      <c r="AG149" s="138" t="n"/>
      <c r="AH149" s="138" t="n"/>
      <c r="AI149" s="138" t="n"/>
      <c r="AJ149" s="138" t="n"/>
      <c r="AK149" s="138" t="n"/>
      <c r="AL149" s="138" t="n"/>
      <c r="AM149" s="138" t="n"/>
      <c r="AN149" s="138" t="n"/>
      <c r="AO149" s="138" t="n"/>
      <c r="AP149" s="138" t="n"/>
      <c r="AQ149" s="138" t="n"/>
      <c r="AR149" s="138" t="n"/>
      <c r="AS149" s="138" t="n"/>
      <c r="AT149" s="138" t="n"/>
      <c r="AU149" s="138" t="n"/>
      <c r="AV149" s="138" t="n"/>
      <c r="AW149" s="138" t="n"/>
      <c r="AX149" s="138" t="n"/>
      <c r="AY149" s="138" t="n"/>
      <c r="AZ149" s="138" t="n"/>
      <c r="BA149" s="138" t="n"/>
      <c r="BB149" s="11" t="n"/>
      <c r="BC149" s="127" t="n"/>
      <c r="BD149" s="317" t="inlineStr">
        <is>
          <t>Experimental/ Test</t>
        </is>
      </c>
      <c r="BE149" s="322" t="n"/>
      <c r="BF149" s="322" t="n"/>
      <c r="BG149" s="322" t="n"/>
      <c r="BH149" s="323" t="n"/>
    </row>
    <row r="150">
      <c r="A150" s="14" t="n"/>
      <c r="B150" s="14" t="n"/>
      <c r="C150" s="23" t="inlineStr">
        <is>
          <t>Checked BP</t>
        </is>
      </c>
      <c r="E150" s="138" t="n"/>
      <c r="F150" s="138" t="n"/>
      <c r="G150" s="138" t="n"/>
      <c r="H150" s="138" t="n"/>
      <c r="I150" s="138" t="n"/>
      <c r="J150" s="138" t="n"/>
      <c r="K150" s="138" t="n"/>
      <c r="L150" s="138" t="n"/>
      <c r="M150" s="138" t="n"/>
      <c r="N150" s="138" t="n"/>
      <c r="O150" s="138" t="n"/>
      <c r="P150" s="138" t="n"/>
      <c r="Q150" s="138" t="n"/>
      <c r="R150" s="138" t="n"/>
      <c r="S150" s="138" t="n"/>
      <c r="T150" s="138" t="n"/>
      <c r="U150" s="138" t="n"/>
      <c r="V150" s="138" t="n"/>
      <c r="W150" s="138" t="n"/>
      <c r="X150" s="138" t="n"/>
      <c r="Y150" s="138" t="n"/>
      <c r="Z150" s="138" t="n"/>
      <c r="AA150" s="138" t="n"/>
      <c r="AB150" s="138" t="n"/>
      <c r="AC150" s="41" t="n"/>
      <c r="AD150" s="138" t="n"/>
      <c r="AE150" s="138" t="n"/>
      <c r="AF150" s="138" t="n"/>
      <c r="AG150" s="138" t="n"/>
      <c r="AH150" s="138" t="n"/>
      <c r="AI150" s="138" t="n"/>
      <c r="AJ150" s="138" t="n"/>
      <c r="AK150" s="138" t="n"/>
      <c r="AL150" s="138" t="n"/>
      <c r="AM150" s="138" t="n"/>
      <c r="AN150" s="138" t="n"/>
      <c r="AO150" s="138" t="n"/>
      <c r="AP150" s="138" t="n"/>
      <c r="AQ150" s="138" t="n"/>
      <c r="AR150" s="138" t="n"/>
      <c r="AS150" s="138" t="n"/>
      <c r="AT150" s="138" t="n"/>
      <c r="AU150" s="138" t="n"/>
      <c r="AV150" s="138" t="n"/>
      <c r="AW150" s="138" t="n"/>
      <c r="AX150" s="138" t="n"/>
      <c r="AY150" s="138" t="n"/>
      <c r="AZ150" s="138" t="n"/>
      <c r="BA150" s="138" t="n"/>
      <c r="BB150" s="11" t="n"/>
      <c r="BC150" s="131" t="n"/>
      <c r="BD150" s="317" t="inlineStr">
        <is>
          <t>Missing Data</t>
        </is>
      </c>
      <c r="BE150" s="322" t="n"/>
      <c r="BF150" s="322" t="n"/>
      <c r="BG150" s="322" t="n"/>
      <c r="BH150" s="323" t="n"/>
    </row>
    <row r="151">
      <c r="A151" s="14" t="n"/>
      <c r="B151" s="14" t="n"/>
      <c r="C151" s="23" t="inlineStr">
        <is>
          <t>RPO BP</t>
        </is>
      </c>
      <c r="E151" s="138" t="n"/>
      <c r="F151" s="138" t="n"/>
      <c r="G151" s="138" t="n"/>
      <c r="H151" s="138" t="n"/>
      <c r="I151" s="138" t="n"/>
      <c r="J151" s="138" t="n"/>
      <c r="K151" s="138" t="n"/>
      <c r="L151" s="138" t="n"/>
      <c r="M151" s="138" t="n"/>
      <c r="N151" s="138" t="n"/>
      <c r="O151" s="138" t="n"/>
      <c r="P151" s="138" t="n"/>
      <c r="Q151" s="138" t="n"/>
      <c r="R151" s="138" t="n"/>
      <c r="S151" s="138" t="n"/>
      <c r="T151" s="138" t="n"/>
      <c r="U151" s="138" t="n"/>
      <c r="V151" s="138" t="n"/>
      <c r="W151" s="138" t="n"/>
      <c r="X151" s="138" t="n"/>
      <c r="Y151" s="138" t="n"/>
      <c r="Z151" s="138" t="n"/>
      <c r="AA151" s="138" t="n"/>
      <c r="AB151" s="138" t="n"/>
      <c r="AC151" s="41" t="n"/>
      <c r="AD151" s="138" t="n"/>
      <c r="AE151" s="138" t="n"/>
      <c r="AF151" s="138" t="n"/>
      <c r="AG151" s="138" t="n"/>
      <c r="AH151" s="138" t="n"/>
      <c r="AI151" s="138" t="n"/>
      <c r="AJ151" s="138" t="n"/>
      <c r="AK151" s="138" t="n"/>
      <c r="AL151" s="138" t="n"/>
      <c r="AM151" s="138" t="n"/>
      <c r="AN151" s="138" t="n"/>
      <c r="AO151" s="138" t="n"/>
      <c r="AP151" s="138" t="n"/>
      <c r="AQ151" s="138" t="n"/>
      <c r="AR151" s="138" t="n"/>
      <c r="AS151" s="138" t="n"/>
      <c r="AT151" s="138" t="n"/>
      <c r="AU151" s="138" t="n"/>
      <c r="AV151" s="138" t="n"/>
      <c r="AW151" s="138" t="n"/>
      <c r="AX151" s="138" t="n"/>
      <c r="AY151" s="138" t="n"/>
      <c r="AZ151" s="138" t="n"/>
      <c r="BA151" s="138" t="n"/>
      <c r="BB151" s="11" t="n"/>
      <c r="BC151" s="128" t="n"/>
      <c r="BD151" s="317" t="inlineStr">
        <is>
          <t>Invalidate</t>
        </is>
      </c>
      <c r="BE151" s="322" t="n"/>
      <c r="BF151" s="322" t="n"/>
      <c r="BG151" s="322" t="n"/>
      <c r="BH151" s="323" t="n"/>
    </row>
    <row r="152">
      <c r="A152" s="14" t="n"/>
      <c r="B152" s="14" t="n"/>
      <c r="C152" s="23" t="inlineStr">
        <is>
          <t>Invalid PLOT</t>
        </is>
      </c>
      <c r="E152" s="138" t="n"/>
      <c r="F152" s="138" t="n"/>
      <c r="G152" s="138" t="n"/>
      <c r="H152" s="138" t="n"/>
      <c r="I152" s="138" t="n"/>
      <c r="J152" s="138" t="n"/>
      <c r="K152" s="138" t="n"/>
      <c r="L152" s="138" t="n"/>
      <c r="M152" s="138" t="n"/>
      <c r="N152" s="138" t="n"/>
      <c r="O152" s="138" t="n"/>
      <c r="P152" s="138" t="n"/>
      <c r="Q152" s="138" t="n"/>
      <c r="R152" s="138" t="n"/>
      <c r="S152" s="138" t="n"/>
      <c r="T152" s="138" t="n"/>
      <c r="U152" s="138" t="n"/>
      <c r="V152" s="138" t="n"/>
      <c r="W152" s="138" t="n"/>
      <c r="X152" s="138" t="n"/>
      <c r="Y152" s="138" t="n"/>
      <c r="Z152" s="138" t="n"/>
      <c r="AA152" s="138" t="n"/>
      <c r="AB152" s="138" t="n"/>
      <c r="AC152" s="41" t="n"/>
      <c r="AD152" s="138" t="n"/>
      <c r="AE152" s="138" t="n"/>
      <c r="AF152" s="138" t="n"/>
      <c r="AG152" s="138" t="n"/>
      <c r="AH152" s="138" t="n"/>
      <c r="AI152" s="138" t="n"/>
      <c r="AJ152" s="138" t="n"/>
      <c r="AK152" s="138" t="n"/>
      <c r="AL152" s="138" t="n"/>
      <c r="AM152" s="138" t="n"/>
      <c r="AN152" s="138" t="n"/>
      <c r="AO152" s="138" t="n"/>
      <c r="AP152" s="138" t="n"/>
      <c r="AQ152" s="138" t="n"/>
      <c r="AR152" s="138" t="n"/>
      <c r="AS152" s="138" t="n"/>
      <c r="AT152" s="138" t="n"/>
      <c r="AU152" s="138" t="n"/>
      <c r="AV152" s="138" t="n"/>
      <c r="AW152" s="138" t="n"/>
      <c r="AX152" s="138" t="n"/>
      <c r="AY152" s="138" t="n"/>
      <c r="AZ152" s="138" t="n"/>
      <c r="BA152" s="138" t="n"/>
      <c r="BB152" s="11" t="n"/>
      <c r="BC152" s="132" t="n"/>
      <c r="BD152" s="313" t="inlineStr">
        <is>
          <t>Check this Hour</t>
        </is>
      </c>
      <c r="BE152" s="347" t="n"/>
      <c r="BF152" s="347" t="n"/>
      <c r="BG152" s="347" t="n"/>
      <c r="BH152" s="249" t="n"/>
    </row>
    <row r="153">
      <c r="A153" s="14" t="n"/>
      <c r="B153" s="14" t="n"/>
      <c r="C153" s="23" t="inlineStr">
        <is>
          <t>Invalid BP</t>
        </is>
      </c>
      <c r="E153" s="138" t="n"/>
      <c r="F153" s="138" t="n"/>
      <c r="G153" s="138" t="n"/>
      <c r="H153" s="138" t="n"/>
      <c r="I153" s="138" t="n"/>
      <c r="J153" s="138" t="n"/>
      <c r="K153" s="138" t="n"/>
      <c r="L153" s="138" t="n"/>
      <c r="M153" s="138" t="n"/>
      <c r="N153" s="138" t="n"/>
      <c r="O153" s="138" t="n"/>
      <c r="P153" s="138" t="n"/>
      <c r="Q153" s="138" t="n"/>
      <c r="R153" s="138" t="n"/>
      <c r="S153" s="138" t="n"/>
      <c r="T153" s="138" t="n"/>
      <c r="U153" s="138" t="n"/>
      <c r="V153" s="138" t="n"/>
      <c r="W153" s="138" t="n"/>
      <c r="X153" s="138" t="n"/>
      <c r="Y153" s="138" t="n"/>
      <c r="Z153" s="138" t="n"/>
      <c r="AA153" s="138" t="n"/>
      <c r="AB153" s="138" t="n"/>
      <c r="AC153" s="43" t="n"/>
      <c r="AD153" s="138" t="n"/>
      <c r="AE153" s="138" t="n"/>
      <c r="AF153" s="138" t="n"/>
      <c r="AG153" s="138" t="n"/>
      <c r="AH153" s="138" t="n"/>
      <c r="AI153" s="138" t="n"/>
      <c r="AJ153" s="138" t="n"/>
      <c r="AK153" s="138" t="n"/>
      <c r="AL153" s="138" t="n"/>
      <c r="AM153" s="138" t="n"/>
      <c r="AN153" s="138" t="n"/>
      <c r="AO153" s="138" t="n"/>
      <c r="AP153" s="138" t="n"/>
      <c r="AQ153" s="138" t="n"/>
      <c r="AR153" s="138" t="n"/>
      <c r="AS153" s="138" t="n"/>
      <c r="AT153" s="138" t="n"/>
      <c r="AU153" s="138" t="n"/>
      <c r="AV153" s="138" t="n"/>
      <c r="AW153" s="138" t="n"/>
      <c r="AX153" s="138" t="n"/>
      <c r="AY153" s="138" t="n"/>
      <c r="AZ153" s="138" t="n"/>
      <c r="BA153" s="138" t="n"/>
      <c r="BB153" s="11" t="n"/>
      <c r="BC153" s="97" t="inlineStr">
        <is>
          <t>RP</t>
        </is>
      </c>
      <c r="BD153" s="313" t="inlineStr">
        <is>
          <t>Reprocessed file</t>
        </is>
      </c>
      <c r="BE153" s="347" t="n"/>
      <c r="BF153" s="347" t="n"/>
      <c r="BG153" s="347" t="n"/>
      <c r="BH153" s="249" t="n"/>
    </row>
    <row r="154" ht="69.95" customHeight="1">
      <c r="A154" s="14" t="n"/>
      <c r="B154" s="14" t="n"/>
      <c r="C154" s="24" t="inlineStr">
        <is>
          <t>Op Log</t>
        </is>
      </c>
      <c r="E154" s="316" t="n"/>
      <c r="F154" s="322" t="n"/>
      <c r="G154" s="322" t="n"/>
      <c r="H154" s="322" t="n"/>
      <c r="I154" s="322" t="n"/>
      <c r="J154" s="322" t="n"/>
      <c r="K154" s="322" t="n"/>
      <c r="L154" s="322" t="n"/>
      <c r="M154" s="322" t="n"/>
      <c r="N154" s="322" t="n"/>
      <c r="O154" s="322" t="n"/>
      <c r="P154" s="322" t="n"/>
      <c r="Q154" s="322" t="n"/>
      <c r="R154" s="322" t="n"/>
      <c r="S154" s="322" t="n"/>
      <c r="T154" s="322" t="n"/>
      <c r="U154" s="322" t="n"/>
      <c r="V154" s="322" t="n"/>
      <c r="W154" s="322" t="n"/>
      <c r="X154" s="322" t="n"/>
      <c r="Y154" s="322" t="n"/>
      <c r="Z154" s="322" t="n"/>
      <c r="AA154" s="322" t="n"/>
      <c r="AB154" s="322" t="n"/>
      <c r="AC154" s="32" t="n"/>
      <c r="AD154" s="316" t="n"/>
      <c r="AE154" s="322" t="n"/>
      <c r="AF154" s="322" t="n"/>
      <c r="AG154" s="322" t="n"/>
      <c r="AH154" s="322" t="n"/>
      <c r="AI154" s="322" t="n"/>
      <c r="AJ154" s="322" t="n"/>
      <c r="AK154" s="322" t="n"/>
      <c r="AL154" s="322" t="n"/>
      <c r="AM154" s="322" t="n"/>
      <c r="AN154" s="322" t="n"/>
      <c r="AO154" s="322" t="n"/>
      <c r="AP154" s="322" t="n"/>
      <c r="AQ154" s="322" t="n"/>
      <c r="AR154" s="322" t="n"/>
      <c r="AS154" s="322" t="n"/>
      <c r="AT154" s="322" t="n"/>
      <c r="AU154" s="322" t="n"/>
      <c r="AV154" s="322" t="n"/>
      <c r="AW154" s="322" t="n"/>
      <c r="AX154" s="322" t="n"/>
      <c r="AY154" s="322" t="n"/>
      <c r="AZ154" s="322" t="n"/>
      <c r="BA154" s="322" t="n"/>
      <c r="BB154" s="11" t="n"/>
      <c r="BC154" s="133" t="inlineStr">
        <is>
          <t>OK</t>
        </is>
      </c>
      <c r="BD154" s="313" t="inlineStr">
        <is>
          <t>Hour reviewed and correct</t>
        </is>
      </c>
      <c r="BE154" s="347" t="n"/>
      <c r="BF154" s="347" t="n"/>
      <c r="BG154" s="347" t="n"/>
      <c r="BH154" s="249" t="n"/>
    </row>
    <row r="155" ht="43.5" customHeight="1">
      <c r="A155" s="14" t="n"/>
      <c r="B155" s="14" t="n"/>
      <c r="C155" s="24" t="inlineStr">
        <is>
          <t>Notes:</t>
        </is>
      </c>
      <c r="E155" s="321" t="n"/>
      <c r="F155" s="322" t="n"/>
      <c r="G155" s="322" t="n"/>
      <c r="H155" s="322" t="n"/>
      <c r="I155" s="322" t="n"/>
      <c r="J155" s="322" t="n"/>
      <c r="K155" s="322" t="n"/>
      <c r="L155" s="322" t="n"/>
      <c r="M155" s="322" t="n"/>
      <c r="N155" s="322" t="n"/>
      <c r="O155" s="322" t="n"/>
      <c r="P155" s="323" t="n"/>
      <c r="Q155" s="324" t="n"/>
      <c r="R155" s="322" t="n"/>
      <c r="S155" s="322" t="n"/>
      <c r="T155" s="322" t="n"/>
      <c r="U155" s="322" t="n"/>
      <c r="V155" s="322" t="n"/>
      <c r="W155" s="322" t="n"/>
      <c r="X155" s="322" t="n"/>
      <c r="Y155" s="322" t="n"/>
      <c r="Z155" s="322" t="n"/>
      <c r="AA155" s="322" t="n"/>
      <c r="AB155" s="322" t="n"/>
      <c r="AC155" s="32" t="n"/>
      <c r="AD155" s="321" t="n"/>
      <c r="AE155" s="322" t="n"/>
      <c r="AF155" s="322" t="n"/>
      <c r="AG155" s="322" t="n"/>
      <c r="AH155" s="322" t="n"/>
      <c r="AI155" s="322" t="n"/>
      <c r="AJ155" s="322" t="n"/>
      <c r="AK155" s="322" t="n"/>
      <c r="AL155" s="322" t="n"/>
      <c r="AM155" s="322" t="n"/>
      <c r="AN155" s="322" t="n"/>
      <c r="AO155" s="323" t="n"/>
      <c r="AP155" s="324" t="n"/>
      <c r="AQ155" s="322" t="n"/>
      <c r="AR155" s="322" t="n"/>
      <c r="AS155" s="322" t="n"/>
      <c r="AT155" s="322" t="n"/>
      <c r="AU155" s="322" t="n"/>
      <c r="AV155" s="322" t="n"/>
      <c r="AW155" s="322" t="n"/>
      <c r="AX155" s="322" t="n"/>
      <c r="AY155" s="322" t="n"/>
      <c r="AZ155" s="322" t="n"/>
      <c r="BA155" s="322" t="n"/>
      <c r="BB155" s="11" t="n"/>
      <c r="BC155" s="134" t="n"/>
      <c r="BD155" s="317" t="inlineStr">
        <is>
          <t>Multipoint</t>
        </is>
      </c>
      <c r="BE155" s="322" t="n"/>
      <c r="BF155" s="322" t="n"/>
      <c r="BG155" s="322" t="n"/>
      <c r="BH155" s="323" t="n"/>
    </row>
    <row r="156" ht="18.75" customFormat="1" customHeight="1" s="15">
      <c r="A156" s="29" t="n"/>
      <c r="B156" s="29" t="n"/>
      <c r="E156" s="16" t="n">
        <v>27</v>
      </c>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D156" s="16" t="n">
        <v>28</v>
      </c>
      <c r="AE156" s="16" t="n"/>
      <c r="AF156" s="16" t="n"/>
      <c r="AG156" s="16" t="n"/>
      <c r="AH156" s="16" t="n"/>
      <c r="AI156" s="16" t="n"/>
      <c r="AJ156" s="16" t="n"/>
      <c r="AK156" s="16" t="n"/>
      <c r="AL156" s="16" t="n"/>
      <c r="AM156" s="16" t="n"/>
      <c r="AN156" s="16" t="n"/>
      <c r="AO156" s="16" t="n"/>
      <c r="AP156" s="16" t="n"/>
      <c r="AQ156" s="16" t="n"/>
      <c r="AR156" s="16" t="n"/>
      <c r="AS156" s="16" t="n"/>
      <c r="AT156" s="16" t="n"/>
      <c r="AU156" s="16" t="n"/>
      <c r="AV156" s="16" t="n"/>
      <c r="AW156" s="16" t="n"/>
      <c r="AX156" s="16" t="n"/>
      <c r="AY156" s="16" t="n"/>
      <c r="AZ156" s="16" t="n"/>
      <c r="BA156" s="16" t="n"/>
      <c r="BB156" s="18" t="n"/>
      <c r="BC156" s="135" t="n"/>
      <c r="BD156" s="313" t="inlineStr">
        <is>
          <t>Detection Limit</t>
        </is>
      </c>
      <c r="BE156" s="347" t="n"/>
      <c r="BF156" s="347" t="n"/>
      <c r="BG156" s="347" t="n"/>
      <c r="BH156" s="249" t="n"/>
    </row>
    <row r="157" customFormat="1" s="27">
      <c r="A157" s="14" t="n"/>
      <c r="B157" s="14" t="n"/>
      <c r="C157" s="25" t="n"/>
      <c r="D157" s="25" t="n"/>
      <c r="E157" s="39" t="n">
        <v>0</v>
      </c>
      <c r="F157" s="39" t="n">
        <v>1</v>
      </c>
      <c r="G157" s="39" t="n">
        <v>2</v>
      </c>
      <c r="H157" s="39" t="n">
        <v>3</v>
      </c>
      <c r="I157" s="39" t="n">
        <v>4</v>
      </c>
      <c r="J157" s="39" t="n">
        <v>5</v>
      </c>
      <c r="K157" s="39" t="n">
        <v>6</v>
      </c>
      <c r="L157" s="39" t="n">
        <v>7</v>
      </c>
      <c r="M157" s="39" t="n">
        <v>8</v>
      </c>
      <c r="N157" s="39" t="n">
        <v>9</v>
      </c>
      <c r="O157" s="39" t="n">
        <v>10</v>
      </c>
      <c r="P157" s="39" t="n">
        <v>11</v>
      </c>
      <c r="Q157" s="39" t="n">
        <v>12</v>
      </c>
      <c r="R157" s="39" t="n">
        <v>13</v>
      </c>
      <c r="S157" s="39" t="n">
        <v>14</v>
      </c>
      <c r="T157" s="39" t="n">
        <v>15</v>
      </c>
      <c r="U157" s="39" t="n">
        <v>16</v>
      </c>
      <c r="V157" s="39" t="n">
        <v>17</v>
      </c>
      <c r="W157" s="39" t="n">
        <v>18</v>
      </c>
      <c r="X157" s="39" t="n">
        <v>19</v>
      </c>
      <c r="Y157" s="39" t="n">
        <v>20</v>
      </c>
      <c r="Z157" s="39" t="n">
        <v>21</v>
      </c>
      <c r="AA157" s="39" t="n">
        <v>22</v>
      </c>
      <c r="AB157" s="39" t="n">
        <v>23</v>
      </c>
      <c r="AC157" s="25" t="n"/>
      <c r="AD157" s="39" t="n">
        <v>0</v>
      </c>
      <c r="AE157" s="39" t="n">
        <v>1</v>
      </c>
      <c r="AF157" s="39" t="n">
        <v>2</v>
      </c>
      <c r="AG157" s="39" t="n">
        <v>3</v>
      </c>
      <c r="AH157" s="39" t="n">
        <v>4</v>
      </c>
      <c r="AI157" s="39" t="n">
        <v>5</v>
      </c>
      <c r="AJ157" s="39" t="n">
        <v>6</v>
      </c>
      <c r="AK157" s="39" t="n">
        <v>7</v>
      </c>
      <c r="AL157" s="39" t="n">
        <v>8</v>
      </c>
      <c r="AM157" s="39" t="n">
        <v>9</v>
      </c>
      <c r="AN157" s="39" t="n">
        <v>10</v>
      </c>
      <c r="AO157" s="39" t="n">
        <v>11</v>
      </c>
      <c r="AP157" s="39" t="n">
        <v>12</v>
      </c>
      <c r="AQ157" s="39" t="n">
        <v>13</v>
      </c>
      <c r="AR157" s="39" t="n">
        <v>14</v>
      </c>
      <c r="AS157" s="39" t="n">
        <v>15</v>
      </c>
      <c r="AT157" s="39" t="n">
        <v>16</v>
      </c>
      <c r="AU157" s="39" t="n">
        <v>17</v>
      </c>
      <c r="AV157" s="39" t="n">
        <v>18</v>
      </c>
      <c r="AW157" s="39" t="n">
        <v>19</v>
      </c>
      <c r="AX157" s="39" t="n">
        <v>20</v>
      </c>
      <c r="AY157" s="39" t="n">
        <v>21</v>
      </c>
      <c r="AZ157" s="39" t="n">
        <v>22</v>
      </c>
      <c r="BA157" s="39" t="n">
        <v>23</v>
      </c>
      <c r="BC157" s="133" t="inlineStr">
        <is>
          <t>SB</t>
        </is>
      </c>
      <c r="BD157" s="313" t="inlineStr">
        <is>
          <t>See Below</t>
        </is>
      </c>
      <c r="BE157" s="347" t="n"/>
      <c r="BF157" s="347" t="n"/>
      <c r="BG157" s="347" t="n"/>
      <c r="BH157" s="249" t="n"/>
    </row>
    <row r="158" ht="15" customFormat="1" customHeight="1" s="27">
      <c r="A158" s="14" t="n"/>
      <c r="B158" s="14" t="n"/>
      <c r="C158" s="25" t="n"/>
      <c r="D158" s="25" t="n"/>
      <c r="E158" s="40" t="inlineStr">
        <is>
          <t>A</t>
        </is>
      </c>
      <c r="F158" s="40" t="inlineStr">
        <is>
          <t>B</t>
        </is>
      </c>
      <c r="G158" s="40" t="inlineStr">
        <is>
          <t>C</t>
        </is>
      </c>
      <c r="H158" s="40" t="inlineStr">
        <is>
          <t>D</t>
        </is>
      </c>
      <c r="I158" s="40" t="inlineStr">
        <is>
          <t>E</t>
        </is>
      </c>
      <c r="J158" s="40" t="inlineStr">
        <is>
          <t>F</t>
        </is>
      </c>
      <c r="K158" s="40" t="inlineStr">
        <is>
          <t>G</t>
        </is>
      </c>
      <c r="L158" s="40" t="inlineStr">
        <is>
          <t>H</t>
        </is>
      </c>
      <c r="M158" s="40" t="inlineStr">
        <is>
          <t>I</t>
        </is>
      </c>
      <c r="N158" s="40" t="inlineStr">
        <is>
          <t>J</t>
        </is>
      </c>
      <c r="O158" s="40" t="inlineStr">
        <is>
          <t>K</t>
        </is>
      </c>
      <c r="P158" s="40" t="inlineStr">
        <is>
          <t>L</t>
        </is>
      </c>
      <c r="Q158" s="40" t="inlineStr">
        <is>
          <t>M</t>
        </is>
      </c>
      <c r="R158" s="40" t="inlineStr">
        <is>
          <t>N</t>
        </is>
      </c>
      <c r="S158" s="40" t="inlineStr">
        <is>
          <t>O</t>
        </is>
      </c>
      <c r="T158" s="40" t="inlineStr">
        <is>
          <t>P</t>
        </is>
      </c>
      <c r="U158" s="40" t="inlineStr">
        <is>
          <t>Q</t>
        </is>
      </c>
      <c r="V158" s="40" t="inlineStr">
        <is>
          <t>R</t>
        </is>
      </c>
      <c r="W158" s="40" t="inlineStr">
        <is>
          <t>S</t>
        </is>
      </c>
      <c r="X158" s="40" t="inlineStr">
        <is>
          <t>T</t>
        </is>
      </c>
      <c r="Y158" s="40" t="inlineStr">
        <is>
          <t>U</t>
        </is>
      </c>
      <c r="Z158" s="40" t="inlineStr">
        <is>
          <t>V</t>
        </is>
      </c>
      <c r="AA158" s="40" t="inlineStr">
        <is>
          <t>W</t>
        </is>
      </c>
      <c r="AB158" s="40" t="inlineStr">
        <is>
          <t>X</t>
        </is>
      </c>
      <c r="AC158" s="25" t="n"/>
      <c r="AD158" s="40" t="inlineStr">
        <is>
          <t>A</t>
        </is>
      </c>
      <c r="AE158" s="40" t="inlineStr">
        <is>
          <t>B</t>
        </is>
      </c>
      <c r="AF158" s="40" t="inlineStr">
        <is>
          <t>C</t>
        </is>
      </c>
      <c r="AG158" s="40" t="inlineStr">
        <is>
          <t>D</t>
        </is>
      </c>
      <c r="AH158" s="40" t="inlineStr">
        <is>
          <t>E</t>
        </is>
      </c>
      <c r="AI158" s="40" t="inlineStr">
        <is>
          <t>F</t>
        </is>
      </c>
      <c r="AJ158" s="40" t="inlineStr">
        <is>
          <t>G</t>
        </is>
      </c>
      <c r="AK158" s="40" t="inlineStr">
        <is>
          <t>H</t>
        </is>
      </c>
      <c r="AL158" s="40" t="inlineStr">
        <is>
          <t>I</t>
        </is>
      </c>
      <c r="AM158" s="40" t="inlineStr">
        <is>
          <t>J</t>
        </is>
      </c>
      <c r="AN158" s="40" t="inlineStr">
        <is>
          <t>K</t>
        </is>
      </c>
      <c r="AO158" s="40" t="inlineStr">
        <is>
          <t>L</t>
        </is>
      </c>
      <c r="AP158" s="40" t="inlineStr">
        <is>
          <t>M</t>
        </is>
      </c>
      <c r="AQ158" s="40" t="inlineStr">
        <is>
          <t>N</t>
        </is>
      </c>
      <c r="AR158" s="40" t="inlineStr">
        <is>
          <t>O</t>
        </is>
      </c>
      <c r="AS158" s="40" t="inlineStr">
        <is>
          <t>P</t>
        </is>
      </c>
      <c r="AT158" s="40" t="inlineStr">
        <is>
          <t>Q</t>
        </is>
      </c>
      <c r="AU158" s="40" t="inlineStr">
        <is>
          <t>R</t>
        </is>
      </c>
      <c r="AV158" s="40" t="inlineStr">
        <is>
          <t>S</t>
        </is>
      </c>
      <c r="AW158" s="40" t="inlineStr">
        <is>
          <t>T</t>
        </is>
      </c>
      <c r="AX158" s="40" t="inlineStr">
        <is>
          <t>U</t>
        </is>
      </c>
      <c r="AY158" s="40" t="inlineStr">
        <is>
          <t>V</t>
        </is>
      </c>
      <c r="AZ158" s="40" t="inlineStr">
        <is>
          <t>W</t>
        </is>
      </c>
      <c r="BA158" s="40" t="inlineStr">
        <is>
          <t>X</t>
        </is>
      </c>
      <c r="BC158" s="136" t="n"/>
    </row>
    <row r="159">
      <c r="A159" s="14" t="n"/>
      <c r="B159" s="14" t="n"/>
      <c r="C159" s="23" t="inlineStr">
        <is>
          <t>Checked PLOT</t>
        </is>
      </c>
      <c r="E159" s="138" t="n"/>
      <c r="F159" s="138" t="n"/>
      <c r="G159" s="138" t="n"/>
      <c r="H159" s="138" t="n"/>
      <c r="I159" s="138" t="n"/>
      <c r="J159" s="138" t="n"/>
      <c r="K159" s="138" t="n"/>
      <c r="L159" s="138" t="n"/>
      <c r="M159" s="138" t="n"/>
      <c r="N159" s="138" t="n"/>
      <c r="O159" s="138" t="n"/>
      <c r="P159" s="138" t="n"/>
      <c r="Q159" s="138" t="n"/>
      <c r="R159" s="138" t="n"/>
      <c r="S159" s="138" t="n"/>
      <c r="T159" s="138" t="n"/>
      <c r="U159" s="138" t="n"/>
      <c r="V159" s="138" t="n"/>
      <c r="W159" s="138" t="n"/>
      <c r="X159" s="138" t="n"/>
      <c r="Y159" s="138" t="n"/>
      <c r="Z159" s="138" t="n"/>
      <c r="AA159" s="138" t="n"/>
      <c r="AB159" s="138" t="n"/>
      <c r="AC159" s="41" t="n"/>
      <c r="AD159" s="138" t="n"/>
      <c r="AE159" s="138" t="n"/>
      <c r="AF159" s="138" t="n"/>
      <c r="AG159" s="138" t="n"/>
      <c r="AH159" s="138" t="n"/>
      <c r="AI159" s="138" t="n"/>
      <c r="AJ159" s="138" t="n"/>
      <c r="AK159" s="138" t="n"/>
      <c r="AL159" s="138" t="n"/>
      <c r="AM159" s="138" t="n"/>
      <c r="AN159" s="138" t="n"/>
      <c r="AO159" s="138" t="n"/>
      <c r="AP159" s="138" t="n"/>
      <c r="AQ159" s="138" t="n"/>
      <c r="AR159" s="138" t="n"/>
      <c r="AS159" s="138" t="n"/>
      <c r="AT159" s="138" t="n"/>
      <c r="AU159" s="138" t="n"/>
      <c r="AV159" s="138" t="n"/>
      <c r="AW159" s="138" t="n"/>
      <c r="AX159" s="138" t="n"/>
      <c r="AY159" s="138" t="n"/>
      <c r="AZ159" s="138" t="n"/>
      <c r="BA159" s="138" t="n"/>
      <c r="BC159" s="62" t="n"/>
      <c r="BD159" s="10" t="n"/>
      <c r="BE159" s="10" t="n"/>
      <c r="BF159" s="10" t="n"/>
      <c r="BG159" s="10" t="n"/>
      <c r="BH159" s="10" t="n"/>
    </row>
    <row r="160">
      <c r="A160" s="14" t="n"/>
      <c r="B160" s="14" t="n"/>
      <c r="C160" s="23" t="inlineStr">
        <is>
          <t>RPO PLOT</t>
        </is>
      </c>
      <c r="E160" s="138" t="n"/>
      <c r="F160" s="138" t="n"/>
      <c r="G160" s="138" t="n"/>
      <c r="H160" s="138" t="n"/>
      <c r="I160" s="138" t="n"/>
      <c r="J160" s="138" t="n"/>
      <c r="K160" s="138" t="n"/>
      <c r="L160" s="138" t="n"/>
      <c r="M160" s="138" t="n"/>
      <c r="N160" s="138" t="n"/>
      <c r="O160" s="138" t="n"/>
      <c r="P160" s="138" t="n"/>
      <c r="Q160" s="138" t="n"/>
      <c r="R160" s="138" t="n"/>
      <c r="S160" s="138" t="n"/>
      <c r="T160" s="138" t="n"/>
      <c r="U160" s="138" t="n"/>
      <c r="V160" s="138" t="n"/>
      <c r="W160" s="138" t="n"/>
      <c r="X160" s="138" t="n"/>
      <c r="Y160" s="138" t="n"/>
      <c r="Z160" s="138" t="n"/>
      <c r="AA160" s="138" t="n"/>
      <c r="AB160" s="138" t="n"/>
      <c r="AC160" s="41" t="n"/>
      <c r="AD160" s="138" t="n"/>
      <c r="AE160" s="138" t="n"/>
      <c r="AF160" s="138" t="n"/>
      <c r="AG160" s="138" t="n"/>
      <c r="AH160" s="138" t="n"/>
      <c r="AI160" s="138" t="n"/>
      <c r="AJ160" s="138" t="n"/>
      <c r="AK160" s="138" t="n"/>
      <c r="AL160" s="138" t="n"/>
      <c r="AM160" s="138" t="n"/>
      <c r="AN160" s="138" t="n"/>
      <c r="AO160" s="138" t="n"/>
      <c r="AP160" s="138" t="n"/>
      <c r="AQ160" s="138" t="n"/>
      <c r="AR160" s="138" t="n"/>
      <c r="AS160" s="138" t="n"/>
      <c r="AT160" s="138" t="n"/>
      <c r="AU160" s="138" t="n"/>
      <c r="AV160" s="138" t="n"/>
      <c r="AW160" s="138" t="n"/>
      <c r="AX160" s="138" t="n"/>
      <c r="AY160" s="138" t="n"/>
      <c r="AZ160" s="138" t="n"/>
      <c r="BA160" s="138" t="n"/>
      <c r="BC160" s="62" t="n"/>
      <c r="BD160" s="10" t="n"/>
      <c r="BE160" s="10" t="n"/>
      <c r="BF160" s="10" t="n"/>
      <c r="BG160" s="10" t="n"/>
      <c r="BH160" s="10" t="n"/>
    </row>
    <row r="161">
      <c r="A161" s="14" t="n"/>
      <c r="B161" s="14" t="n"/>
      <c r="C161" s="23" t="inlineStr">
        <is>
          <t>Checked BP</t>
        </is>
      </c>
      <c r="E161" s="138" t="n"/>
      <c r="F161" s="138" t="n"/>
      <c r="G161" s="138" t="n"/>
      <c r="H161" s="138" t="n"/>
      <c r="I161" s="138" t="n"/>
      <c r="J161" s="138" t="n"/>
      <c r="K161" s="138" t="n"/>
      <c r="L161" s="138" t="n"/>
      <c r="M161" s="138" t="n"/>
      <c r="N161" s="138" t="n"/>
      <c r="O161" s="138" t="n"/>
      <c r="P161" s="138" t="n"/>
      <c r="Q161" s="138" t="n"/>
      <c r="R161" s="138" t="n"/>
      <c r="S161" s="138" t="n"/>
      <c r="T161" s="138" t="n"/>
      <c r="U161" s="138" t="n"/>
      <c r="V161" s="138" t="n"/>
      <c r="W161" s="138" t="n"/>
      <c r="X161" s="138" t="n"/>
      <c r="Y161" s="138" t="n"/>
      <c r="Z161" s="138" t="n"/>
      <c r="AA161" s="138" t="n"/>
      <c r="AB161" s="138" t="n"/>
      <c r="AC161" s="41" t="n"/>
      <c r="AD161" s="138" t="n"/>
      <c r="AE161" s="138" t="n"/>
      <c r="AF161" s="138" t="n"/>
      <c r="AG161" s="138" t="n"/>
      <c r="AH161" s="138" t="n"/>
      <c r="AI161" s="138" t="n"/>
      <c r="AJ161" s="138" t="n"/>
      <c r="AK161" s="138" t="n"/>
      <c r="AL161" s="138" t="n"/>
      <c r="AM161" s="138" t="n"/>
      <c r="AN161" s="138" t="n"/>
      <c r="AO161" s="138" t="n"/>
      <c r="AP161" s="138" t="n"/>
      <c r="AQ161" s="138" t="n"/>
      <c r="AR161" s="138" t="n"/>
      <c r="AS161" s="138" t="n"/>
      <c r="AT161" s="138" t="n"/>
      <c r="AU161" s="138" t="n"/>
      <c r="AV161" s="138" t="n"/>
      <c r="AW161" s="138" t="n"/>
      <c r="AX161" s="138" t="n"/>
      <c r="AY161" s="138" t="n"/>
      <c r="AZ161" s="138" t="n"/>
      <c r="BA161" s="138" t="n"/>
      <c r="BC161" s="62" t="n"/>
      <c r="BD161" s="10" t="n"/>
      <c r="BE161" s="10" t="n"/>
      <c r="BF161" s="10" t="n"/>
      <c r="BG161" s="10" t="n"/>
      <c r="BH161" s="10" t="n"/>
    </row>
    <row r="162">
      <c r="A162" s="14" t="n"/>
      <c r="B162" s="14" t="n"/>
      <c r="C162" s="23" t="inlineStr">
        <is>
          <t>RPO BP</t>
        </is>
      </c>
      <c r="E162" s="138" t="n"/>
      <c r="F162" s="138" t="n"/>
      <c r="G162" s="138" t="n"/>
      <c r="H162" s="138" t="n"/>
      <c r="I162" s="138" t="n"/>
      <c r="J162" s="138" t="n"/>
      <c r="K162" s="138" t="n"/>
      <c r="L162" s="138" t="n"/>
      <c r="M162" s="138" t="n"/>
      <c r="N162" s="138" t="n"/>
      <c r="O162" s="138" t="n"/>
      <c r="P162" s="138" t="n"/>
      <c r="Q162" s="138" t="n"/>
      <c r="R162" s="138" t="n"/>
      <c r="S162" s="138" t="n"/>
      <c r="T162" s="138" t="n"/>
      <c r="U162" s="138" t="n"/>
      <c r="V162" s="138" t="n"/>
      <c r="W162" s="138" t="n"/>
      <c r="X162" s="138" t="n"/>
      <c r="Y162" s="138" t="n"/>
      <c r="Z162" s="138" t="n"/>
      <c r="AA162" s="138" t="n"/>
      <c r="AB162" s="138" t="n"/>
      <c r="AC162" s="41" t="n"/>
      <c r="AD162" s="138" t="n"/>
      <c r="AE162" s="138" t="n"/>
      <c r="AF162" s="138" t="n"/>
      <c r="AG162" s="138" t="n"/>
      <c r="AH162" s="138" t="n"/>
      <c r="AI162" s="138" t="n"/>
      <c r="AJ162" s="138" t="n"/>
      <c r="AK162" s="138" t="n"/>
      <c r="AL162" s="138" t="n"/>
      <c r="AM162" s="138" t="n"/>
      <c r="AN162" s="138" t="n"/>
      <c r="AO162" s="138" t="n"/>
      <c r="AP162" s="138" t="n"/>
      <c r="AQ162" s="138" t="n"/>
      <c r="AR162" s="138" t="n"/>
      <c r="AS162" s="138" t="n"/>
      <c r="AT162" s="138" t="n"/>
      <c r="AU162" s="138" t="n"/>
      <c r="AV162" s="138" t="n"/>
      <c r="AW162" s="138" t="n"/>
      <c r="AX162" s="138" t="n"/>
      <c r="AY162" s="138" t="n"/>
      <c r="AZ162" s="138" t="n"/>
      <c r="BA162" s="138" t="n"/>
      <c r="BC162" s="62" t="n"/>
      <c r="BD162" s="10" t="n"/>
      <c r="BE162" s="10" t="n"/>
      <c r="BF162" s="10" t="n"/>
      <c r="BG162" s="10" t="n"/>
      <c r="BH162" s="10" t="n"/>
    </row>
    <row r="163">
      <c r="A163" s="14" t="n"/>
      <c r="B163" s="14" t="n"/>
      <c r="C163" s="23" t="inlineStr">
        <is>
          <t>Invalid PLOT</t>
        </is>
      </c>
      <c r="E163" s="138" t="n"/>
      <c r="F163" s="138" t="n"/>
      <c r="G163" s="138" t="n"/>
      <c r="H163" s="138" t="n"/>
      <c r="I163" s="138" t="n"/>
      <c r="J163" s="138" t="n"/>
      <c r="K163" s="138" t="n"/>
      <c r="L163" s="138" t="n"/>
      <c r="M163" s="138" t="n"/>
      <c r="N163" s="138" t="n"/>
      <c r="O163" s="138" t="n"/>
      <c r="P163" s="138" t="n"/>
      <c r="Q163" s="138" t="n"/>
      <c r="R163" s="138" t="n"/>
      <c r="S163" s="138" t="n"/>
      <c r="T163" s="138" t="n"/>
      <c r="U163" s="138" t="n"/>
      <c r="V163" s="138" t="n"/>
      <c r="W163" s="138" t="n"/>
      <c r="X163" s="138" t="n"/>
      <c r="Y163" s="138" t="n"/>
      <c r="Z163" s="138" t="n"/>
      <c r="AA163" s="138" t="n"/>
      <c r="AB163" s="138" t="n"/>
      <c r="AC163" s="41" t="n"/>
      <c r="AD163" s="138" t="n"/>
      <c r="AE163" s="138" t="n"/>
      <c r="AF163" s="138" t="n"/>
      <c r="AG163" s="138" t="n"/>
      <c r="AH163" s="138" t="n"/>
      <c r="AI163" s="138" t="n"/>
      <c r="AJ163" s="138" t="n"/>
      <c r="AK163" s="138" t="n"/>
      <c r="AL163" s="138" t="n"/>
      <c r="AM163" s="138" t="n"/>
      <c r="AN163" s="138" t="n"/>
      <c r="AO163" s="138" t="n"/>
      <c r="AP163" s="138" t="n"/>
      <c r="AQ163" s="138" t="n"/>
      <c r="AR163" s="138" t="n"/>
      <c r="AS163" s="138" t="n"/>
      <c r="AT163" s="138" t="n"/>
      <c r="AU163" s="138" t="n"/>
      <c r="AV163" s="138" t="n"/>
      <c r="AW163" s="138" t="n"/>
      <c r="AX163" s="138" t="n"/>
      <c r="AY163" s="138" t="n"/>
      <c r="AZ163" s="138" t="n"/>
      <c r="BA163" s="138" t="n"/>
      <c r="BB163" s="14" t="n"/>
      <c r="BC163" s="129" t="n"/>
      <c r="BD163" s="14" t="n"/>
      <c r="BE163" s="14" t="n"/>
      <c r="BF163" s="14" t="n"/>
      <c r="BG163" s="14" t="n"/>
      <c r="BH163" s="14" t="n"/>
    </row>
    <row r="164">
      <c r="A164" s="14" t="n"/>
      <c r="B164" s="14" t="n"/>
      <c r="C164" s="23" t="inlineStr">
        <is>
          <t>Invalid BP</t>
        </is>
      </c>
      <c r="E164" s="138" t="n"/>
      <c r="F164" s="138" t="n"/>
      <c r="G164" s="138" t="n"/>
      <c r="H164" s="138" t="n"/>
      <c r="I164" s="138" t="n"/>
      <c r="J164" s="138" t="n"/>
      <c r="K164" s="138" t="n"/>
      <c r="L164" s="138" t="n"/>
      <c r="M164" s="138" t="n"/>
      <c r="N164" s="138" t="n"/>
      <c r="O164" s="138" t="n"/>
      <c r="P164" s="138" t="n"/>
      <c r="Q164" s="138" t="n"/>
      <c r="R164" s="138" t="n"/>
      <c r="S164" s="138" t="n"/>
      <c r="T164" s="138" t="n"/>
      <c r="U164" s="138" t="n"/>
      <c r="V164" s="138" t="n"/>
      <c r="W164" s="138" t="n"/>
      <c r="X164" s="138" t="n"/>
      <c r="Y164" s="138" t="n"/>
      <c r="Z164" s="138" t="n"/>
      <c r="AA164" s="138" t="n"/>
      <c r="AB164" s="138" t="n"/>
      <c r="AC164" s="43" t="n"/>
      <c r="AD164" s="138" t="n"/>
      <c r="AE164" s="138" t="n"/>
      <c r="AF164" s="138" t="n"/>
      <c r="AG164" s="138" t="n"/>
      <c r="AH164" s="138" t="n"/>
      <c r="AI164" s="138" t="n"/>
      <c r="AJ164" s="138" t="n"/>
      <c r="AK164" s="138" t="n"/>
      <c r="AL164" s="138" t="n"/>
      <c r="AM164" s="138" t="n"/>
      <c r="AN164" s="138" t="n"/>
      <c r="AO164" s="138" t="n"/>
      <c r="AP164" s="138" t="n"/>
      <c r="AQ164" s="138" t="n"/>
      <c r="AR164" s="138" t="n"/>
      <c r="AS164" s="138" t="n"/>
      <c r="AT164" s="138" t="n"/>
      <c r="AU164" s="138" t="n"/>
      <c r="AV164" s="138" t="n"/>
      <c r="AW164" s="138" t="n"/>
      <c r="AX164" s="138" t="n"/>
      <c r="AY164" s="138" t="n"/>
      <c r="AZ164" s="138" t="n"/>
      <c r="BA164" s="138" t="n"/>
      <c r="BB164" s="14" t="n"/>
      <c r="BC164" s="129" t="n"/>
      <c r="BD164" s="14" t="n"/>
      <c r="BE164" s="14" t="n"/>
      <c r="BF164" s="14" t="n"/>
      <c r="BG164" s="14" t="n"/>
      <c r="BH164" s="14" t="n"/>
    </row>
    <row r="165" ht="69.95" customHeight="1">
      <c r="A165" s="14" t="n"/>
      <c r="B165" s="14" t="n"/>
      <c r="C165" s="24" t="inlineStr">
        <is>
          <t>Op Log</t>
        </is>
      </c>
      <c r="E165" s="316" t="n"/>
      <c r="F165" s="322" t="n"/>
      <c r="G165" s="322" t="n"/>
      <c r="H165" s="322" t="n"/>
      <c r="I165" s="322" t="n"/>
      <c r="J165" s="322" t="n"/>
      <c r="K165" s="322" t="n"/>
      <c r="L165" s="322" t="n"/>
      <c r="M165" s="322" t="n"/>
      <c r="N165" s="322" t="n"/>
      <c r="O165" s="322" t="n"/>
      <c r="P165" s="322" t="n"/>
      <c r="Q165" s="322" t="n"/>
      <c r="R165" s="322" t="n"/>
      <c r="S165" s="322" t="n"/>
      <c r="T165" s="322" t="n"/>
      <c r="U165" s="322" t="n"/>
      <c r="V165" s="322" t="n"/>
      <c r="W165" s="322" t="n"/>
      <c r="X165" s="322" t="n"/>
      <c r="Y165" s="322" t="n"/>
      <c r="Z165" s="322" t="n"/>
      <c r="AA165" s="322" t="n"/>
      <c r="AB165" s="322" t="n"/>
      <c r="AC165" s="32" t="n"/>
      <c r="AD165" s="316" t="n"/>
      <c r="AE165" s="322" t="n"/>
      <c r="AF165" s="322" t="n"/>
      <c r="AG165" s="322" t="n"/>
      <c r="AH165" s="322" t="n"/>
      <c r="AI165" s="322" t="n"/>
      <c r="AJ165" s="322" t="n"/>
      <c r="AK165" s="322" t="n"/>
      <c r="AL165" s="322" t="n"/>
      <c r="AM165" s="322" t="n"/>
      <c r="AN165" s="322" t="n"/>
      <c r="AO165" s="322" t="n"/>
      <c r="AP165" s="322" t="n"/>
      <c r="AQ165" s="322" t="n"/>
      <c r="AR165" s="322" t="n"/>
      <c r="AS165" s="322" t="n"/>
      <c r="AT165" s="322" t="n"/>
      <c r="AU165" s="322" t="n"/>
      <c r="AV165" s="322" t="n"/>
      <c r="AW165" s="322" t="n"/>
      <c r="AX165" s="322" t="n"/>
      <c r="AY165" s="322" t="n"/>
      <c r="AZ165" s="322" t="n"/>
      <c r="BA165" s="322" t="n"/>
      <c r="BB165" s="11" t="n"/>
      <c r="BC165" s="129" t="n"/>
      <c r="BD165" s="14" t="n"/>
      <c r="BE165" s="14" t="n"/>
      <c r="BF165" s="14" t="n"/>
      <c r="BG165" s="14" t="n"/>
      <c r="BH165" s="14" t="n"/>
    </row>
    <row r="166" ht="43.5" customHeight="1">
      <c r="A166" s="14" t="n"/>
      <c r="B166" s="14" t="n"/>
      <c r="C166" s="24" t="inlineStr">
        <is>
          <t>Notes:</t>
        </is>
      </c>
      <c r="E166" s="321" t="n"/>
      <c r="F166" s="322" t="n"/>
      <c r="G166" s="322" t="n"/>
      <c r="H166" s="322" t="n"/>
      <c r="I166" s="322" t="n"/>
      <c r="J166" s="322" t="n"/>
      <c r="K166" s="322" t="n"/>
      <c r="L166" s="322" t="n"/>
      <c r="M166" s="322" t="n"/>
      <c r="N166" s="322" t="n"/>
      <c r="O166" s="322" t="n"/>
      <c r="P166" s="323" t="n"/>
      <c r="Q166" s="324" t="n"/>
      <c r="R166" s="322" t="n"/>
      <c r="S166" s="322" t="n"/>
      <c r="T166" s="322" t="n"/>
      <c r="U166" s="322" t="n"/>
      <c r="V166" s="322" t="n"/>
      <c r="W166" s="322" t="n"/>
      <c r="X166" s="322" t="n"/>
      <c r="Y166" s="322" t="n"/>
      <c r="Z166" s="322" t="n"/>
      <c r="AA166" s="322" t="n"/>
      <c r="AB166" s="322" t="n"/>
      <c r="AC166" s="32" t="n"/>
      <c r="AD166" s="321" t="n"/>
      <c r="AE166" s="322" t="n"/>
      <c r="AF166" s="322" t="n"/>
      <c r="AG166" s="322" t="n"/>
      <c r="AH166" s="322" t="n"/>
      <c r="AI166" s="322" t="n"/>
      <c r="AJ166" s="322" t="n"/>
      <c r="AK166" s="322" t="n"/>
      <c r="AL166" s="322" t="n"/>
      <c r="AM166" s="322" t="n"/>
      <c r="AN166" s="322" t="n"/>
      <c r="AO166" s="323" t="n"/>
      <c r="AP166" s="324" t="n"/>
      <c r="AQ166" s="322" t="n"/>
      <c r="AR166" s="322" t="n"/>
      <c r="AS166" s="322" t="n"/>
      <c r="AT166" s="322" t="n"/>
      <c r="AU166" s="322" t="n"/>
      <c r="AV166" s="322" t="n"/>
      <c r="AW166" s="322" t="n"/>
      <c r="AX166" s="322" t="n"/>
      <c r="AY166" s="322" t="n"/>
      <c r="AZ166" s="322" t="n"/>
      <c r="BA166" s="322" t="n"/>
      <c r="BB166" s="11" t="n"/>
      <c r="BC166" s="129" t="n"/>
      <c r="BD166" s="14" t="n"/>
      <c r="BE166" s="14" t="n"/>
      <c r="BF166" s="14" t="n"/>
      <c r="BG166" s="14" t="n"/>
      <c r="BH166" s="14" t="n"/>
    </row>
    <row r="167" ht="18.75" customFormat="1" customHeight="1" s="15">
      <c r="A167" s="29" t="n"/>
      <c r="B167" s="29" t="n"/>
      <c r="E167" s="16" t="n">
        <v>29</v>
      </c>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D167" s="16" t="n">
        <v>30</v>
      </c>
      <c r="AE167" s="16" t="n"/>
      <c r="AF167" s="16" t="n"/>
      <c r="AG167" s="16" t="n"/>
      <c r="AH167" s="16" t="n"/>
      <c r="AI167" s="16" t="n"/>
      <c r="AJ167" s="16" t="n"/>
      <c r="AK167" s="16" t="n"/>
      <c r="AL167" s="16" t="n"/>
      <c r="AM167" s="16" t="n"/>
      <c r="AN167" s="16" t="n"/>
      <c r="AO167" s="16" t="n"/>
      <c r="AP167" s="16" t="n"/>
      <c r="AQ167" s="16" t="n"/>
      <c r="AR167" s="16" t="n"/>
      <c r="AS167" s="16" t="n"/>
      <c r="AT167" s="16" t="n"/>
      <c r="AU167" s="16" t="n"/>
      <c r="AV167" s="16" t="n"/>
      <c r="AW167" s="16" t="n"/>
      <c r="AX167" s="16" t="n"/>
      <c r="AY167" s="16" t="n"/>
      <c r="AZ167" s="16" t="n"/>
      <c r="BA167" s="16" t="n"/>
      <c r="BB167" s="18" t="n"/>
      <c r="BC167" s="137" t="n"/>
      <c r="BD167" s="29" t="n"/>
      <c r="BE167" s="29" t="n"/>
      <c r="BF167" s="29" t="n"/>
      <c r="BG167" s="29" t="n"/>
      <c r="BH167" s="29" t="n"/>
    </row>
    <row r="168" customFormat="1" s="27">
      <c r="A168" s="14" t="n"/>
      <c r="B168" s="14" t="n"/>
      <c r="C168" s="25" t="n"/>
      <c r="D168" s="25" t="n"/>
      <c r="E168" s="39" t="n">
        <v>0</v>
      </c>
      <c r="F168" s="39" t="n">
        <v>1</v>
      </c>
      <c r="G168" s="39" t="n">
        <v>2</v>
      </c>
      <c r="H168" s="39" t="n">
        <v>3</v>
      </c>
      <c r="I168" s="39" t="n">
        <v>4</v>
      </c>
      <c r="J168" s="39" t="n">
        <v>5</v>
      </c>
      <c r="K168" s="39" t="n">
        <v>6</v>
      </c>
      <c r="L168" s="39" t="n">
        <v>7</v>
      </c>
      <c r="M168" s="39" t="n">
        <v>8</v>
      </c>
      <c r="N168" s="39" t="n">
        <v>9</v>
      </c>
      <c r="O168" s="39" t="n">
        <v>10</v>
      </c>
      <c r="P168" s="39" t="n">
        <v>11</v>
      </c>
      <c r="Q168" s="39" t="n">
        <v>12</v>
      </c>
      <c r="R168" s="39" t="n">
        <v>13</v>
      </c>
      <c r="S168" s="39" t="n">
        <v>14</v>
      </c>
      <c r="T168" s="39" t="n">
        <v>15</v>
      </c>
      <c r="U168" s="39" t="n">
        <v>16</v>
      </c>
      <c r="V168" s="39" t="n">
        <v>17</v>
      </c>
      <c r="W168" s="39" t="n">
        <v>18</v>
      </c>
      <c r="X168" s="39" t="n">
        <v>19</v>
      </c>
      <c r="Y168" s="39" t="n">
        <v>20</v>
      </c>
      <c r="Z168" s="39" t="n">
        <v>21</v>
      </c>
      <c r="AA168" s="39" t="n">
        <v>22</v>
      </c>
      <c r="AB168" s="39" t="n">
        <v>23</v>
      </c>
      <c r="AC168" s="25" t="n"/>
      <c r="AD168" s="39" t="n">
        <v>0</v>
      </c>
      <c r="AE168" s="39" t="n">
        <v>1</v>
      </c>
      <c r="AF168" s="39" t="n">
        <v>2</v>
      </c>
      <c r="AG168" s="39" t="n">
        <v>3</v>
      </c>
      <c r="AH168" s="39" t="n">
        <v>4</v>
      </c>
      <c r="AI168" s="39" t="n">
        <v>5</v>
      </c>
      <c r="AJ168" s="39" t="n">
        <v>6</v>
      </c>
      <c r="AK168" s="39" t="n">
        <v>7</v>
      </c>
      <c r="AL168" s="39" t="n">
        <v>8</v>
      </c>
      <c r="AM168" s="39" t="n">
        <v>9</v>
      </c>
      <c r="AN168" s="39" t="n">
        <v>10</v>
      </c>
      <c r="AO168" s="39" t="n">
        <v>11</v>
      </c>
      <c r="AP168" s="39" t="n">
        <v>12</v>
      </c>
      <c r="AQ168" s="39" t="n">
        <v>13</v>
      </c>
      <c r="AR168" s="39" t="n">
        <v>14</v>
      </c>
      <c r="AS168" s="39" t="n">
        <v>15</v>
      </c>
      <c r="AT168" s="39" t="n">
        <v>16</v>
      </c>
      <c r="AU168" s="39" t="n">
        <v>17</v>
      </c>
      <c r="AV168" s="39" t="n">
        <v>18</v>
      </c>
      <c r="AW168" s="39" t="n">
        <v>19</v>
      </c>
      <c r="AX168" s="39" t="n">
        <v>20</v>
      </c>
      <c r="AY168" s="39" t="n">
        <v>21</v>
      </c>
      <c r="AZ168" s="39" t="n">
        <v>22</v>
      </c>
      <c r="BA168" s="39" t="n">
        <v>23</v>
      </c>
      <c r="BB168" s="26" t="n"/>
      <c r="BC168" s="129" t="n"/>
      <c r="BD168" s="14" t="n"/>
      <c r="BE168" s="14" t="n"/>
      <c r="BF168" s="14" t="n"/>
      <c r="BG168" s="14" t="n"/>
      <c r="BH168" s="14" t="n"/>
    </row>
    <row r="169" ht="15" customFormat="1" customHeight="1" s="27">
      <c r="A169" s="14" t="n"/>
      <c r="B169" s="14" t="n"/>
      <c r="C169" s="25" t="n"/>
      <c r="D169" s="25" t="n"/>
      <c r="E169" s="40" t="inlineStr">
        <is>
          <t>A</t>
        </is>
      </c>
      <c r="F169" s="40" t="inlineStr">
        <is>
          <t>B</t>
        </is>
      </c>
      <c r="G169" s="40" t="inlineStr">
        <is>
          <t>C</t>
        </is>
      </c>
      <c r="H169" s="40" t="inlineStr">
        <is>
          <t>D</t>
        </is>
      </c>
      <c r="I169" s="40" t="inlineStr">
        <is>
          <t>E</t>
        </is>
      </c>
      <c r="J169" s="40" t="inlineStr">
        <is>
          <t>F</t>
        </is>
      </c>
      <c r="K169" s="40" t="inlineStr">
        <is>
          <t>G</t>
        </is>
      </c>
      <c r="L169" s="40" t="inlineStr">
        <is>
          <t>H</t>
        </is>
      </c>
      <c r="M169" s="40" t="inlineStr">
        <is>
          <t>I</t>
        </is>
      </c>
      <c r="N169" s="40" t="inlineStr">
        <is>
          <t>J</t>
        </is>
      </c>
      <c r="O169" s="40" t="inlineStr">
        <is>
          <t>K</t>
        </is>
      </c>
      <c r="P169" s="40" t="inlineStr">
        <is>
          <t>L</t>
        </is>
      </c>
      <c r="Q169" s="40" t="inlineStr">
        <is>
          <t>M</t>
        </is>
      </c>
      <c r="R169" s="40" t="inlineStr">
        <is>
          <t>N</t>
        </is>
      </c>
      <c r="S169" s="40" t="inlineStr">
        <is>
          <t>O</t>
        </is>
      </c>
      <c r="T169" s="40" t="inlineStr">
        <is>
          <t>P</t>
        </is>
      </c>
      <c r="U169" s="40" t="inlineStr">
        <is>
          <t>Q</t>
        </is>
      </c>
      <c r="V169" s="40" t="inlineStr">
        <is>
          <t>R</t>
        </is>
      </c>
      <c r="W169" s="40" t="inlineStr">
        <is>
          <t>S</t>
        </is>
      </c>
      <c r="X169" s="40" t="inlineStr">
        <is>
          <t>T</t>
        </is>
      </c>
      <c r="Y169" s="40" t="inlineStr">
        <is>
          <t>U</t>
        </is>
      </c>
      <c r="Z169" s="40" t="inlineStr">
        <is>
          <t>V</t>
        </is>
      </c>
      <c r="AA169" s="40" t="inlineStr">
        <is>
          <t>W</t>
        </is>
      </c>
      <c r="AB169" s="40" t="inlineStr">
        <is>
          <t>X</t>
        </is>
      </c>
      <c r="AC169" s="25" t="n"/>
      <c r="AD169" s="40" t="inlineStr">
        <is>
          <t>A</t>
        </is>
      </c>
      <c r="AE169" s="40" t="inlineStr">
        <is>
          <t>B</t>
        </is>
      </c>
      <c r="AF169" s="40" t="inlineStr">
        <is>
          <t>C</t>
        </is>
      </c>
      <c r="AG169" s="40" t="inlineStr">
        <is>
          <t>D</t>
        </is>
      </c>
      <c r="AH169" s="40" t="inlineStr">
        <is>
          <t>E</t>
        </is>
      </c>
      <c r="AI169" s="40" t="inlineStr">
        <is>
          <t>F</t>
        </is>
      </c>
      <c r="AJ169" s="40" t="inlineStr">
        <is>
          <t>G</t>
        </is>
      </c>
      <c r="AK169" s="40" t="inlineStr">
        <is>
          <t>H</t>
        </is>
      </c>
      <c r="AL169" s="40" t="inlineStr">
        <is>
          <t>I</t>
        </is>
      </c>
      <c r="AM169" s="40" t="inlineStr">
        <is>
          <t>J</t>
        </is>
      </c>
      <c r="AN169" s="40" t="inlineStr">
        <is>
          <t>K</t>
        </is>
      </c>
      <c r="AO169" s="40" t="inlineStr">
        <is>
          <t>L</t>
        </is>
      </c>
      <c r="AP169" s="40" t="inlineStr">
        <is>
          <t>M</t>
        </is>
      </c>
      <c r="AQ169" s="40" t="inlineStr">
        <is>
          <t>N</t>
        </is>
      </c>
      <c r="AR169" s="40" t="inlineStr">
        <is>
          <t>O</t>
        </is>
      </c>
      <c r="AS169" s="40" t="inlineStr">
        <is>
          <t>P</t>
        </is>
      </c>
      <c r="AT169" s="40" t="inlineStr">
        <is>
          <t>Q</t>
        </is>
      </c>
      <c r="AU169" s="40" t="inlineStr">
        <is>
          <t>R</t>
        </is>
      </c>
      <c r="AV169" s="40" t="inlineStr">
        <is>
          <t>S</t>
        </is>
      </c>
      <c r="AW169" s="40" t="inlineStr">
        <is>
          <t>T</t>
        </is>
      </c>
      <c r="AX169" s="40" t="inlineStr">
        <is>
          <t>U</t>
        </is>
      </c>
      <c r="AY169" s="40" t="inlineStr">
        <is>
          <t>V</t>
        </is>
      </c>
      <c r="AZ169" s="40" t="inlineStr">
        <is>
          <t>W</t>
        </is>
      </c>
      <c r="BA169" s="40" t="inlineStr">
        <is>
          <t>X</t>
        </is>
      </c>
      <c r="BB169" s="26" t="n"/>
      <c r="BC169" s="129" t="n"/>
      <c r="BD169" s="14" t="n"/>
      <c r="BE169" s="14" t="n"/>
      <c r="BF169" s="14" t="n"/>
      <c r="BG169" s="14" t="n"/>
      <c r="BH169" s="14" t="n"/>
    </row>
    <row r="170">
      <c r="A170" s="14" t="n"/>
      <c r="B170" s="14" t="n"/>
      <c r="C170" s="23" t="inlineStr">
        <is>
          <t>Checked PLOT</t>
        </is>
      </c>
      <c r="E170" s="138" t="n"/>
      <c r="F170" s="138" t="n"/>
      <c r="G170" s="138" t="n"/>
      <c r="H170" s="138" t="n"/>
      <c r="I170" s="138" t="n"/>
      <c r="J170" s="138" t="n"/>
      <c r="K170" s="138" t="n"/>
      <c r="L170" s="138" t="n"/>
      <c r="M170" s="138" t="n"/>
      <c r="N170" s="138" t="n"/>
      <c r="O170" s="138" t="n"/>
      <c r="P170" s="138" t="n"/>
      <c r="Q170" s="138" t="n"/>
      <c r="R170" s="138" t="n"/>
      <c r="S170" s="138" t="n"/>
      <c r="T170" s="138" t="n"/>
      <c r="U170" s="138" t="n"/>
      <c r="V170" s="138" t="n"/>
      <c r="W170" s="138" t="n"/>
      <c r="X170" s="138" t="n"/>
      <c r="Y170" s="138" t="n"/>
      <c r="Z170" s="138" t="n"/>
      <c r="AA170" s="138" t="n"/>
      <c r="AB170" s="138" t="n"/>
      <c r="AC170" s="41" t="n"/>
      <c r="AD170" s="138" t="n"/>
      <c r="AE170" s="138" t="n"/>
      <c r="AF170" s="138" t="n"/>
      <c r="AG170" s="138" t="n"/>
      <c r="AH170" s="138" t="n"/>
      <c r="AI170" s="138" t="n"/>
      <c r="AJ170" s="138" t="n"/>
      <c r="AK170" s="138" t="n"/>
      <c r="AL170" s="138" t="n"/>
      <c r="AM170" s="138" t="n"/>
      <c r="AN170" s="138" t="n"/>
      <c r="AO170" s="138" t="n"/>
      <c r="AP170" s="138" t="n"/>
      <c r="AQ170" s="138" t="n"/>
      <c r="AR170" s="138" t="n"/>
      <c r="AS170" s="138" t="n"/>
      <c r="AT170" s="138" t="n"/>
      <c r="AU170" s="138" t="n"/>
      <c r="AV170" s="138" t="n"/>
      <c r="AW170" s="138" t="n"/>
      <c r="AX170" s="138" t="n"/>
      <c r="AY170" s="138" t="n"/>
      <c r="AZ170" s="138" t="n"/>
      <c r="BA170" s="138" t="n"/>
      <c r="BB170" s="11" t="n"/>
      <c r="BC170" s="129" t="n"/>
      <c r="BD170" s="14" t="n"/>
      <c r="BE170" s="14" t="n"/>
      <c r="BF170" s="14" t="n"/>
      <c r="BG170" s="14" t="n"/>
      <c r="BH170" s="14" t="n"/>
    </row>
    <row r="171">
      <c r="A171" s="14" t="n"/>
      <c r="B171" s="14" t="n"/>
      <c r="C171" s="23" t="inlineStr">
        <is>
          <t>RPO PLOT</t>
        </is>
      </c>
      <c r="E171" s="138" t="n"/>
      <c r="F171" s="138" t="n"/>
      <c r="G171" s="138" t="n"/>
      <c r="H171" s="138" t="n"/>
      <c r="I171" s="138" t="n"/>
      <c r="J171" s="138" t="n"/>
      <c r="K171" s="138" t="n"/>
      <c r="L171" s="138" t="n"/>
      <c r="M171" s="138" t="n"/>
      <c r="N171" s="138" t="n"/>
      <c r="O171" s="138" t="n"/>
      <c r="P171" s="138" t="n"/>
      <c r="Q171" s="138" t="n"/>
      <c r="R171" s="138" t="n"/>
      <c r="S171" s="138" t="n"/>
      <c r="T171" s="138" t="n"/>
      <c r="U171" s="138" t="n"/>
      <c r="V171" s="138" t="n"/>
      <c r="W171" s="138" t="n"/>
      <c r="X171" s="138" t="n"/>
      <c r="Y171" s="138" t="n"/>
      <c r="Z171" s="138" t="n"/>
      <c r="AA171" s="138" t="n"/>
      <c r="AB171" s="138" t="n"/>
      <c r="AC171" s="41" t="n"/>
      <c r="AD171" s="138" t="n"/>
      <c r="AE171" s="138" t="n"/>
      <c r="AF171" s="138" t="n"/>
      <c r="AG171" s="138" t="n"/>
      <c r="AH171" s="138" t="n"/>
      <c r="AI171" s="138" t="n"/>
      <c r="AJ171" s="138" t="n"/>
      <c r="AK171" s="138" t="n"/>
      <c r="AL171" s="138" t="n"/>
      <c r="AM171" s="138" t="n"/>
      <c r="AN171" s="138" t="n"/>
      <c r="AO171" s="138" t="n"/>
      <c r="AP171" s="138" t="n"/>
      <c r="AQ171" s="138" t="n"/>
      <c r="AR171" s="138" t="n"/>
      <c r="AS171" s="138" t="n"/>
      <c r="AT171" s="138" t="n"/>
      <c r="AU171" s="138" t="n"/>
      <c r="AV171" s="138" t="n"/>
      <c r="AW171" s="138" t="n"/>
      <c r="AX171" s="138" t="n"/>
      <c r="AY171" s="138" t="n"/>
      <c r="AZ171" s="138" t="n"/>
      <c r="BA171" s="138" t="n"/>
      <c r="BB171" s="11" t="n"/>
      <c r="BC171" s="129" t="n"/>
      <c r="BD171" s="14" t="n"/>
      <c r="BE171" s="14" t="n"/>
      <c r="BF171" s="14" t="n"/>
      <c r="BG171" s="14" t="n"/>
      <c r="BH171" s="14" t="n"/>
    </row>
    <row r="172">
      <c r="A172" s="14" t="n"/>
      <c r="B172" s="14" t="n"/>
      <c r="C172" s="23" t="inlineStr">
        <is>
          <t>Checked BP</t>
        </is>
      </c>
      <c r="E172" s="138" t="n"/>
      <c r="F172" s="138" t="n"/>
      <c r="G172" s="138" t="n"/>
      <c r="H172" s="138" t="n"/>
      <c r="I172" s="138" t="n"/>
      <c r="J172" s="138" t="n"/>
      <c r="K172" s="138" t="n"/>
      <c r="L172" s="138" t="n"/>
      <c r="M172" s="138" t="n"/>
      <c r="N172" s="138" t="n"/>
      <c r="O172" s="138" t="n"/>
      <c r="P172" s="138" t="n"/>
      <c r="Q172" s="138" t="n"/>
      <c r="R172" s="138" t="n"/>
      <c r="S172" s="138" t="n"/>
      <c r="T172" s="138" t="n"/>
      <c r="U172" s="138" t="n"/>
      <c r="V172" s="138" t="n"/>
      <c r="W172" s="138" t="n"/>
      <c r="X172" s="138" t="n"/>
      <c r="Y172" s="138" t="n"/>
      <c r="Z172" s="138" t="n"/>
      <c r="AA172" s="138" t="n"/>
      <c r="AB172" s="138" t="n"/>
      <c r="AC172" s="41" t="n"/>
      <c r="AD172" s="138" t="n"/>
      <c r="AE172" s="138" t="n"/>
      <c r="AF172" s="138" t="n"/>
      <c r="AG172" s="138" t="n"/>
      <c r="AH172" s="138" t="n"/>
      <c r="AI172" s="138" t="n"/>
      <c r="AJ172" s="138" t="n"/>
      <c r="AK172" s="138" t="n"/>
      <c r="AL172" s="138" t="n"/>
      <c r="AM172" s="138" t="n"/>
      <c r="AN172" s="138" t="n"/>
      <c r="AO172" s="138" t="n"/>
      <c r="AP172" s="138" t="n"/>
      <c r="AQ172" s="138" t="n"/>
      <c r="AR172" s="138" t="n"/>
      <c r="AS172" s="138" t="n"/>
      <c r="AT172" s="138" t="n"/>
      <c r="AU172" s="138" t="n"/>
      <c r="AV172" s="138" t="n"/>
      <c r="AW172" s="138" t="n"/>
      <c r="AX172" s="138" t="n"/>
      <c r="AY172" s="138" t="n"/>
      <c r="AZ172" s="138" t="n"/>
      <c r="BA172" s="138" t="n"/>
      <c r="BB172" s="11" t="n"/>
      <c r="BC172" s="129" t="n"/>
      <c r="BD172" s="14" t="n"/>
      <c r="BE172" s="14" t="n"/>
      <c r="BF172" s="14" t="n"/>
      <c r="BG172" s="14" t="n"/>
      <c r="BH172" s="14" t="n"/>
    </row>
    <row r="173">
      <c r="A173" s="14" t="n"/>
      <c r="B173" s="14" t="n"/>
      <c r="C173" s="23" t="inlineStr">
        <is>
          <t>RPO BP</t>
        </is>
      </c>
      <c r="E173" s="138" t="n"/>
      <c r="F173" s="138" t="n"/>
      <c r="G173" s="138" t="n"/>
      <c r="H173" s="138" t="n"/>
      <c r="I173" s="138" t="n"/>
      <c r="J173" s="138" t="n"/>
      <c r="K173" s="138" t="n"/>
      <c r="L173" s="138" t="n"/>
      <c r="M173" s="138" t="n"/>
      <c r="N173" s="138" t="n"/>
      <c r="O173" s="138" t="n"/>
      <c r="P173" s="138" t="n"/>
      <c r="Q173" s="138" t="n"/>
      <c r="R173" s="138" t="n"/>
      <c r="S173" s="138" t="n"/>
      <c r="T173" s="138" t="n"/>
      <c r="U173" s="138" t="n"/>
      <c r="V173" s="138" t="n"/>
      <c r="W173" s="138" t="n"/>
      <c r="X173" s="138" t="n"/>
      <c r="Y173" s="138" t="n"/>
      <c r="Z173" s="138" t="n"/>
      <c r="AA173" s="138" t="n"/>
      <c r="AB173" s="138" t="n"/>
      <c r="AC173" s="41" t="n"/>
      <c r="AD173" s="138" t="n"/>
      <c r="AE173" s="138" t="n"/>
      <c r="AF173" s="138" t="n"/>
      <c r="AG173" s="138" t="n"/>
      <c r="AH173" s="138" t="n"/>
      <c r="AI173" s="138" t="n"/>
      <c r="AJ173" s="138" t="n"/>
      <c r="AK173" s="138" t="n"/>
      <c r="AL173" s="138" t="n"/>
      <c r="AM173" s="138" t="n"/>
      <c r="AN173" s="138" t="n"/>
      <c r="AO173" s="138" t="n"/>
      <c r="AP173" s="138" t="n"/>
      <c r="AQ173" s="138" t="n"/>
      <c r="AR173" s="138" t="n"/>
      <c r="AS173" s="138" t="n"/>
      <c r="AT173" s="138" t="n"/>
      <c r="AU173" s="138" t="n"/>
      <c r="AV173" s="138" t="n"/>
      <c r="AW173" s="138" t="n"/>
      <c r="AX173" s="138" t="n"/>
      <c r="AY173" s="138" t="n"/>
      <c r="AZ173" s="138" t="n"/>
      <c r="BA173" s="138" t="n"/>
      <c r="BB173" s="11" t="n"/>
      <c r="BC173" s="129" t="n"/>
      <c r="BD173" s="14" t="n"/>
      <c r="BE173" s="14" t="n"/>
      <c r="BF173" s="14" t="n"/>
      <c r="BG173" s="14" t="n"/>
      <c r="BH173" s="14" t="n"/>
    </row>
    <row r="174">
      <c r="A174" s="14" t="n"/>
      <c r="B174" s="14" t="n"/>
      <c r="C174" s="23" t="inlineStr">
        <is>
          <t>Invalid PLOT</t>
        </is>
      </c>
      <c r="E174" s="138" t="n"/>
      <c r="F174" s="138" t="n"/>
      <c r="G174" s="138" t="n"/>
      <c r="H174" s="138" t="n"/>
      <c r="I174" s="138" t="n"/>
      <c r="J174" s="138" t="n"/>
      <c r="K174" s="138" t="n"/>
      <c r="L174" s="138" t="n"/>
      <c r="M174" s="138" t="n"/>
      <c r="N174" s="138" t="n"/>
      <c r="O174" s="138" t="n"/>
      <c r="P174" s="138" t="n"/>
      <c r="Q174" s="138" t="n"/>
      <c r="R174" s="138" t="n"/>
      <c r="S174" s="138" t="n"/>
      <c r="T174" s="138" t="n"/>
      <c r="U174" s="138" t="n"/>
      <c r="V174" s="138" t="n"/>
      <c r="W174" s="138" t="n"/>
      <c r="X174" s="138" t="n"/>
      <c r="Y174" s="138" t="n"/>
      <c r="Z174" s="138" t="n"/>
      <c r="AA174" s="138" t="n"/>
      <c r="AB174" s="138" t="n"/>
      <c r="AC174" s="41" t="n"/>
      <c r="AD174" s="138" t="n"/>
      <c r="AE174" s="138" t="n"/>
      <c r="AF174" s="138" t="n"/>
      <c r="AG174" s="138" t="n"/>
      <c r="AH174" s="138" t="n"/>
      <c r="AI174" s="138" t="n"/>
      <c r="AJ174" s="138" t="n"/>
      <c r="AK174" s="138" t="n"/>
      <c r="AL174" s="138" t="n"/>
      <c r="AM174" s="138" t="n"/>
      <c r="AN174" s="138" t="n"/>
      <c r="AO174" s="138" t="n"/>
      <c r="AP174" s="138" t="n"/>
      <c r="AQ174" s="138" t="n"/>
      <c r="AR174" s="138" t="n"/>
      <c r="AS174" s="138" t="n"/>
      <c r="AT174" s="138" t="n"/>
      <c r="AU174" s="138" t="n"/>
      <c r="AV174" s="138" t="n"/>
      <c r="AW174" s="138" t="n"/>
      <c r="AX174" s="138" t="n"/>
      <c r="AY174" s="138" t="n"/>
      <c r="AZ174" s="138" t="n"/>
      <c r="BA174" s="138" t="n"/>
      <c r="BB174" s="11" t="n"/>
      <c r="BC174" s="129" t="n"/>
      <c r="BD174" s="14" t="n"/>
      <c r="BE174" s="14" t="n"/>
      <c r="BF174" s="14" t="n"/>
      <c r="BG174" s="14" t="n"/>
      <c r="BH174" s="14" t="n"/>
    </row>
    <row r="175">
      <c r="A175" s="14" t="n"/>
      <c r="B175" s="14" t="n"/>
      <c r="C175" s="23" t="inlineStr">
        <is>
          <t>Invalid BP</t>
        </is>
      </c>
      <c r="E175" s="138" t="n"/>
      <c r="F175" s="138" t="n"/>
      <c r="G175" s="138" t="n"/>
      <c r="H175" s="138" t="n"/>
      <c r="I175" s="138" t="n"/>
      <c r="J175" s="138" t="n"/>
      <c r="K175" s="138" t="n"/>
      <c r="L175" s="138" t="n"/>
      <c r="M175" s="138" t="n"/>
      <c r="N175" s="138" t="n"/>
      <c r="O175" s="138" t="n"/>
      <c r="P175" s="138" t="n"/>
      <c r="Q175" s="138" t="n"/>
      <c r="R175" s="138" t="n"/>
      <c r="S175" s="138" t="n"/>
      <c r="T175" s="138" t="n"/>
      <c r="U175" s="138" t="n"/>
      <c r="V175" s="138" t="n"/>
      <c r="W175" s="138" t="n"/>
      <c r="X175" s="138" t="n"/>
      <c r="Y175" s="138" t="n"/>
      <c r="Z175" s="138" t="n"/>
      <c r="AA175" s="138" t="n"/>
      <c r="AB175" s="138" t="n"/>
      <c r="AC175" s="41" t="n"/>
      <c r="AD175" s="138" t="n"/>
      <c r="AE175" s="138" t="n"/>
      <c r="AF175" s="138" t="n"/>
      <c r="AG175" s="138" t="n"/>
      <c r="AH175" s="138" t="n"/>
      <c r="AI175" s="138" t="n"/>
      <c r="AJ175" s="138" t="n"/>
      <c r="AK175" s="138" t="n"/>
      <c r="AL175" s="138" t="n"/>
      <c r="AM175" s="138" t="n"/>
      <c r="AN175" s="138" t="n"/>
      <c r="AO175" s="138" t="n"/>
      <c r="AP175" s="138" t="n"/>
      <c r="AQ175" s="138" t="n"/>
      <c r="AR175" s="138" t="n"/>
      <c r="AS175" s="138" t="n"/>
      <c r="AT175" s="138" t="n"/>
      <c r="AU175" s="138" t="n"/>
      <c r="AV175" s="138" t="n"/>
      <c r="AW175" s="138" t="n"/>
      <c r="AX175" s="138" t="n"/>
      <c r="AY175" s="138" t="n"/>
      <c r="AZ175" s="138" t="n"/>
      <c r="BA175" s="138" t="n"/>
      <c r="BB175" s="11" t="n"/>
      <c r="BC175" s="129" t="n"/>
      <c r="BD175" s="14" t="n"/>
      <c r="BE175" s="14" t="n"/>
      <c r="BF175" s="14" t="n"/>
      <c r="BG175" s="14" t="n"/>
      <c r="BH175" s="14" t="n"/>
    </row>
    <row r="176" ht="69.95" customHeight="1">
      <c r="A176" s="14" t="n"/>
      <c r="B176" s="14" t="n"/>
      <c r="C176" s="24" t="inlineStr">
        <is>
          <t>Op Log</t>
        </is>
      </c>
      <c r="E176" s="316" t="n"/>
      <c r="F176" s="322" t="n"/>
      <c r="G176" s="322" t="n"/>
      <c r="H176" s="322" t="n"/>
      <c r="I176" s="322" t="n"/>
      <c r="J176" s="322" t="n"/>
      <c r="K176" s="322" t="n"/>
      <c r="L176" s="322" t="n"/>
      <c r="M176" s="322" t="n"/>
      <c r="N176" s="322" t="n"/>
      <c r="O176" s="322" t="n"/>
      <c r="P176" s="322" t="n"/>
      <c r="Q176" s="322" t="n"/>
      <c r="R176" s="322" t="n"/>
      <c r="S176" s="322" t="n"/>
      <c r="T176" s="322" t="n"/>
      <c r="U176" s="322" t="n"/>
      <c r="V176" s="322" t="n"/>
      <c r="W176" s="322" t="n"/>
      <c r="X176" s="322" t="n"/>
      <c r="Y176" s="322" t="n"/>
      <c r="Z176" s="322" t="n"/>
      <c r="AA176" s="322" t="n"/>
      <c r="AB176" s="322" t="n"/>
      <c r="AC176" s="114" t="n"/>
      <c r="AD176" s="316" t="n"/>
      <c r="AE176" s="322" t="n"/>
      <c r="AF176" s="322" t="n"/>
      <c r="AG176" s="322" t="n"/>
      <c r="AH176" s="322" t="n"/>
      <c r="AI176" s="322" t="n"/>
      <c r="AJ176" s="322" t="n"/>
      <c r="AK176" s="322" t="n"/>
      <c r="AL176" s="322" t="n"/>
      <c r="AM176" s="322" t="n"/>
      <c r="AN176" s="322" t="n"/>
      <c r="AO176" s="322" t="n"/>
      <c r="AP176" s="322" t="n"/>
      <c r="AQ176" s="322" t="n"/>
      <c r="AR176" s="322" t="n"/>
      <c r="AS176" s="322" t="n"/>
      <c r="AT176" s="322" t="n"/>
      <c r="AU176" s="322" t="n"/>
      <c r="AV176" s="322" t="n"/>
      <c r="AW176" s="322" t="n"/>
      <c r="AX176" s="322" t="n"/>
      <c r="AY176" s="322" t="n"/>
      <c r="AZ176" s="322" t="n"/>
      <c r="BA176" s="322" t="n"/>
      <c r="BB176" s="11" t="n"/>
      <c r="BC176" s="129" t="n"/>
      <c r="BD176" s="14" t="n"/>
      <c r="BE176" s="14" t="n"/>
      <c r="BF176" s="14" t="n"/>
      <c r="BG176" s="14" t="n"/>
      <c r="BH176" s="14" t="n"/>
    </row>
    <row r="177" ht="43.5" customHeight="1">
      <c r="A177" s="14" t="n"/>
      <c r="B177" s="14" t="n"/>
      <c r="C177" s="24" t="inlineStr">
        <is>
          <t>Notes:</t>
        </is>
      </c>
      <c r="E177" s="321" t="n"/>
      <c r="F177" s="322" t="n"/>
      <c r="G177" s="322" t="n"/>
      <c r="H177" s="322" t="n"/>
      <c r="I177" s="322" t="n"/>
      <c r="J177" s="322" t="n"/>
      <c r="K177" s="322" t="n"/>
      <c r="L177" s="322" t="n"/>
      <c r="M177" s="322" t="n"/>
      <c r="N177" s="322" t="n"/>
      <c r="O177" s="322" t="n"/>
      <c r="P177" s="323" t="n"/>
      <c r="Q177" s="324" t="n"/>
      <c r="R177" s="322" t="n"/>
      <c r="S177" s="322" t="n"/>
      <c r="T177" s="322" t="n"/>
      <c r="U177" s="322" t="n"/>
      <c r="V177" s="322" t="n"/>
      <c r="W177" s="322" t="n"/>
      <c r="X177" s="322" t="n"/>
      <c r="Y177" s="322" t="n"/>
      <c r="Z177" s="322" t="n"/>
      <c r="AA177" s="322" t="n"/>
      <c r="AB177" s="322" t="n"/>
      <c r="AC177" s="114" t="n"/>
      <c r="AD177" s="321" t="n"/>
      <c r="AE177" s="322" t="n"/>
      <c r="AF177" s="322" t="n"/>
      <c r="AG177" s="322" t="n"/>
      <c r="AH177" s="322" t="n"/>
      <c r="AI177" s="322" t="n"/>
      <c r="AJ177" s="322" t="n"/>
      <c r="AK177" s="322" t="n"/>
      <c r="AL177" s="322" t="n"/>
      <c r="AM177" s="322" t="n"/>
      <c r="AN177" s="322" t="n"/>
      <c r="AO177" s="323" t="n"/>
      <c r="AP177" s="324" t="n"/>
      <c r="AQ177" s="322" t="n"/>
      <c r="AR177" s="322" t="n"/>
      <c r="AS177" s="322" t="n"/>
      <c r="AT177" s="322" t="n"/>
      <c r="AU177" s="322" t="n"/>
      <c r="AV177" s="322" t="n"/>
      <c r="AW177" s="322" t="n"/>
      <c r="AX177" s="322" t="n"/>
      <c r="AY177" s="322" t="n"/>
      <c r="AZ177" s="322" t="n"/>
      <c r="BA177" s="322" t="n"/>
      <c r="BB177" s="11" t="n"/>
      <c r="BC177" s="129" t="n"/>
      <c r="BD177" s="14" t="n"/>
      <c r="BE177" s="14" t="n"/>
      <c r="BF177" s="14" t="n"/>
      <c r="BG177" s="14" t="n"/>
      <c r="BH177" s="14" t="n"/>
    </row>
    <row r="178" ht="18.75" customFormat="1" customHeight="1" s="15">
      <c r="A178" s="29" t="n"/>
      <c r="B178" s="29" t="n"/>
      <c r="E178" s="16" t="n">
        <v>31</v>
      </c>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8" t="n"/>
      <c r="AD178" s="327" t="inlineStr">
        <is>
          <t>Month Notes</t>
        </is>
      </c>
      <c r="AE178" s="361" t="n"/>
      <c r="AF178" s="361" t="n"/>
      <c r="AG178" s="361" t="n"/>
      <c r="AH178" s="361" t="n"/>
      <c r="AI178" s="361" t="n"/>
      <c r="AJ178" s="361" t="n"/>
      <c r="AK178" s="361" t="n"/>
      <c r="AL178" s="361" t="n"/>
      <c r="AM178" s="361" t="n"/>
      <c r="AN178" s="361" t="n"/>
      <c r="AO178" s="361" t="n"/>
      <c r="AP178" s="361" t="n"/>
      <c r="AQ178" s="361" t="n"/>
      <c r="AR178" s="361" t="n"/>
      <c r="AS178" s="361" t="n"/>
      <c r="AT178" s="361" t="n"/>
      <c r="AU178" s="361" t="n"/>
      <c r="AV178" s="361" t="n"/>
      <c r="AW178" s="361" t="n"/>
      <c r="AX178" s="361" t="n"/>
      <c r="AY178" s="361" t="n"/>
      <c r="AZ178" s="361" t="n"/>
      <c r="BA178" s="361" t="n"/>
      <c r="BB178" s="18" t="n"/>
      <c r="BC178" s="137" t="n"/>
      <c r="BD178" s="29" t="n"/>
      <c r="BE178" s="29" t="n"/>
      <c r="BF178" s="29" t="n"/>
      <c r="BG178" s="29" t="n"/>
      <c r="BH178" s="29" t="n"/>
    </row>
    <row r="179" ht="15.75" customFormat="1" customHeight="1" s="27">
      <c r="A179" s="14" t="n"/>
      <c r="B179" s="14" t="n"/>
      <c r="C179" s="25" t="n"/>
      <c r="D179" s="25" t="n"/>
      <c r="E179" s="39" t="n">
        <v>0</v>
      </c>
      <c r="F179" s="39" t="n">
        <v>1</v>
      </c>
      <c r="G179" s="39" t="n">
        <v>2</v>
      </c>
      <c r="H179" s="39" t="n">
        <v>3</v>
      </c>
      <c r="I179" s="39" t="n">
        <v>4</v>
      </c>
      <c r="J179" s="39" t="n">
        <v>5</v>
      </c>
      <c r="K179" s="39" t="n">
        <v>6</v>
      </c>
      <c r="L179" s="39" t="n">
        <v>7</v>
      </c>
      <c r="M179" s="39" t="n">
        <v>8</v>
      </c>
      <c r="N179" s="39" t="n">
        <v>9</v>
      </c>
      <c r="O179" s="39" t="n">
        <v>10</v>
      </c>
      <c r="P179" s="39" t="n">
        <v>11</v>
      </c>
      <c r="Q179" s="39" t="n">
        <v>12</v>
      </c>
      <c r="R179" s="39" t="n">
        <v>13</v>
      </c>
      <c r="S179" s="39" t="n">
        <v>14</v>
      </c>
      <c r="T179" s="39" t="n">
        <v>15</v>
      </c>
      <c r="U179" s="39" t="n">
        <v>16</v>
      </c>
      <c r="V179" s="39" t="n">
        <v>17</v>
      </c>
      <c r="W179" s="39" t="n">
        <v>18</v>
      </c>
      <c r="X179" s="39" t="n">
        <v>19</v>
      </c>
      <c r="Y179" s="39" t="n">
        <v>20</v>
      </c>
      <c r="Z179" s="39" t="n">
        <v>21</v>
      </c>
      <c r="AA179" s="39" t="n">
        <v>22</v>
      </c>
      <c r="AB179" s="39" t="n">
        <v>23</v>
      </c>
      <c r="AC179" s="26" t="n"/>
      <c r="AD179" s="328" t="n"/>
      <c r="AE179" s="234" t="n"/>
      <c r="AF179" s="234" t="n"/>
      <c r="AG179" s="234" t="n"/>
      <c r="AH179" s="234" t="n"/>
      <c r="AI179" s="234" t="n"/>
      <c r="AJ179" s="234" t="n"/>
      <c r="AK179" s="234" t="n"/>
      <c r="AL179" s="234" t="n"/>
      <c r="AM179" s="234" t="n"/>
      <c r="AN179" s="234" t="n"/>
      <c r="AO179" s="234" t="n"/>
      <c r="AP179" s="234" t="n"/>
      <c r="AQ179" s="234" t="n"/>
      <c r="AR179" s="234" t="n"/>
      <c r="AS179" s="234" t="n"/>
      <c r="AT179" s="234" t="n"/>
      <c r="AU179" s="234" t="n"/>
      <c r="AV179" s="234" t="n"/>
      <c r="AW179" s="234" t="n"/>
      <c r="AX179" s="234" t="n"/>
      <c r="AY179" s="234" t="n"/>
      <c r="AZ179" s="234" t="n"/>
      <c r="BA179" s="234" t="n"/>
      <c r="BB179" s="18" t="n"/>
      <c r="BC179" s="129" t="n"/>
      <c r="BD179" s="14" t="n"/>
      <c r="BE179" s="14" t="n"/>
      <c r="BF179" s="14" t="n"/>
      <c r="BG179" s="14" t="n"/>
      <c r="BH179" s="14" t="n"/>
    </row>
    <row r="180" ht="15" customFormat="1" customHeight="1" s="27">
      <c r="B180" s="14" t="n"/>
      <c r="C180" s="25" t="n"/>
      <c r="D180" s="25" t="n"/>
      <c r="E180" s="40" t="inlineStr">
        <is>
          <t>A</t>
        </is>
      </c>
      <c r="F180" s="40" t="inlineStr">
        <is>
          <t>B</t>
        </is>
      </c>
      <c r="G180" s="40" t="inlineStr">
        <is>
          <t>C</t>
        </is>
      </c>
      <c r="H180" s="40" t="inlineStr">
        <is>
          <t>D</t>
        </is>
      </c>
      <c r="I180" s="40" t="inlineStr">
        <is>
          <t>E</t>
        </is>
      </c>
      <c r="J180" s="40" t="inlineStr">
        <is>
          <t>F</t>
        </is>
      </c>
      <c r="K180" s="40" t="inlineStr">
        <is>
          <t>G</t>
        </is>
      </c>
      <c r="L180" s="40" t="inlineStr">
        <is>
          <t>H</t>
        </is>
      </c>
      <c r="M180" s="40" t="inlineStr">
        <is>
          <t>I</t>
        </is>
      </c>
      <c r="N180" s="40" t="inlineStr">
        <is>
          <t>J</t>
        </is>
      </c>
      <c r="O180" s="40" t="inlineStr">
        <is>
          <t>K</t>
        </is>
      </c>
      <c r="P180" s="40" t="inlineStr">
        <is>
          <t>L</t>
        </is>
      </c>
      <c r="Q180" s="40" t="inlineStr">
        <is>
          <t>M</t>
        </is>
      </c>
      <c r="R180" s="40" t="inlineStr">
        <is>
          <t>N</t>
        </is>
      </c>
      <c r="S180" s="40" t="inlineStr">
        <is>
          <t>O</t>
        </is>
      </c>
      <c r="T180" s="40" t="inlineStr">
        <is>
          <t>P</t>
        </is>
      </c>
      <c r="U180" s="40" t="inlineStr">
        <is>
          <t>Q</t>
        </is>
      </c>
      <c r="V180" s="40" t="inlineStr">
        <is>
          <t>R</t>
        </is>
      </c>
      <c r="W180" s="40" t="inlineStr">
        <is>
          <t>S</t>
        </is>
      </c>
      <c r="X180" s="40" t="inlineStr">
        <is>
          <t>T</t>
        </is>
      </c>
      <c r="Y180" s="40" t="inlineStr">
        <is>
          <t>U</t>
        </is>
      </c>
      <c r="Z180" s="40" t="inlineStr">
        <is>
          <t>V</t>
        </is>
      </c>
      <c r="AA180" s="40" t="inlineStr">
        <is>
          <t>W</t>
        </is>
      </c>
      <c r="AB180" s="40" t="inlineStr">
        <is>
          <t>X</t>
        </is>
      </c>
      <c r="AC180" s="26" t="n"/>
      <c r="AD180" s="234" t="n"/>
      <c r="AE180" s="234" t="n"/>
      <c r="AF180" s="234" t="n"/>
      <c r="AG180" s="234" t="n"/>
      <c r="AH180" s="234" t="n"/>
      <c r="AI180" s="234" t="n"/>
      <c r="AJ180" s="234" t="n"/>
      <c r="AK180" s="234" t="n"/>
      <c r="AL180" s="234" t="n"/>
      <c r="AM180" s="234" t="n"/>
      <c r="AN180" s="234" t="n"/>
      <c r="AO180" s="234" t="n"/>
      <c r="AP180" s="234" t="n"/>
      <c r="AQ180" s="234" t="n"/>
      <c r="AR180" s="234" t="n"/>
      <c r="AS180" s="234" t="n"/>
      <c r="AT180" s="234" t="n"/>
      <c r="AU180" s="234" t="n"/>
      <c r="AV180" s="234" t="n"/>
      <c r="AW180" s="234" t="n"/>
      <c r="AX180" s="234" t="n"/>
      <c r="AY180" s="234" t="n"/>
      <c r="AZ180" s="234" t="n"/>
      <c r="BA180" s="234" t="n"/>
      <c r="BB180" s="18" t="n"/>
      <c r="BC180" s="136" t="n"/>
      <c r="BE180" s="14" t="n"/>
      <c r="BF180" s="14" t="n"/>
      <c r="BG180" s="14" t="n"/>
      <c r="BH180" s="14" t="n"/>
    </row>
    <row r="181" ht="15.75" customHeight="1">
      <c r="A181" s="10" t="n"/>
      <c r="B181" s="14" t="n"/>
      <c r="C181" s="23" t="inlineStr">
        <is>
          <t>Checked PLOT</t>
        </is>
      </c>
      <c r="E181" s="138" t="n"/>
      <c r="F181" s="138" t="n"/>
      <c r="G181" s="138" t="n"/>
      <c r="H181" s="138" t="n"/>
      <c r="I181" s="138" t="n"/>
      <c r="J181" s="138" t="n"/>
      <c r="K181" s="138" t="n"/>
      <c r="L181" s="138" t="n"/>
      <c r="M181" s="138" t="n"/>
      <c r="N181" s="138" t="n"/>
      <c r="O181" s="138" t="n"/>
      <c r="P181" s="138" t="n"/>
      <c r="Q181" s="138" t="n"/>
      <c r="R181" s="138" t="n"/>
      <c r="S181" s="138" t="n"/>
      <c r="T181" s="138" t="n"/>
      <c r="U181" s="138" t="n"/>
      <c r="V181" s="138" t="n"/>
      <c r="W181" s="138" t="n"/>
      <c r="X181" s="138" t="n"/>
      <c r="Y181" s="138" t="n"/>
      <c r="Z181" s="138" t="n"/>
      <c r="AA181" s="138" t="n"/>
      <c r="AB181" s="138" t="n"/>
      <c r="AC181" s="11" t="n"/>
      <c r="AD181" s="234" t="n"/>
      <c r="AE181" s="234" t="n"/>
      <c r="AF181" s="234" t="n"/>
      <c r="AG181" s="234" t="n"/>
      <c r="AH181" s="234" t="n"/>
      <c r="AI181" s="234" t="n"/>
      <c r="AJ181" s="234" t="n"/>
      <c r="AK181" s="234" t="n"/>
      <c r="AL181" s="234" t="n"/>
      <c r="AM181" s="234" t="n"/>
      <c r="AN181" s="234" t="n"/>
      <c r="AO181" s="234" t="n"/>
      <c r="AP181" s="234" t="n"/>
      <c r="AQ181" s="234" t="n"/>
      <c r="AR181" s="234" t="n"/>
      <c r="AS181" s="234" t="n"/>
      <c r="AT181" s="234" t="n"/>
      <c r="AU181" s="234" t="n"/>
      <c r="AV181" s="234" t="n"/>
      <c r="AW181" s="234" t="n"/>
      <c r="AX181" s="234" t="n"/>
      <c r="AY181" s="234" t="n"/>
      <c r="AZ181" s="234" t="n"/>
      <c r="BA181" s="234" t="n"/>
      <c r="BB181" s="18" t="n"/>
      <c r="BC181" s="62" t="n"/>
      <c r="BD181" s="10" t="n"/>
      <c r="BE181" s="14" t="n"/>
      <c r="BF181" s="14" t="n"/>
      <c r="BG181" s="14" t="n"/>
      <c r="BH181" s="14" t="n"/>
    </row>
    <row r="182" ht="15.75" customHeight="1">
      <c r="A182" s="10" t="n"/>
      <c r="B182" s="14" t="n"/>
      <c r="C182" s="23" t="inlineStr">
        <is>
          <t>RPO PLOT</t>
        </is>
      </c>
      <c r="E182" s="138" t="n"/>
      <c r="F182" s="138" t="n"/>
      <c r="G182" s="138" t="n"/>
      <c r="H182" s="138" t="n"/>
      <c r="I182" s="138" t="n"/>
      <c r="J182" s="138" t="n"/>
      <c r="K182" s="138" t="n"/>
      <c r="L182" s="138" t="n"/>
      <c r="M182" s="138" t="n"/>
      <c r="N182" s="138" t="n"/>
      <c r="O182" s="138" t="n"/>
      <c r="P182" s="138" t="n"/>
      <c r="Q182" s="138" t="n"/>
      <c r="R182" s="138" t="n"/>
      <c r="S182" s="138" t="n"/>
      <c r="T182" s="138" t="n"/>
      <c r="U182" s="138" t="n"/>
      <c r="V182" s="138" t="n"/>
      <c r="W182" s="138" t="n"/>
      <c r="X182" s="138" t="n"/>
      <c r="Y182" s="138" t="n"/>
      <c r="Z182" s="138" t="n"/>
      <c r="AA182" s="138" t="n"/>
      <c r="AB182" s="138" t="n"/>
      <c r="AC182" s="11" t="n"/>
      <c r="AD182" s="234" t="n"/>
      <c r="AE182" s="234" t="n"/>
      <c r="AF182" s="234" t="n"/>
      <c r="AG182" s="234" t="n"/>
      <c r="AH182" s="234" t="n"/>
      <c r="AI182" s="234" t="n"/>
      <c r="AJ182" s="234" t="n"/>
      <c r="AK182" s="234" t="n"/>
      <c r="AL182" s="234" t="n"/>
      <c r="AM182" s="234" t="n"/>
      <c r="AN182" s="234" t="n"/>
      <c r="AO182" s="234" t="n"/>
      <c r="AP182" s="234" t="n"/>
      <c r="AQ182" s="234" t="n"/>
      <c r="AR182" s="234" t="n"/>
      <c r="AS182" s="234" t="n"/>
      <c r="AT182" s="234" t="n"/>
      <c r="AU182" s="234" t="n"/>
      <c r="AV182" s="234" t="n"/>
      <c r="AW182" s="234" t="n"/>
      <c r="AX182" s="234" t="n"/>
      <c r="AY182" s="234" t="n"/>
      <c r="AZ182" s="234" t="n"/>
      <c r="BA182" s="234" t="n"/>
      <c r="BB182" s="18" t="n"/>
      <c r="BC182" s="62" t="n"/>
      <c r="BD182" s="10" t="n"/>
      <c r="BE182" s="14" t="n"/>
      <c r="BF182" s="14" t="n"/>
      <c r="BG182" s="14" t="n"/>
      <c r="BH182" s="14" t="n"/>
    </row>
    <row r="183" ht="15.75" customHeight="1">
      <c r="A183" s="14" t="n"/>
      <c r="B183" s="14" t="n"/>
      <c r="C183" s="23" t="inlineStr">
        <is>
          <t>Checked BP</t>
        </is>
      </c>
      <c r="E183" s="138" t="n"/>
      <c r="F183" s="138" t="n"/>
      <c r="G183" s="138" t="n"/>
      <c r="H183" s="138" t="n"/>
      <c r="I183" s="138" t="n"/>
      <c r="J183" s="138" t="n"/>
      <c r="K183" s="138" t="n"/>
      <c r="L183" s="138" t="n"/>
      <c r="M183" s="138" t="n"/>
      <c r="N183" s="138" t="n"/>
      <c r="O183" s="138" t="n"/>
      <c r="P183" s="138" t="n"/>
      <c r="Q183" s="138" t="n"/>
      <c r="R183" s="138" t="n"/>
      <c r="S183" s="138" t="n"/>
      <c r="T183" s="138" t="n"/>
      <c r="U183" s="138" t="n"/>
      <c r="V183" s="138" t="n"/>
      <c r="W183" s="138" t="n"/>
      <c r="X183" s="138" t="n"/>
      <c r="Y183" s="138" t="n"/>
      <c r="Z183" s="138" t="n"/>
      <c r="AA183" s="138" t="n"/>
      <c r="AB183" s="138" t="n"/>
      <c r="AC183" s="11" t="n"/>
      <c r="AD183" s="234" t="n"/>
      <c r="AE183" s="234" t="n"/>
      <c r="AF183" s="234" t="n"/>
      <c r="AG183" s="234" t="n"/>
      <c r="AH183" s="234" t="n"/>
      <c r="AI183" s="234" t="n"/>
      <c r="AJ183" s="234" t="n"/>
      <c r="AK183" s="234" t="n"/>
      <c r="AL183" s="234" t="n"/>
      <c r="AM183" s="234" t="n"/>
      <c r="AN183" s="234" t="n"/>
      <c r="AO183" s="234" t="n"/>
      <c r="AP183" s="234" t="n"/>
      <c r="AQ183" s="234" t="n"/>
      <c r="AR183" s="234" t="n"/>
      <c r="AS183" s="234" t="n"/>
      <c r="AT183" s="234" t="n"/>
      <c r="AU183" s="234" t="n"/>
      <c r="AV183" s="234" t="n"/>
      <c r="AW183" s="234" t="n"/>
      <c r="AX183" s="234" t="n"/>
      <c r="AY183" s="234" t="n"/>
      <c r="AZ183" s="234" t="n"/>
      <c r="BA183" s="234" t="n"/>
      <c r="BB183" s="18" t="n"/>
      <c r="BC183" s="129" t="n"/>
      <c r="BD183" s="14" t="n"/>
      <c r="BE183" s="14" t="n"/>
      <c r="BF183" s="14" t="n"/>
      <c r="BG183" s="14" t="n"/>
      <c r="BH183" s="14" t="n"/>
    </row>
    <row r="184" ht="15.75" customHeight="1">
      <c r="A184" s="14" t="n"/>
      <c r="B184" s="14" t="n"/>
      <c r="C184" s="23" t="inlineStr">
        <is>
          <t>RPO BP</t>
        </is>
      </c>
      <c r="E184" s="138" t="n"/>
      <c r="F184" s="138" t="n"/>
      <c r="G184" s="138" t="n"/>
      <c r="H184" s="138" t="n"/>
      <c r="I184" s="138" t="n"/>
      <c r="J184" s="138" t="n"/>
      <c r="K184" s="138" t="n"/>
      <c r="L184" s="138" t="n"/>
      <c r="M184" s="138" t="n"/>
      <c r="N184" s="138" t="n"/>
      <c r="O184" s="138" t="n"/>
      <c r="P184" s="138" t="n"/>
      <c r="Q184" s="138" t="n"/>
      <c r="R184" s="138" t="n"/>
      <c r="S184" s="138" t="n"/>
      <c r="T184" s="138" t="n"/>
      <c r="U184" s="138" t="n"/>
      <c r="V184" s="138" t="n"/>
      <c r="W184" s="138" t="n"/>
      <c r="X184" s="138" t="n"/>
      <c r="Y184" s="138" t="n"/>
      <c r="Z184" s="138" t="n"/>
      <c r="AA184" s="138" t="n"/>
      <c r="AB184" s="138" t="n"/>
      <c r="AC184" s="11" t="n"/>
      <c r="AD184" s="234" t="n"/>
      <c r="AE184" s="234" t="n"/>
      <c r="AF184" s="234" t="n"/>
      <c r="AG184" s="234" t="n"/>
      <c r="AH184" s="234" t="n"/>
      <c r="AI184" s="234" t="n"/>
      <c r="AJ184" s="234" t="n"/>
      <c r="AK184" s="234" t="n"/>
      <c r="AL184" s="234" t="n"/>
      <c r="AM184" s="234" t="n"/>
      <c r="AN184" s="234" t="n"/>
      <c r="AO184" s="234" t="n"/>
      <c r="AP184" s="234" t="n"/>
      <c r="AQ184" s="234" t="n"/>
      <c r="AR184" s="234" t="n"/>
      <c r="AS184" s="234" t="n"/>
      <c r="AT184" s="234" t="n"/>
      <c r="AU184" s="234" t="n"/>
      <c r="AV184" s="234" t="n"/>
      <c r="AW184" s="234" t="n"/>
      <c r="AX184" s="234" t="n"/>
      <c r="AY184" s="234" t="n"/>
      <c r="AZ184" s="234" t="n"/>
      <c r="BA184" s="234" t="n"/>
      <c r="BB184" s="18" t="n"/>
      <c r="BC184" s="129" t="n"/>
      <c r="BD184" s="14" t="n"/>
      <c r="BE184" s="14" t="n"/>
      <c r="BF184" s="14" t="n"/>
      <c r="BG184" s="14" t="n"/>
      <c r="BH184" s="14" t="n"/>
    </row>
    <row r="185" ht="15.75" customHeight="1">
      <c r="A185" s="14" t="n"/>
      <c r="B185" s="14" t="n"/>
      <c r="C185" s="23" t="inlineStr">
        <is>
          <t>Invalid PLOT</t>
        </is>
      </c>
      <c r="E185" s="138" t="n"/>
      <c r="F185" s="138" t="n"/>
      <c r="G185" s="138" t="n"/>
      <c r="H185" s="138" t="n"/>
      <c r="I185" s="138" t="n"/>
      <c r="J185" s="138" t="n"/>
      <c r="K185" s="138" t="n"/>
      <c r="L185" s="138" t="n"/>
      <c r="M185" s="138" t="n"/>
      <c r="N185" s="138" t="n"/>
      <c r="O185" s="138" t="n"/>
      <c r="P185" s="138" t="n"/>
      <c r="Q185" s="138" t="n"/>
      <c r="R185" s="138" t="n"/>
      <c r="S185" s="138" t="n"/>
      <c r="T185" s="138" t="n"/>
      <c r="U185" s="138" t="n"/>
      <c r="V185" s="138" t="n"/>
      <c r="W185" s="138" t="n"/>
      <c r="X185" s="138" t="n"/>
      <c r="Y185" s="138" t="n"/>
      <c r="Z185" s="138" t="n"/>
      <c r="AA185" s="138" t="n"/>
      <c r="AB185" s="138" t="n"/>
      <c r="AC185" s="11" t="n"/>
      <c r="AD185" s="234" t="n"/>
      <c r="AE185" s="234" t="n"/>
      <c r="AF185" s="234" t="n"/>
      <c r="AG185" s="234" t="n"/>
      <c r="AH185" s="234" t="n"/>
      <c r="AI185" s="234" t="n"/>
      <c r="AJ185" s="234" t="n"/>
      <c r="AK185" s="234" t="n"/>
      <c r="AL185" s="234" t="n"/>
      <c r="AM185" s="234" t="n"/>
      <c r="AN185" s="234" t="n"/>
      <c r="AO185" s="234" t="n"/>
      <c r="AP185" s="234" t="n"/>
      <c r="AQ185" s="234" t="n"/>
      <c r="AR185" s="234" t="n"/>
      <c r="AS185" s="234" t="n"/>
      <c r="AT185" s="234" t="n"/>
      <c r="AU185" s="234" t="n"/>
      <c r="AV185" s="234" t="n"/>
      <c r="AW185" s="234" t="n"/>
      <c r="AX185" s="234" t="n"/>
      <c r="AY185" s="234" t="n"/>
      <c r="AZ185" s="234" t="n"/>
      <c r="BA185" s="234" t="n"/>
      <c r="BB185" s="18" t="n"/>
      <c r="BC185" s="129" t="n"/>
      <c r="BD185" s="14" t="n"/>
      <c r="BE185" s="14" t="n"/>
      <c r="BF185" s="14" t="n"/>
      <c r="BG185" s="14" t="n"/>
      <c r="BH185" s="14" t="n"/>
    </row>
    <row r="186" ht="16.5" customHeight="1">
      <c r="A186" s="14" t="n"/>
      <c r="B186" s="14" t="n"/>
      <c r="C186" s="23" t="inlineStr">
        <is>
          <t>Invalid BP</t>
        </is>
      </c>
      <c r="E186" s="138" t="n"/>
      <c r="F186" s="138" t="n"/>
      <c r="G186" s="138" t="n"/>
      <c r="H186" s="138" t="n"/>
      <c r="I186" s="138" t="n"/>
      <c r="J186" s="138" t="n"/>
      <c r="K186" s="138" t="n"/>
      <c r="L186" s="138" t="n"/>
      <c r="M186" s="138" t="n"/>
      <c r="N186" s="138" t="n"/>
      <c r="O186" s="138" t="n"/>
      <c r="P186" s="138" t="n"/>
      <c r="Q186" s="138" t="n"/>
      <c r="R186" s="138" t="n"/>
      <c r="S186" s="138" t="n"/>
      <c r="T186" s="138" t="n"/>
      <c r="U186" s="138" t="n"/>
      <c r="V186" s="138" t="n"/>
      <c r="W186" s="138" t="n"/>
      <c r="X186" s="138" t="n"/>
      <c r="Y186" s="138" t="n"/>
      <c r="Z186" s="138" t="n"/>
      <c r="AA186" s="138" t="n"/>
      <c r="AB186" s="138" t="n"/>
      <c r="AC186" s="11" t="n"/>
      <c r="AD186" s="234" t="n"/>
      <c r="AE186" s="234" t="n"/>
      <c r="AF186" s="234" t="n"/>
      <c r="AG186" s="234" t="n"/>
      <c r="AH186" s="234" t="n"/>
      <c r="AI186" s="234" t="n"/>
      <c r="AJ186" s="234" t="n"/>
      <c r="AK186" s="234" t="n"/>
      <c r="AL186" s="234" t="n"/>
      <c r="AM186" s="234" t="n"/>
      <c r="AN186" s="234" t="n"/>
      <c r="AO186" s="234" t="n"/>
      <c r="AP186" s="234" t="n"/>
      <c r="AQ186" s="234" t="n"/>
      <c r="AR186" s="234" t="n"/>
      <c r="AS186" s="234" t="n"/>
      <c r="AT186" s="234" t="n"/>
      <c r="AU186" s="234" t="n"/>
      <c r="AV186" s="234" t="n"/>
      <c r="AW186" s="234" t="n"/>
      <c r="AX186" s="234" t="n"/>
      <c r="AY186" s="234" t="n"/>
      <c r="AZ186" s="234" t="n"/>
      <c r="BA186" s="234" t="n"/>
      <c r="BB186" s="18" t="n"/>
      <c r="BC186" s="129" t="n"/>
      <c r="BD186" s="14" t="n"/>
      <c r="BE186" s="14" t="n"/>
      <c r="BF186" s="14" t="n"/>
      <c r="BG186" s="14" t="n"/>
      <c r="BH186" s="14" t="n"/>
    </row>
    <row r="187" ht="66.75" customHeight="1">
      <c r="A187" s="14" t="n"/>
      <c r="B187" s="14" t="n"/>
      <c r="C187" s="24" t="inlineStr">
        <is>
          <t>Op Log</t>
        </is>
      </c>
      <c r="E187" s="316" t="n"/>
      <c r="F187" s="322" t="n"/>
      <c r="G187" s="322" t="n"/>
      <c r="H187" s="322" t="n"/>
      <c r="I187" s="322" t="n"/>
      <c r="J187" s="322" t="n"/>
      <c r="K187" s="322" t="n"/>
      <c r="L187" s="322" t="n"/>
      <c r="M187" s="322" t="n"/>
      <c r="N187" s="322" t="n"/>
      <c r="O187" s="322" t="n"/>
      <c r="P187" s="322" t="n"/>
      <c r="Q187" s="322" t="n"/>
      <c r="R187" s="322" t="n"/>
      <c r="S187" s="322" t="n"/>
      <c r="T187" s="322" t="n"/>
      <c r="U187" s="322" t="n"/>
      <c r="V187" s="322" t="n"/>
      <c r="W187" s="322" t="n"/>
      <c r="X187" s="322" t="n"/>
      <c r="Y187" s="322" t="n"/>
      <c r="Z187" s="322" t="n"/>
      <c r="AA187" s="322" t="n"/>
      <c r="AB187" s="322" t="n"/>
      <c r="AC187" s="11" t="n"/>
      <c r="AD187" s="234" t="n"/>
      <c r="AE187" s="234" t="n"/>
      <c r="AF187" s="234" t="n"/>
      <c r="AG187" s="234" t="n"/>
      <c r="AH187" s="234" t="n"/>
      <c r="AI187" s="234" t="n"/>
      <c r="AJ187" s="234" t="n"/>
      <c r="AK187" s="234" t="n"/>
      <c r="AL187" s="234" t="n"/>
      <c r="AM187" s="234" t="n"/>
      <c r="AN187" s="234" t="n"/>
      <c r="AO187" s="234" t="n"/>
      <c r="AP187" s="234" t="n"/>
      <c r="AQ187" s="234" t="n"/>
      <c r="AR187" s="234" t="n"/>
      <c r="AS187" s="234" t="n"/>
      <c r="AT187" s="234" t="n"/>
      <c r="AU187" s="234" t="n"/>
      <c r="AV187" s="234" t="n"/>
      <c r="AW187" s="234" t="n"/>
      <c r="AX187" s="234" t="n"/>
      <c r="AY187" s="234" t="n"/>
      <c r="AZ187" s="234" t="n"/>
      <c r="BA187" s="234" t="n"/>
      <c r="BB187" s="18" t="n"/>
      <c r="BC187" s="129" t="n"/>
      <c r="BD187" s="14" t="n"/>
      <c r="BE187" s="14" t="n"/>
      <c r="BF187" s="14" t="n"/>
      <c r="BG187" s="14" t="n"/>
      <c r="BH187" s="14" t="n"/>
    </row>
    <row r="188" ht="43.5" customHeight="1">
      <c r="A188" s="10" t="n"/>
      <c r="B188" s="10" t="n"/>
      <c r="C188" s="24" t="inlineStr">
        <is>
          <t>Notes:</t>
        </is>
      </c>
      <c r="E188" s="321" t="n"/>
      <c r="F188" s="322" t="n"/>
      <c r="G188" s="322" t="n"/>
      <c r="H188" s="322" t="n"/>
      <c r="I188" s="322" t="n"/>
      <c r="J188" s="322" t="n"/>
      <c r="K188" s="322" t="n"/>
      <c r="L188" s="322" t="n"/>
      <c r="M188" s="322" t="n"/>
      <c r="N188" s="322" t="n"/>
      <c r="O188" s="322" t="n"/>
      <c r="P188" s="323" t="n"/>
      <c r="Q188" s="324" t="n"/>
      <c r="R188" s="322" t="n"/>
      <c r="S188" s="322" t="n"/>
      <c r="T188" s="322" t="n"/>
      <c r="U188" s="322" t="n"/>
      <c r="V188" s="322" t="n"/>
      <c r="W188" s="322" t="n"/>
      <c r="X188" s="322" t="n"/>
      <c r="Y188" s="322" t="n"/>
      <c r="Z188" s="322" t="n"/>
      <c r="AA188" s="322" t="n"/>
      <c r="AB188" s="322" t="n"/>
      <c r="AC188" s="32" t="n"/>
      <c r="AD188" s="234" t="n"/>
      <c r="AE188" s="234" t="n"/>
      <c r="AF188" s="234" t="n"/>
      <c r="AG188" s="234" t="n"/>
      <c r="AH188" s="234" t="n"/>
      <c r="AI188" s="234" t="n"/>
      <c r="AJ188" s="234" t="n"/>
      <c r="AK188" s="234" t="n"/>
      <c r="AL188" s="234" t="n"/>
      <c r="AM188" s="234" t="n"/>
      <c r="AN188" s="234" t="n"/>
      <c r="AO188" s="234" t="n"/>
      <c r="AP188" s="234" t="n"/>
      <c r="AQ188" s="234" t="n"/>
      <c r="AR188" s="234" t="n"/>
      <c r="AS188" s="234" t="n"/>
      <c r="AT188" s="234" t="n"/>
      <c r="AU188" s="234" t="n"/>
      <c r="AV188" s="234" t="n"/>
      <c r="AW188" s="234" t="n"/>
      <c r="AX188" s="234" t="n"/>
      <c r="AY188" s="234" t="n"/>
      <c r="AZ188" s="234" t="n"/>
      <c r="BA188" s="234" t="n"/>
      <c r="BB188" s="18" t="n"/>
      <c r="BC188" s="62" t="n"/>
      <c r="BD188" s="10" t="n"/>
      <c r="BE188" s="10" t="n"/>
      <c r="BF188" s="10" t="n"/>
      <c r="BG188" s="10" t="n"/>
      <c r="BH188" s="10" t="n"/>
    </row>
    <row r="189">
      <c r="C189" s="23"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c r="AA189" s="38" t="n"/>
      <c r="AB189" s="38" t="n"/>
    </row>
    <row r="190">
      <c r="C190" s="23" t="n"/>
    </row>
    <row r="191">
      <c r="C191" s="23" t="n"/>
    </row>
    <row r="192">
      <c r="C192" s="23" t="n"/>
    </row>
    <row r="193">
      <c r="C193" s="23" t="n"/>
    </row>
  </sheetData>
  <mergeCells count="159">
    <mergeCell ref="Q72:AB72"/>
    <mergeCell ref="E107:AB107"/>
    <mergeCell ref="Q94:AB94"/>
    <mergeCell ref="BD56:BH56"/>
    <mergeCell ref="Z96:AE96"/>
    <mergeCell ref="C2:J3"/>
    <mergeCell ref="BD105:BH105"/>
    <mergeCell ref="BD153:BH153"/>
    <mergeCell ref="AD36:AO36"/>
    <mergeCell ref="E108:P108"/>
    <mergeCell ref="BD58:BH58"/>
    <mergeCell ref="E176:AB176"/>
    <mergeCell ref="BD8:BH8"/>
    <mergeCell ref="E46:AB46"/>
    <mergeCell ref="AD129:BA129"/>
    <mergeCell ref="AD61:AO61"/>
    <mergeCell ref="AD141:AO141"/>
    <mergeCell ref="AP166:BA166"/>
    <mergeCell ref="E25:P25"/>
    <mergeCell ref="BD107:BH107"/>
    <mergeCell ref="BD60:BH60"/>
    <mergeCell ref="BD16:BH16"/>
    <mergeCell ref="AD47:AO47"/>
    <mergeCell ref="AD93:BA93"/>
    <mergeCell ref="AP47:BA47"/>
    <mergeCell ref="BD149:BH149"/>
    <mergeCell ref="AD165:BA165"/>
    <mergeCell ref="E129:AB129"/>
    <mergeCell ref="E24:AB24"/>
    <mergeCell ref="BD108:BH108"/>
    <mergeCell ref="E141:P141"/>
    <mergeCell ref="E83:P83"/>
    <mergeCell ref="AD166:AO166"/>
    <mergeCell ref="Q130:AB130"/>
    <mergeCell ref="Q83:AB83"/>
    <mergeCell ref="Q166:AB166"/>
    <mergeCell ref="BD150:BH150"/>
    <mergeCell ref="E140:AB140"/>
    <mergeCell ref="AD13:BA13"/>
    <mergeCell ref="E82:AB82"/>
    <mergeCell ref="E35:AB35"/>
    <mergeCell ref="E94:P94"/>
    <mergeCell ref="E177:P177"/>
    <mergeCell ref="Q14:AB14"/>
    <mergeCell ref="BD7:BH7"/>
    <mergeCell ref="Q177:AB177"/>
    <mergeCell ref="AD46:BA46"/>
    <mergeCell ref="BD109:BH109"/>
    <mergeCell ref="BD62:BH62"/>
    <mergeCell ref="E60:AB60"/>
    <mergeCell ref="AD179:BA188"/>
    <mergeCell ref="E61:P61"/>
    <mergeCell ref="BD98:BH98"/>
    <mergeCell ref="AP36:BA36"/>
    <mergeCell ref="Q108:AB108"/>
    <mergeCell ref="Q61:AB61"/>
    <mergeCell ref="AD154:BA154"/>
    <mergeCell ref="BD57:BH57"/>
    <mergeCell ref="E72:P72"/>
    <mergeCell ref="AD155:AO155"/>
    <mergeCell ref="BD10:BH10"/>
    <mergeCell ref="C49:J50"/>
    <mergeCell ref="E47:P47"/>
    <mergeCell ref="AP141:BA141"/>
    <mergeCell ref="BD146:BH146"/>
    <mergeCell ref="BD99:BH99"/>
    <mergeCell ref="Q47:AB47"/>
    <mergeCell ref="AD83:AO83"/>
    <mergeCell ref="Q25:AB25"/>
    <mergeCell ref="Z49:AE49"/>
    <mergeCell ref="BD154:BH154"/>
    <mergeCell ref="BD101:BH101"/>
    <mergeCell ref="AD14:AO14"/>
    <mergeCell ref="AD82:BA82"/>
    <mergeCell ref="E71:AB71"/>
    <mergeCell ref="AD94:AO94"/>
    <mergeCell ref="E188:P188"/>
    <mergeCell ref="AP14:BA14"/>
    <mergeCell ref="P2:U2"/>
    <mergeCell ref="AD60:BA60"/>
    <mergeCell ref="AD119:AO119"/>
    <mergeCell ref="Q141:AB141"/>
    <mergeCell ref="BD110:BH110"/>
    <mergeCell ref="BD59:BH59"/>
    <mergeCell ref="AP119:BA119"/>
    <mergeCell ref="AD118:BA118"/>
    <mergeCell ref="E166:P166"/>
    <mergeCell ref="BD52:BH52"/>
    <mergeCell ref="BD9:BH9"/>
    <mergeCell ref="BD61:BH61"/>
    <mergeCell ref="BD152:BH152"/>
    <mergeCell ref="Q36:AB36"/>
    <mergeCell ref="E154:AB154"/>
    <mergeCell ref="BD13:BH13"/>
    <mergeCell ref="BD4:BH4"/>
    <mergeCell ref="BD147:BH147"/>
    <mergeCell ref="AP25:BA25"/>
    <mergeCell ref="BD15:BH15"/>
    <mergeCell ref="E93:AB93"/>
    <mergeCell ref="AD71:BA71"/>
    <mergeCell ref="AD130:AO130"/>
    <mergeCell ref="AP155:BA155"/>
    <mergeCell ref="AP130:BA130"/>
    <mergeCell ref="C143:J144"/>
    <mergeCell ref="AD107:BA107"/>
    <mergeCell ref="AP83:BA83"/>
    <mergeCell ref="BD63:BH63"/>
    <mergeCell ref="P96:U96"/>
    <mergeCell ref="AD35:BA35"/>
    <mergeCell ref="BD51:BH51"/>
    <mergeCell ref="AD25:AO25"/>
    <mergeCell ref="P49:U49"/>
    <mergeCell ref="BD100:BH100"/>
    <mergeCell ref="E155:P155"/>
    <mergeCell ref="AD178:BA178"/>
    <mergeCell ref="AP94:BA94"/>
    <mergeCell ref="BD156:BH156"/>
    <mergeCell ref="E13:AB13"/>
    <mergeCell ref="Q155:AB155"/>
    <mergeCell ref="BD106:BH106"/>
    <mergeCell ref="E118:AB118"/>
    <mergeCell ref="BD155:BH155"/>
    <mergeCell ref="Z2:AE2"/>
    <mergeCell ref="BD102:BH102"/>
    <mergeCell ref="AD108:AO108"/>
    <mergeCell ref="AD140:BA140"/>
    <mergeCell ref="BD12:BH12"/>
    <mergeCell ref="Q188:AB188"/>
    <mergeCell ref="AP108:BA108"/>
    <mergeCell ref="BD148:BH148"/>
    <mergeCell ref="BD157:BH157"/>
    <mergeCell ref="C96:J97"/>
    <mergeCell ref="E36:P36"/>
    <mergeCell ref="BD151:BH151"/>
    <mergeCell ref="E119:P119"/>
    <mergeCell ref="BD5:BH5"/>
    <mergeCell ref="AP61:BA61"/>
    <mergeCell ref="BD14:BH14"/>
    <mergeCell ref="Q119:AB119"/>
    <mergeCell ref="P143:U143"/>
    <mergeCell ref="Z143:AE143"/>
    <mergeCell ref="AD72:AO72"/>
    <mergeCell ref="BD11:BH11"/>
    <mergeCell ref="E187:AB187"/>
    <mergeCell ref="AP72:BA72"/>
    <mergeCell ref="BD103:BH103"/>
    <mergeCell ref="BD53:BH53"/>
    <mergeCell ref="BD6:BH6"/>
    <mergeCell ref="E130:P130"/>
    <mergeCell ref="AD177:AO177"/>
    <mergeCell ref="BD55:BH55"/>
    <mergeCell ref="AD176:BA176"/>
    <mergeCell ref="AP177:BA177"/>
    <mergeCell ref="BD104:BH104"/>
    <mergeCell ref="AD24:BA24"/>
    <mergeCell ref="E14:P14"/>
    <mergeCell ref="E165:AB165"/>
    <mergeCell ref="BD54:BH54"/>
    <mergeCell ref="BD145:BH145"/>
  </mergeCells>
  <conditionalFormatting sqref="E13:E14">
    <cfRule type="cellIs" priority="31" operator="equal" dxfId="0">
      <formula>"RP"</formula>
    </cfRule>
  </conditionalFormatting>
  <conditionalFormatting sqref="E24:E25">
    <cfRule type="cellIs" priority="29" operator="equal" dxfId="0">
      <formula>"RP"</formula>
    </cfRule>
  </conditionalFormatting>
  <conditionalFormatting sqref="E35:E36">
    <cfRule type="cellIs" priority="27" operator="equal" dxfId="0">
      <formula>"RP"</formula>
    </cfRule>
  </conditionalFormatting>
  <conditionalFormatting sqref="E46:E47">
    <cfRule type="cellIs" priority="25" operator="equal" dxfId="0">
      <formula>"RP"</formula>
    </cfRule>
  </conditionalFormatting>
  <conditionalFormatting sqref="E60:E61">
    <cfRule type="cellIs" priority="23" operator="equal" dxfId="0">
      <formula>"RP"</formula>
    </cfRule>
  </conditionalFormatting>
  <conditionalFormatting sqref="E71:E72">
    <cfRule type="cellIs" priority="21" operator="equal" dxfId="0">
      <formula>"RP"</formula>
    </cfRule>
  </conditionalFormatting>
  <conditionalFormatting sqref="E82:E83">
    <cfRule type="cellIs" priority="19" operator="equal" dxfId="0">
      <formula>"RP"</formula>
    </cfRule>
  </conditionalFormatting>
  <conditionalFormatting sqref="E93:E94">
    <cfRule type="cellIs" priority="17" operator="equal" dxfId="0">
      <formula>"RP"</formula>
    </cfRule>
  </conditionalFormatting>
  <conditionalFormatting sqref="E107:E108">
    <cfRule type="cellIs" priority="15" operator="equal" dxfId="0">
      <formula>"RP"</formula>
    </cfRule>
  </conditionalFormatting>
  <conditionalFormatting sqref="E118:E119">
    <cfRule type="cellIs" priority="13" operator="equal" dxfId="0">
      <formula>"RP"</formula>
    </cfRule>
  </conditionalFormatting>
  <conditionalFormatting sqref="E129:E130">
    <cfRule type="cellIs" priority="11" operator="equal" dxfId="0">
      <formula>"RP"</formula>
    </cfRule>
  </conditionalFormatting>
  <conditionalFormatting sqref="E140:E141">
    <cfRule type="cellIs" priority="9" operator="equal" dxfId="0">
      <formula>"RP"</formula>
    </cfRule>
  </conditionalFormatting>
  <conditionalFormatting sqref="E154:E155">
    <cfRule type="cellIs" priority="7" operator="equal" dxfId="0">
      <formula>"RP"</formula>
    </cfRule>
  </conditionalFormatting>
  <conditionalFormatting sqref="E165:E166">
    <cfRule type="cellIs" priority="5" operator="equal" dxfId="0">
      <formula>"RP"</formula>
    </cfRule>
  </conditionalFormatting>
  <conditionalFormatting sqref="E176:E177">
    <cfRule type="cellIs" priority="3" operator="equal" dxfId="0">
      <formula>"RP"</formula>
    </cfRule>
  </conditionalFormatting>
  <conditionalFormatting sqref="E187:E188">
    <cfRule type="cellIs" priority="1" operator="equal" dxfId="0">
      <formula>"RP"</formula>
    </cfRule>
  </conditionalFormatting>
  <conditionalFormatting sqref="E9:O9">
    <cfRule type="cellIs" priority="284" operator="equal" dxfId="0">
      <formula>"RP"</formula>
    </cfRule>
  </conditionalFormatting>
  <conditionalFormatting sqref="E20:O20">
    <cfRule type="cellIs" priority="179" operator="equal" dxfId="0">
      <formula>"RP"</formula>
    </cfRule>
  </conditionalFormatting>
  <conditionalFormatting sqref="E31:O31">
    <cfRule type="cellIs" priority="144" operator="equal" dxfId="0">
      <formula>"RP"</formula>
    </cfRule>
  </conditionalFormatting>
  <conditionalFormatting sqref="E42:O42">
    <cfRule type="cellIs" priority="39" operator="equal" dxfId="0">
      <formula>"RP"</formula>
    </cfRule>
  </conditionalFormatting>
  <conditionalFormatting sqref="E56:O56">
    <cfRule type="cellIs" priority="1519" operator="equal" dxfId="0">
      <formula>"RP"</formula>
    </cfRule>
  </conditionalFormatting>
  <conditionalFormatting sqref="E67:O67">
    <cfRule type="cellIs" priority="986" operator="equal" dxfId="0">
      <formula>"RP"</formula>
    </cfRule>
  </conditionalFormatting>
  <conditionalFormatting sqref="E78:O78">
    <cfRule type="cellIs" priority="951" operator="equal" dxfId="0">
      <formula>"RP"</formula>
    </cfRule>
  </conditionalFormatting>
  <conditionalFormatting sqref="E89:O89">
    <cfRule type="cellIs" priority="846" operator="equal" dxfId="0">
      <formula>"RP"</formula>
    </cfRule>
  </conditionalFormatting>
  <conditionalFormatting sqref="E103:O103">
    <cfRule type="cellIs" priority="811" operator="equal" dxfId="0">
      <formula>"RP"</formula>
    </cfRule>
  </conditionalFormatting>
  <conditionalFormatting sqref="E114:O114">
    <cfRule type="cellIs" priority="706" operator="equal" dxfId="0">
      <formula>"RP"</formula>
    </cfRule>
  </conditionalFormatting>
  <conditionalFormatting sqref="E125:O125">
    <cfRule type="cellIs" priority="671" operator="equal" dxfId="0">
      <formula>"RP"</formula>
    </cfRule>
  </conditionalFormatting>
  <conditionalFormatting sqref="E136:O136">
    <cfRule type="cellIs" priority="601" operator="equal" dxfId="0">
      <formula>"RP"</formula>
    </cfRule>
  </conditionalFormatting>
  <conditionalFormatting sqref="E150:O150">
    <cfRule type="cellIs" priority="496" operator="equal" dxfId="0">
      <formula>"RP"</formula>
    </cfRule>
  </conditionalFormatting>
  <conditionalFormatting sqref="E161:O161">
    <cfRule type="cellIs" priority="461" operator="equal" dxfId="0">
      <formula>"RP"</formula>
    </cfRule>
  </conditionalFormatting>
  <conditionalFormatting sqref="E172:O172">
    <cfRule type="cellIs" priority="356" operator="equal" dxfId="0">
      <formula>"RP"</formula>
    </cfRule>
  </conditionalFormatting>
  <conditionalFormatting sqref="E183:O183">
    <cfRule type="cellIs" priority="321" operator="equal" dxfId="0">
      <formula>"RP"</formula>
    </cfRule>
  </conditionalFormatting>
  <conditionalFormatting sqref="E7:AA7">
    <cfRule type="cellIs" priority="285" operator="equal" dxfId="0">
      <formula>"RP"</formula>
    </cfRule>
  </conditionalFormatting>
  <conditionalFormatting sqref="E11:AA12">
    <cfRule type="cellIs" priority="283" operator="equal" dxfId="0">
      <formula>"RP"</formula>
    </cfRule>
  </conditionalFormatting>
  <conditionalFormatting sqref="E18:AA18">
    <cfRule type="cellIs" priority="180" operator="equal" dxfId="0">
      <formula>"RP"</formula>
    </cfRule>
  </conditionalFormatting>
  <conditionalFormatting sqref="E22:AA23">
    <cfRule type="cellIs" priority="178" operator="equal" dxfId="0">
      <formula>"RP"</formula>
    </cfRule>
  </conditionalFormatting>
  <conditionalFormatting sqref="E29:AA29">
    <cfRule type="cellIs" priority="145" operator="equal" dxfId="0">
      <formula>"RP"</formula>
    </cfRule>
  </conditionalFormatting>
  <conditionalFormatting sqref="E33:AA34">
    <cfRule type="cellIs" priority="143" operator="equal" dxfId="0">
      <formula>"RP"</formula>
    </cfRule>
  </conditionalFormatting>
  <conditionalFormatting sqref="E40:AA40">
    <cfRule type="cellIs" priority="40" operator="equal" dxfId="0">
      <formula>"RP"</formula>
    </cfRule>
  </conditionalFormatting>
  <conditionalFormatting sqref="E44:AA45">
    <cfRule type="cellIs" priority="38" operator="equal" dxfId="0">
      <formula>"RP"</formula>
    </cfRule>
  </conditionalFormatting>
  <conditionalFormatting sqref="E54:AA54">
    <cfRule type="cellIs" priority="1520" operator="equal" dxfId="0">
      <formula>"RP"</formula>
    </cfRule>
  </conditionalFormatting>
  <conditionalFormatting sqref="E58:AA59">
    <cfRule type="cellIs" priority="1518" operator="equal" dxfId="0">
      <formula>"RP"</formula>
    </cfRule>
  </conditionalFormatting>
  <conditionalFormatting sqref="E65:AA65">
    <cfRule type="cellIs" priority="987" operator="equal" dxfId="0">
      <formula>"RP"</formula>
    </cfRule>
  </conditionalFormatting>
  <conditionalFormatting sqref="E69:AA70">
    <cfRule type="cellIs" priority="985" operator="equal" dxfId="0">
      <formula>"RP"</formula>
    </cfRule>
  </conditionalFormatting>
  <conditionalFormatting sqref="E76:AA76">
    <cfRule type="cellIs" priority="952" operator="equal" dxfId="0">
      <formula>"RP"</formula>
    </cfRule>
  </conditionalFormatting>
  <conditionalFormatting sqref="E80:AA81">
    <cfRule type="cellIs" priority="950" operator="equal" dxfId="0">
      <formula>"RP"</formula>
    </cfRule>
  </conditionalFormatting>
  <conditionalFormatting sqref="E87:AA87">
    <cfRule type="cellIs" priority="847" operator="equal" dxfId="0">
      <formula>"RP"</formula>
    </cfRule>
  </conditionalFormatting>
  <conditionalFormatting sqref="E91:AA92">
    <cfRule type="cellIs" priority="845" operator="equal" dxfId="0">
      <formula>"RP"</formula>
    </cfRule>
  </conditionalFormatting>
  <conditionalFormatting sqref="E101:AA101">
    <cfRule type="cellIs" priority="812" operator="equal" dxfId="0">
      <formula>"RP"</formula>
    </cfRule>
  </conditionalFormatting>
  <conditionalFormatting sqref="E105:AA106">
    <cfRule type="cellIs" priority="810" operator="equal" dxfId="0">
      <formula>"RP"</formula>
    </cfRule>
  </conditionalFormatting>
  <conditionalFormatting sqref="E112:AA112">
    <cfRule type="cellIs" priority="707" operator="equal" dxfId="0">
      <formula>"RP"</formula>
    </cfRule>
  </conditionalFormatting>
  <conditionalFormatting sqref="E116:AA117">
    <cfRule type="cellIs" priority="705" operator="equal" dxfId="0">
      <formula>"RP"</formula>
    </cfRule>
  </conditionalFormatting>
  <conditionalFormatting sqref="E123:AA123">
    <cfRule type="cellIs" priority="672" operator="equal" dxfId="0">
      <formula>"RP"</formula>
    </cfRule>
  </conditionalFormatting>
  <conditionalFormatting sqref="E127:AA128">
    <cfRule type="cellIs" priority="670" operator="equal" dxfId="0">
      <formula>"RP"</formula>
    </cfRule>
  </conditionalFormatting>
  <conditionalFormatting sqref="E134:AA134">
    <cfRule type="cellIs" priority="602" operator="equal" dxfId="0">
      <formula>"RP"</formula>
    </cfRule>
  </conditionalFormatting>
  <conditionalFormatting sqref="E138:AA139">
    <cfRule type="cellIs" priority="600" operator="equal" dxfId="0">
      <formula>"RP"</formula>
    </cfRule>
  </conditionalFormatting>
  <conditionalFormatting sqref="E148:AA148">
    <cfRule type="cellIs" priority="497" operator="equal" dxfId="0">
      <formula>"RP"</formula>
    </cfRule>
  </conditionalFormatting>
  <conditionalFormatting sqref="E152:AA153">
    <cfRule type="cellIs" priority="495" operator="equal" dxfId="0">
      <formula>"RP"</formula>
    </cfRule>
  </conditionalFormatting>
  <conditionalFormatting sqref="E159:AA159">
    <cfRule type="cellIs" priority="462" operator="equal" dxfId="0">
      <formula>"RP"</formula>
    </cfRule>
  </conditionalFormatting>
  <conditionalFormatting sqref="E163:AA164">
    <cfRule type="cellIs" priority="460" operator="equal" dxfId="0">
      <formula>"RP"</formula>
    </cfRule>
  </conditionalFormatting>
  <conditionalFormatting sqref="E170:AA170">
    <cfRule type="cellIs" priority="357" operator="equal" dxfId="0">
      <formula>"RP"</formula>
    </cfRule>
  </conditionalFormatting>
  <conditionalFormatting sqref="E174:AA175">
    <cfRule type="cellIs" priority="355" operator="equal" dxfId="0">
      <formula>"RP"</formula>
    </cfRule>
  </conditionalFormatting>
  <conditionalFormatting sqref="E181:AA181">
    <cfRule type="cellIs" priority="322" operator="equal" dxfId="0">
      <formula>"RP"</formula>
    </cfRule>
  </conditionalFormatting>
  <conditionalFormatting sqref="E185:AA186">
    <cfRule type="cellIs" priority="320" operator="equal" dxfId="0">
      <formula>"RP"</formula>
    </cfRule>
  </conditionalFormatting>
  <conditionalFormatting sqref="E5:AB12">
    <cfRule type="cellIs" priority="289" operator="equal" dxfId="0">
      <formula>"RP"</formula>
    </cfRule>
  </conditionalFormatting>
  <conditionalFormatting sqref="E16:AB23">
    <cfRule type="cellIs" priority="184" operator="equal" dxfId="0">
      <formula>"RP"</formula>
    </cfRule>
  </conditionalFormatting>
  <conditionalFormatting sqref="E27:AB34">
    <cfRule type="cellIs" priority="149" operator="equal" dxfId="0">
      <formula>"RP"</formula>
    </cfRule>
  </conditionalFormatting>
  <conditionalFormatting sqref="E38:AB45">
    <cfRule type="cellIs" priority="44" operator="equal" dxfId="0">
      <formula>"RP"</formula>
    </cfRule>
  </conditionalFormatting>
  <conditionalFormatting sqref="E52:AB59">
    <cfRule type="cellIs" priority="1984" operator="equal" dxfId="0">
      <formula>"RP"</formula>
    </cfRule>
  </conditionalFormatting>
  <conditionalFormatting sqref="E63:AB70">
    <cfRule type="cellIs" priority="991" operator="equal" dxfId="0">
      <formula>"RP"</formula>
    </cfRule>
  </conditionalFormatting>
  <conditionalFormatting sqref="E74:AB81">
    <cfRule type="cellIs" priority="956" operator="equal" dxfId="0">
      <formula>"RP"</formula>
    </cfRule>
  </conditionalFormatting>
  <conditionalFormatting sqref="E85:AB92">
    <cfRule type="cellIs" priority="851" operator="equal" dxfId="0">
      <formula>"RP"</formula>
    </cfRule>
  </conditionalFormatting>
  <conditionalFormatting sqref="E99:AB106">
    <cfRule type="cellIs" priority="816" operator="equal" dxfId="0">
      <formula>"RP"</formula>
    </cfRule>
  </conditionalFormatting>
  <conditionalFormatting sqref="E110:AB117">
    <cfRule type="cellIs" priority="711" operator="equal" dxfId="0">
      <formula>"RP"</formula>
    </cfRule>
  </conditionalFormatting>
  <conditionalFormatting sqref="E121:AB128">
    <cfRule type="cellIs" priority="676" operator="equal" dxfId="0">
      <formula>"RP"</formula>
    </cfRule>
  </conditionalFormatting>
  <conditionalFormatting sqref="E132:AB139">
    <cfRule type="cellIs" priority="606" operator="equal" dxfId="0">
      <formula>"RP"</formula>
    </cfRule>
  </conditionalFormatting>
  <conditionalFormatting sqref="E146:AB153">
    <cfRule type="cellIs" priority="501" operator="equal" dxfId="0">
      <formula>"RP"</formula>
    </cfRule>
  </conditionalFormatting>
  <conditionalFormatting sqref="E157:AB164">
    <cfRule type="cellIs" priority="466" operator="equal" dxfId="0">
      <formula>"RP"</formula>
    </cfRule>
  </conditionalFormatting>
  <conditionalFormatting sqref="E168:AB175">
    <cfRule type="cellIs" priority="361" operator="equal" dxfId="0">
      <formula>"RP"</formula>
    </cfRule>
  </conditionalFormatting>
  <conditionalFormatting sqref="E179:AB186">
    <cfRule type="cellIs" priority="326" operator="equal" dxfId="0">
      <formula>"RP"</formula>
    </cfRule>
  </conditionalFormatting>
  <conditionalFormatting sqref="E1:BA1 E2:P2 E3:BA4 V2:Z2 AF2:BA2">
    <cfRule type="cellIs" priority="25604" operator="equal" dxfId="0">
      <formula>"RP"</formula>
    </cfRule>
  </conditionalFormatting>
  <conditionalFormatting sqref="E15:BA15">
    <cfRule type="cellIs" priority="26067" operator="equal" dxfId="0">
      <formula>"RP"</formula>
    </cfRule>
  </conditionalFormatting>
  <conditionalFormatting sqref="E26:BA26 E73:BA73 E84:BA84 E95:BA95 E96:P96 E97:BA98 E109:BA109 E120:BA120 E131:BA131 E142:BA142 E143:P143 E144:BA145 E156:BA156 E167:BA167 E178:AD178 E189:BA1048576 V96:Z96 V143:Z143 AF96:BA96 AF143:BA143">
    <cfRule type="cellIs" priority="26094" operator="equal" dxfId="0">
      <formula>"RP"</formula>
    </cfRule>
  </conditionalFormatting>
  <conditionalFormatting sqref="E37:BA37">
    <cfRule type="cellIs" priority="25613" operator="equal" dxfId="0">
      <formula>"RP"</formula>
    </cfRule>
  </conditionalFormatting>
  <conditionalFormatting sqref="E48:BA48 E49:P49 E50:BA51 V49:Z49 AF49:BA49">
    <cfRule type="cellIs" priority="25605" operator="equal" dxfId="0">
      <formula>"RP"</formula>
    </cfRule>
  </conditionalFormatting>
  <conditionalFormatting sqref="E62:BA62 AC63:AC72">
    <cfRule type="cellIs" priority="25609" operator="equal" dxfId="0">
      <formula>"RP"</formula>
    </cfRule>
  </conditionalFormatting>
  <conditionalFormatting sqref="I8">
    <cfRule type="cellIs" priority="300" operator="equal" dxfId="0">
      <formula>"RP"</formula>
    </cfRule>
  </conditionalFormatting>
  <conditionalFormatting sqref="I10">
    <cfRule type="cellIs" priority="295" operator="equal" dxfId="0">
      <formula>"RP"</formula>
    </cfRule>
  </conditionalFormatting>
  <conditionalFormatting sqref="I19">
    <cfRule type="cellIs" priority="195" operator="equal" dxfId="0">
      <formula>"RP"</formula>
    </cfRule>
  </conditionalFormatting>
  <conditionalFormatting sqref="I21">
    <cfRule type="cellIs" priority="190" operator="equal" dxfId="0">
      <formula>"RP"</formula>
    </cfRule>
  </conditionalFormatting>
  <conditionalFormatting sqref="I30">
    <cfRule type="cellIs" priority="160" operator="equal" dxfId="0">
      <formula>"RP"</formula>
    </cfRule>
  </conditionalFormatting>
  <conditionalFormatting sqref="I32">
    <cfRule type="cellIs" priority="155" operator="equal" dxfId="0">
      <formula>"RP"</formula>
    </cfRule>
  </conditionalFormatting>
  <conditionalFormatting sqref="I41">
    <cfRule type="cellIs" priority="55" operator="equal" dxfId="0">
      <formula>"RP"</formula>
    </cfRule>
  </conditionalFormatting>
  <conditionalFormatting sqref="I43">
    <cfRule type="cellIs" priority="50" operator="equal" dxfId="0">
      <formula>"RP"</formula>
    </cfRule>
  </conditionalFormatting>
  <conditionalFormatting sqref="I55">
    <cfRule type="cellIs" priority="1998" operator="equal" dxfId="0">
      <formula>"RP"</formula>
    </cfRule>
  </conditionalFormatting>
  <conditionalFormatting sqref="I57">
    <cfRule type="cellIs" priority="1993" operator="equal" dxfId="0">
      <formula>"RP"</formula>
    </cfRule>
  </conditionalFormatting>
  <conditionalFormatting sqref="I66">
    <cfRule type="cellIs" priority="1002" operator="equal" dxfId="0">
      <formula>"RP"</formula>
    </cfRule>
  </conditionalFormatting>
  <conditionalFormatting sqref="I68">
    <cfRule type="cellIs" priority="997" operator="equal" dxfId="0">
      <formula>"RP"</formula>
    </cfRule>
  </conditionalFormatting>
  <conditionalFormatting sqref="I77">
    <cfRule type="cellIs" priority="967" operator="equal" dxfId="0">
      <formula>"RP"</formula>
    </cfRule>
  </conditionalFormatting>
  <conditionalFormatting sqref="I79">
    <cfRule type="cellIs" priority="962" operator="equal" dxfId="0">
      <formula>"RP"</formula>
    </cfRule>
  </conditionalFormatting>
  <conditionalFormatting sqref="I88">
    <cfRule type="cellIs" priority="862" operator="equal" dxfId="0">
      <formula>"RP"</formula>
    </cfRule>
  </conditionalFormatting>
  <conditionalFormatting sqref="I90">
    <cfRule type="cellIs" priority="857" operator="equal" dxfId="0">
      <formula>"RP"</formula>
    </cfRule>
  </conditionalFormatting>
  <conditionalFormatting sqref="I102">
    <cfRule type="cellIs" priority="827" operator="equal" dxfId="0">
      <formula>"RP"</formula>
    </cfRule>
  </conditionalFormatting>
  <conditionalFormatting sqref="I104">
    <cfRule type="cellIs" priority="822" operator="equal" dxfId="0">
      <formula>"RP"</formula>
    </cfRule>
  </conditionalFormatting>
  <conditionalFormatting sqref="I113">
    <cfRule type="cellIs" priority="722" operator="equal" dxfId="0">
      <formula>"RP"</formula>
    </cfRule>
  </conditionalFormatting>
  <conditionalFormatting sqref="I115">
    <cfRule type="cellIs" priority="717" operator="equal" dxfId="0">
      <formula>"RP"</formula>
    </cfRule>
  </conditionalFormatting>
  <conditionalFormatting sqref="I124">
    <cfRule type="cellIs" priority="687" operator="equal" dxfId="0">
      <formula>"RP"</formula>
    </cfRule>
  </conditionalFormatting>
  <conditionalFormatting sqref="I126">
    <cfRule type="cellIs" priority="682" operator="equal" dxfId="0">
      <formula>"RP"</formula>
    </cfRule>
  </conditionalFormatting>
  <conditionalFormatting sqref="I135">
    <cfRule type="cellIs" priority="617" operator="equal" dxfId="0">
      <formula>"RP"</formula>
    </cfRule>
  </conditionalFormatting>
  <conditionalFormatting sqref="I137">
    <cfRule type="cellIs" priority="612" operator="equal" dxfId="0">
      <formula>"RP"</formula>
    </cfRule>
  </conditionalFormatting>
  <conditionalFormatting sqref="I149">
    <cfRule type="cellIs" priority="512" operator="equal" dxfId="0">
      <formula>"RP"</formula>
    </cfRule>
  </conditionalFormatting>
  <conditionalFormatting sqref="I151">
    <cfRule type="cellIs" priority="507" operator="equal" dxfId="0">
      <formula>"RP"</formula>
    </cfRule>
  </conditionalFormatting>
  <conditionalFormatting sqref="I160">
    <cfRule type="cellIs" priority="477" operator="equal" dxfId="0">
      <formula>"RP"</formula>
    </cfRule>
  </conditionalFormatting>
  <conditionalFormatting sqref="I162">
    <cfRule type="cellIs" priority="472" operator="equal" dxfId="0">
      <formula>"RP"</formula>
    </cfRule>
  </conditionalFormatting>
  <conditionalFormatting sqref="I171">
    <cfRule type="cellIs" priority="372" operator="equal" dxfId="0">
      <formula>"RP"</formula>
    </cfRule>
  </conditionalFormatting>
  <conditionalFormatting sqref="I173">
    <cfRule type="cellIs" priority="367" operator="equal" dxfId="0">
      <formula>"RP"</formula>
    </cfRule>
  </conditionalFormatting>
  <conditionalFormatting sqref="I182">
    <cfRule type="cellIs" priority="337" operator="equal" dxfId="0">
      <formula>"RP"</formula>
    </cfRule>
  </conditionalFormatting>
  <conditionalFormatting sqref="I184">
    <cfRule type="cellIs" priority="332" operator="equal" dxfId="0">
      <formula>"RP"</formula>
    </cfRule>
  </conditionalFormatting>
  <conditionalFormatting sqref="P9:R10">
    <cfRule type="cellIs" priority="290" operator="equal" dxfId="0">
      <formula>"RP"</formula>
    </cfRule>
  </conditionalFormatting>
  <conditionalFormatting sqref="P20:R21">
    <cfRule type="cellIs" priority="185" operator="equal" dxfId="0">
      <formula>"RP"</formula>
    </cfRule>
  </conditionalFormatting>
  <conditionalFormatting sqref="P31:R32">
    <cfRule type="cellIs" priority="150" operator="equal" dxfId="0">
      <formula>"RP"</formula>
    </cfRule>
  </conditionalFormatting>
  <conditionalFormatting sqref="P42:R43">
    <cfRule type="cellIs" priority="45" operator="equal" dxfId="0">
      <formula>"RP"</formula>
    </cfRule>
  </conditionalFormatting>
  <conditionalFormatting sqref="P56:R57">
    <cfRule type="cellIs" priority="1988" operator="equal" dxfId="0">
      <formula>"RP"</formula>
    </cfRule>
  </conditionalFormatting>
  <conditionalFormatting sqref="P67:R68">
    <cfRule type="cellIs" priority="992" operator="equal" dxfId="0">
      <formula>"RP"</formula>
    </cfRule>
  </conditionalFormatting>
  <conditionalFormatting sqref="P78:R79">
    <cfRule type="cellIs" priority="957" operator="equal" dxfId="0">
      <formula>"RP"</formula>
    </cfRule>
  </conditionalFormatting>
  <conditionalFormatting sqref="P89:R90">
    <cfRule type="cellIs" priority="852" operator="equal" dxfId="0">
      <formula>"RP"</formula>
    </cfRule>
  </conditionalFormatting>
  <conditionalFormatting sqref="P103:R104">
    <cfRule type="cellIs" priority="817" operator="equal" dxfId="0">
      <formula>"RP"</formula>
    </cfRule>
  </conditionalFormatting>
  <conditionalFormatting sqref="P114:R115">
    <cfRule type="cellIs" priority="712" operator="equal" dxfId="0">
      <formula>"RP"</formula>
    </cfRule>
  </conditionalFormatting>
  <conditionalFormatting sqref="P125:R126">
    <cfRule type="cellIs" priority="677" operator="equal" dxfId="0">
      <formula>"RP"</formula>
    </cfRule>
  </conditionalFormatting>
  <conditionalFormatting sqref="P136:R137">
    <cfRule type="cellIs" priority="607" operator="equal" dxfId="0">
      <formula>"RP"</formula>
    </cfRule>
  </conditionalFormatting>
  <conditionalFormatting sqref="P150:R151">
    <cfRule type="cellIs" priority="502" operator="equal" dxfId="0">
      <formula>"RP"</formula>
    </cfRule>
  </conditionalFormatting>
  <conditionalFormatting sqref="P161:R162">
    <cfRule type="cellIs" priority="467" operator="equal" dxfId="0">
      <formula>"RP"</formula>
    </cfRule>
  </conditionalFormatting>
  <conditionalFormatting sqref="P172:R173">
    <cfRule type="cellIs" priority="362" operator="equal" dxfId="0">
      <formula>"RP"</formula>
    </cfRule>
  </conditionalFormatting>
  <conditionalFormatting sqref="P183:R184">
    <cfRule type="cellIs" priority="327" operator="equal" dxfId="0">
      <formula>"RP"</formula>
    </cfRule>
  </conditionalFormatting>
  <conditionalFormatting sqref="S9:AA9">
    <cfRule type="cellIs" priority="308" operator="equal" dxfId="0">
      <formula>"RP"</formula>
    </cfRule>
  </conditionalFormatting>
  <conditionalFormatting sqref="S20:AA20">
    <cfRule type="cellIs" priority="203" operator="equal" dxfId="0">
      <formula>"RP"</formula>
    </cfRule>
  </conditionalFormatting>
  <conditionalFormatting sqref="S31:AA31">
    <cfRule type="cellIs" priority="168" operator="equal" dxfId="0">
      <formula>"RP"</formula>
    </cfRule>
  </conditionalFormatting>
  <conditionalFormatting sqref="S42:AA42">
    <cfRule type="cellIs" priority="63" operator="equal" dxfId="0">
      <formula>"RP"</formula>
    </cfRule>
  </conditionalFormatting>
  <conditionalFormatting sqref="S56:AA56">
    <cfRule type="cellIs" priority="2008" operator="equal" dxfId="0">
      <formula>"RP"</formula>
    </cfRule>
  </conditionalFormatting>
  <conditionalFormatting sqref="S67:AA67">
    <cfRule type="cellIs" priority="1010" operator="equal" dxfId="0">
      <formula>"RP"</formula>
    </cfRule>
  </conditionalFormatting>
  <conditionalFormatting sqref="S78:AA78">
    <cfRule type="cellIs" priority="975" operator="equal" dxfId="0">
      <formula>"RP"</formula>
    </cfRule>
  </conditionalFormatting>
  <conditionalFormatting sqref="S89:AA89">
    <cfRule type="cellIs" priority="870" operator="equal" dxfId="0">
      <formula>"RP"</formula>
    </cfRule>
  </conditionalFormatting>
  <conditionalFormatting sqref="S103:AA103">
    <cfRule type="cellIs" priority="835" operator="equal" dxfId="0">
      <formula>"RP"</formula>
    </cfRule>
  </conditionalFormatting>
  <conditionalFormatting sqref="S114:AA114">
    <cfRule type="cellIs" priority="730" operator="equal" dxfId="0">
      <formula>"RP"</formula>
    </cfRule>
  </conditionalFormatting>
  <conditionalFormatting sqref="S125:AA125">
    <cfRule type="cellIs" priority="695" operator="equal" dxfId="0">
      <formula>"RP"</formula>
    </cfRule>
  </conditionalFormatting>
  <conditionalFormatting sqref="S136:AA136">
    <cfRule type="cellIs" priority="625" operator="equal" dxfId="0">
      <formula>"RP"</formula>
    </cfRule>
  </conditionalFormatting>
  <conditionalFormatting sqref="S150:AA150">
    <cfRule type="cellIs" priority="520" operator="equal" dxfId="0">
      <formula>"RP"</formula>
    </cfRule>
  </conditionalFormatting>
  <conditionalFormatting sqref="S161:AA161">
    <cfRule type="cellIs" priority="485" operator="equal" dxfId="0">
      <formula>"RP"</formula>
    </cfRule>
  </conditionalFormatting>
  <conditionalFormatting sqref="S172:AA172">
    <cfRule type="cellIs" priority="380" operator="equal" dxfId="0">
      <formula>"RP"</formula>
    </cfRule>
  </conditionalFormatting>
  <conditionalFormatting sqref="S183:AA183">
    <cfRule type="cellIs" priority="345" operator="equal" dxfId="0">
      <formula>"RP"</formula>
    </cfRule>
  </conditionalFormatting>
  <conditionalFormatting sqref="AC5:AC14">
    <cfRule type="cellIs" priority="26088" operator="equal" dxfId="0">
      <formula>"RP"</formula>
    </cfRule>
  </conditionalFormatting>
  <conditionalFormatting sqref="AC16:AC25">
    <cfRule type="cellIs" priority="26092" operator="equal" dxfId="0">
      <formula>"RP"</formula>
    </cfRule>
  </conditionalFormatting>
  <conditionalFormatting sqref="AC27:AC36">
    <cfRule type="cellIs" priority="25614" operator="equal" dxfId="0">
      <formula>"RP"</formula>
    </cfRule>
  </conditionalFormatting>
  <conditionalFormatting sqref="AC38:AC47">
    <cfRule type="cellIs" priority="25611" operator="equal" dxfId="0">
      <formula>"RP"</formula>
    </cfRule>
  </conditionalFormatting>
  <conditionalFormatting sqref="AC52:AC61">
    <cfRule type="cellIs" priority="25575" operator="equal" dxfId="0">
      <formula>"RP"</formula>
    </cfRule>
  </conditionalFormatting>
  <conditionalFormatting sqref="AC74:AC83">
    <cfRule type="cellIs" priority="26084" operator="equal" dxfId="0">
      <formula>"RP"</formula>
    </cfRule>
  </conditionalFormatting>
  <conditionalFormatting sqref="AC85:AC94">
    <cfRule type="cellIs" priority="26082" operator="equal" dxfId="0">
      <formula>"RP"</formula>
    </cfRule>
  </conditionalFormatting>
  <conditionalFormatting sqref="AC99:AC108">
    <cfRule type="cellIs" priority="26081" operator="equal" dxfId="0">
      <formula>"RP"</formula>
    </cfRule>
  </conditionalFormatting>
  <conditionalFormatting sqref="AC110:AC119">
    <cfRule type="cellIs" priority="26080" operator="equal" dxfId="0">
      <formula>"RP"</formula>
    </cfRule>
  </conditionalFormatting>
  <conditionalFormatting sqref="AC121:AC130">
    <cfRule type="cellIs" priority="26079" operator="equal" dxfId="0">
      <formula>"RP"</formula>
    </cfRule>
  </conditionalFormatting>
  <conditionalFormatting sqref="AC132:AC141">
    <cfRule type="cellIs" priority="26078" operator="equal" dxfId="0">
      <formula>"RP"</formula>
    </cfRule>
  </conditionalFormatting>
  <conditionalFormatting sqref="AC146:AC155">
    <cfRule type="cellIs" priority="26077" operator="equal" dxfId="0">
      <formula>"RP"</formula>
    </cfRule>
  </conditionalFormatting>
  <conditionalFormatting sqref="AC157:AC166">
    <cfRule type="cellIs" priority="26076" operator="equal" dxfId="0">
      <formula>"RP"</formula>
    </cfRule>
  </conditionalFormatting>
  <conditionalFormatting sqref="AC168:AC177">
    <cfRule type="cellIs" priority="26075" operator="equal" dxfId="0">
      <formula>"RP"</formula>
    </cfRule>
  </conditionalFormatting>
  <conditionalFormatting sqref="AC179:AC188">
    <cfRule type="cellIs" priority="26074" operator="equal" dxfId="0">
      <formula>"RP"</formula>
    </cfRule>
  </conditionalFormatting>
  <conditionalFormatting sqref="AD13:AD14">
    <cfRule type="cellIs" priority="30" operator="equal" dxfId="0">
      <formula>"RP"</formula>
    </cfRule>
  </conditionalFormatting>
  <conditionalFormatting sqref="AD24:AD25">
    <cfRule type="cellIs" priority="28" operator="equal" dxfId="0">
      <formula>"RP"</formula>
    </cfRule>
  </conditionalFormatting>
  <conditionalFormatting sqref="AD35:AD36">
    <cfRule type="cellIs" priority="26" operator="equal" dxfId="0">
      <formula>"RP"</formula>
    </cfRule>
  </conditionalFormatting>
  <conditionalFormatting sqref="AD46:AD47">
    <cfRule type="cellIs" priority="24" operator="equal" dxfId="0">
      <formula>"RP"</formula>
    </cfRule>
  </conditionalFormatting>
  <conditionalFormatting sqref="AD60:AD61">
    <cfRule type="cellIs" priority="22" operator="equal" dxfId="0">
      <formula>"RP"</formula>
    </cfRule>
  </conditionalFormatting>
  <conditionalFormatting sqref="AD71:AD72">
    <cfRule type="cellIs" priority="20" operator="equal" dxfId="0">
      <formula>"RP"</formula>
    </cfRule>
  </conditionalFormatting>
  <conditionalFormatting sqref="AD82:AD83">
    <cfRule type="cellIs" priority="18" operator="equal" dxfId="0">
      <formula>"RP"</formula>
    </cfRule>
  </conditionalFormatting>
  <conditionalFormatting sqref="AD93:AD94">
    <cfRule type="cellIs" priority="16" operator="equal" dxfId="0">
      <formula>"RP"</formula>
    </cfRule>
  </conditionalFormatting>
  <conditionalFormatting sqref="AD107:AD108">
    <cfRule type="cellIs" priority="14" operator="equal" dxfId="0">
      <formula>"RP"</formula>
    </cfRule>
  </conditionalFormatting>
  <conditionalFormatting sqref="AD118:AD119">
    <cfRule type="cellIs" priority="12" operator="equal" dxfId="0">
      <formula>"RP"</formula>
    </cfRule>
  </conditionalFormatting>
  <conditionalFormatting sqref="AD129:AD130">
    <cfRule type="cellIs" priority="10" operator="equal" dxfId="0">
      <formula>"RP"</formula>
    </cfRule>
  </conditionalFormatting>
  <conditionalFormatting sqref="AD140:AD141">
    <cfRule type="cellIs" priority="8" operator="equal" dxfId="0">
      <formula>"RP"</formula>
    </cfRule>
  </conditionalFormatting>
  <conditionalFormatting sqref="AD154:AD155">
    <cfRule type="cellIs" priority="6" operator="equal" dxfId="0">
      <formula>"RP"</formula>
    </cfRule>
  </conditionalFormatting>
  <conditionalFormatting sqref="AD165:AD166">
    <cfRule type="cellIs" priority="4" operator="equal" dxfId="0">
      <formula>"RP"</formula>
    </cfRule>
  </conditionalFormatting>
  <conditionalFormatting sqref="AD176:AD177">
    <cfRule type="cellIs" priority="2" operator="equal" dxfId="0">
      <formula>"RP"</formula>
    </cfRule>
  </conditionalFormatting>
  <conditionalFormatting sqref="AD9:AN9">
    <cfRule type="cellIs" priority="249" operator="equal" dxfId="0">
      <formula>"RP"</formula>
    </cfRule>
  </conditionalFormatting>
  <conditionalFormatting sqref="AD20:AN20">
    <cfRule type="cellIs" priority="214" operator="equal" dxfId="0">
      <formula>"RP"</formula>
    </cfRule>
  </conditionalFormatting>
  <conditionalFormatting sqref="AD31:AN31">
    <cfRule type="cellIs" priority="109" operator="equal" dxfId="0">
      <formula>"RP"</formula>
    </cfRule>
  </conditionalFormatting>
  <conditionalFormatting sqref="AD42:AN42">
    <cfRule type="cellIs" priority="74" operator="equal" dxfId="0">
      <formula>"RP"</formula>
    </cfRule>
  </conditionalFormatting>
  <conditionalFormatting sqref="AD56:AN56">
    <cfRule type="cellIs" priority="1056" operator="equal" dxfId="0">
      <formula>"RP"</formula>
    </cfRule>
  </conditionalFormatting>
  <conditionalFormatting sqref="AD67:AN67">
    <cfRule type="cellIs" priority="1021" operator="equal" dxfId="0">
      <formula>"RP"</formula>
    </cfRule>
  </conditionalFormatting>
  <conditionalFormatting sqref="AD78:AN78">
    <cfRule type="cellIs" priority="916" operator="equal" dxfId="0">
      <formula>"RP"</formula>
    </cfRule>
  </conditionalFormatting>
  <conditionalFormatting sqref="AD89:AN89">
    <cfRule type="cellIs" priority="881" operator="equal" dxfId="0">
      <formula>"RP"</formula>
    </cfRule>
  </conditionalFormatting>
  <conditionalFormatting sqref="AD103:AN103">
    <cfRule type="cellIs" priority="776" operator="equal" dxfId="0">
      <formula>"RP"</formula>
    </cfRule>
  </conditionalFormatting>
  <conditionalFormatting sqref="AD114:AN114">
    <cfRule type="cellIs" priority="741" operator="equal" dxfId="0">
      <formula>"RP"</formula>
    </cfRule>
  </conditionalFormatting>
  <conditionalFormatting sqref="AD125:AN125">
    <cfRule type="cellIs" priority="636" operator="equal" dxfId="0">
      <formula>"RP"</formula>
    </cfRule>
  </conditionalFormatting>
  <conditionalFormatting sqref="AD136:AN136">
    <cfRule type="cellIs" priority="566" operator="equal" dxfId="0">
      <formula>"RP"</formula>
    </cfRule>
  </conditionalFormatting>
  <conditionalFormatting sqref="AD150:AN150">
    <cfRule type="cellIs" priority="531" operator="equal" dxfId="0">
      <formula>"RP"</formula>
    </cfRule>
  </conditionalFormatting>
  <conditionalFormatting sqref="AD161:AN161">
    <cfRule type="cellIs" priority="426" operator="equal" dxfId="0">
      <formula>"RP"</formula>
    </cfRule>
  </conditionalFormatting>
  <conditionalFormatting sqref="AD172:AN172">
    <cfRule type="cellIs" priority="391" operator="equal" dxfId="0">
      <formula>"RP"</formula>
    </cfRule>
  </conditionalFormatting>
  <conditionalFormatting sqref="AD7:AZ7">
    <cfRule type="cellIs" priority="250" operator="equal" dxfId="0">
      <formula>"RP"</formula>
    </cfRule>
  </conditionalFormatting>
  <conditionalFormatting sqref="AD11:AZ12">
    <cfRule type="cellIs" priority="248" operator="equal" dxfId="0">
      <formula>"RP"</formula>
    </cfRule>
  </conditionalFormatting>
  <conditionalFormatting sqref="AD18:AZ18">
    <cfRule type="cellIs" priority="215" operator="equal" dxfId="0">
      <formula>"RP"</formula>
    </cfRule>
  </conditionalFormatting>
  <conditionalFormatting sqref="AD22:AZ23">
    <cfRule type="cellIs" priority="213" operator="equal" dxfId="0">
      <formula>"RP"</formula>
    </cfRule>
  </conditionalFormatting>
  <conditionalFormatting sqref="AD29:AZ29">
    <cfRule type="cellIs" priority="110" operator="equal" dxfId="0">
      <formula>"RP"</formula>
    </cfRule>
  </conditionalFormatting>
  <conditionalFormatting sqref="AD33:AZ34">
    <cfRule type="cellIs" priority="108" operator="equal" dxfId="0">
      <formula>"RP"</formula>
    </cfRule>
  </conditionalFormatting>
  <conditionalFormatting sqref="AD40:AZ40">
    <cfRule type="cellIs" priority="75" operator="equal" dxfId="0">
      <formula>"RP"</formula>
    </cfRule>
  </conditionalFormatting>
  <conditionalFormatting sqref="AD44:AZ45">
    <cfRule type="cellIs" priority="73" operator="equal" dxfId="0">
      <formula>"RP"</formula>
    </cfRule>
  </conditionalFormatting>
  <conditionalFormatting sqref="AD54:AZ54">
    <cfRule type="cellIs" priority="1057" operator="equal" dxfId="0">
      <formula>"RP"</formula>
    </cfRule>
  </conditionalFormatting>
  <conditionalFormatting sqref="AD58:AZ59">
    <cfRule type="cellIs" priority="1055" operator="equal" dxfId="0">
      <formula>"RP"</formula>
    </cfRule>
  </conditionalFormatting>
  <conditionalFormatting sqref="AD65:AZ65">
    <cfRule type="cellIs" priority="1022" operator="equal" dxfId="0">
      <formula>"RP"</formula>
    </cfRule>
  </conditionalFormatting>
  <conditionalFormatting sqref="AD69:AZ70">
    <cfRule type="cellIs" priority="1020" operator="equal" dxfId="0">
      <formula>"RP"</formula>
    </cfRule>
  </conditionalFormatting>
  <conditionalFormatting sqref="AD76:AZ76">
    <cfRule type="cellIs" priority="917" operator="equal" dxfId="0">
      <formula>"RP"</formula>
    </cfRule>
  </conditionalFormatting>
  <conditionalFormatting sqref="AD80:AZ81">
    <cfRule type="cellIs" priority="915" operator="equal" dxfId="0">
      <formula>"RP"</formula>
    </cfRule>
  </conditionalFormatting>
  <conditionalFormatting sqref="AD87:AZ87">
    <cfRule type="cellIs" priority="882" operator="equal" dxfId="0">
      <formula>"RP"</formula>
    </cfRule>
  </conditionalFormatting>
  <conditionalFormatting sqref="AD91:AZ92">
    <cfRule type="cellIs" priority="880" operator="equal" dxfId="0">
      <formula>"RP"</formula>
    </cfRule>
  </conditionalFormatting>
  <conditionalFormatting sqref="AD101:AZ101">
    <cfRule type="cellIs" priority="777" operator="equal" dxfId="0">
      <formula>"RP"</formula>
    </cfRule>
  </conditionalFormatting>
  <conditionalFormatting sqref="AD105:AZ106">
    <cfRule type="cellIs" priority="775" operator="equal" dxfId="0">
      <formula>"RP"</formula>
    </cfRule>
  </conditionalFormatting>
  <conditionalFormatting sqref="AD112:AZ112">
    <cfRule type="cellIs" priority="742" operator="equal" dxfId="0">
      <formula>"RP"</formula>
    </cfRule>
  </conditionalFormatting>
  <conditionalFormatting sqref="AD116:AZ117">
    <cfRule type="cellIs" priority="740" operator="equal" dxfId="0">
      <formula>"RP"</formula>
    </cfRule>
  </conditionalFormatting>
  <conditionalFormatting sqref="AD123:AZ123">
    <cfRule type="cellIs" priority="637" operator="equal" dxfId="0">
      <formula>"RP"</formula>
    </cfRule>
  </conditionalFormatting>
  <conditionalFormatting sqref="AD127:AZ128">
    <cfRule type="cellIs" priority="635" operator="equal" dxfId="0">
      <formula>"RP"</formula>
    </cfRule>
  </conditionalFormatting>
  <conditionalFormatting sqref="AD134:AZ134">
    <cfRule type="cellIs" priority="567" operator="equal" dxfId="0">
      <formula>"RP"</formula>
    </cfRule>
  </conditionalFormatting>
  <conditionalFormatting sqref="AD138:AZ139">
    <cfRule type="cellIs" priority="565" operator="equal" dxfId="0">
      <formula>"RP"</formula>
    </cfRule>
  </conditionalFormatting>
  <conditionalFormatting sqref="AD148:AZ148">
    <cfRule type="cellIs" priority="532" operator="equal" dxfId="0">
      <formula>"RP"</formula>
    </cfRule>
  </conditionalFormatting>
  <conditionalFormatting sqref="AD152:AZ153">
    <cfRule type="cellIs" priority="530" operator="equal" dxfId="0">
      <formula>"RP"</formula>
    </cfRule>
  </conditionalFormatting>
  <conditionalFormatting sqref="AD159:AZ159">
    <cfRule type="cellIs" priority="427" operator="equal" dxfId="0">
      <formula>"RP"</formula>
    </cfRule>
  </conditionalFormatting>
  <conditionalFormatting sqref="AD163:AZ164">
    <cfRule type="cellIs" priority="425" operator="equal" dxfId="0">
      <formula>"RP"</formula>
    </cfRule>
  </conditionalFormatting>
  <conditionalFormatting sqref="AD170:AZ170">
    <cfRule type="cellIs" priority="392" operator="equal" dxfId="0">
      <formula>"RP"</formula>
    </cfRule>
  </conditionalFormatting>
  <conditionalFormatting sqref="AD174:AZ175">
    <cfRule type="cellIs" priority="390" operator="equal" dxfId="0">
      <formula>"RP"</formula>
    </cfRule>
  </conditionalFormatting>
  <conditionalFormatting sqref="AD5:BA12">
    <cfRule type="cellIs" priority="254" operator="equal" dxfId="0">
      <formula>"RP"</formula>
    </cfRule>
  </conditionalFormatting>
  <conditionalFormatting sqref="AD16:BA23">
    <cfRule type="cellIs" priority="219" operator="equal" dxfId="0">
      <formula>"RP"</formula>
    </cfRule>
  </conditionalFormatting>
  <conditionalFormatting sqref="AD27:BA34">
    <cfRule type="cellIs" priority="114" operator="equal" dxfId="0">
      <formula>"RP"</formula>
    </cfRule>
  </conditionalFormatting>
  <conditionalFormatting sqref="AD38:BA45">
    <cfRule type="cellIs" priority="79" operator="equal" dxfId="0">
      <formula>"RP"</formula>
    </cfRule>
  </conditionalFormatting>
  <conditionalFormatting sqref="AD52:BA59">
    <cfRule type="cellIs" priority="1061" operator="equal" dxfId="0">
      <formula>"RP"</formula>
    </cfRule>
  </conditionalFormatting>
  <conditionalFormatting sqref="AD63:BA70">
    <cfRule type="cellIs" priority="1026" operator="equal" dxfId="0">
      <formula>"RP"</formula>
    </cfRule>
  </conditionalFormatting>
  <conditionalFormatting sqref="AD74:BA81">
    <cfRule type="cellIs" priority="921" operator="equal" dxfId="0">
      <formula>"RP"</formula>
    </cfRule>
  </conditionalFormatting>
  <conditionalFormatting sqref="AD85:BA92">
    <cfRule type="cellIs" priority="886" operator="equal" dxfId="0">
      <formula>"RP"</formula>
    </cfRule>
  </conditionalFormatting>
  <conditionalFormatting sqref="AD99:BA106">
    <cfRule type="cellIs" priority="781" operator="equal" dxfId="0">
      <formula>"RP"</formula>
    </cfRule>
  </conditionalFormatting>
  <conditionalFormatting sqref="AD110:BA117">
    <cfRule type="cellIs" priority="746" operator="equal" dxfId="0">
      <formula>"RP"</formula>
    </cfRule>
  </conditionalFormatting>
  <conditionalFormatting sqref="AD121:BA128">
    <cfRule type="cellIs" priority="641" operator="equal" dxfId="0">
      <formula>"RP"</formula>
    </cfRule>
  </conditionalFormatting>
  <conditionalFormatting sqref="AD132:BA139">
    <cfRule type="cellIs" priority="571" operator="equal" dxfId="0">
      <formula>"RP"</formula>
    </cfRule>
  </conditionalFormatting>
  <conditionalFormatting sqref="AD146:BA153">
    <cfRule type="cellIs" priority="536" operator="equal" dxfId="0">
      <formula>"RP"</formula>
    </cfRule>
  </conditionalFormatting>
  <conditionalFormatting sqref="AD157:BA164">
    <cfRule type="cellIs" priority="431" operator="equal" dxfId="0">
      <formula>"RP"</formula>
    </cfRule>
  </conditionalFormatting>
  <conditionalFormatting sqref="AD168:BA175">
    <cfRule type="cellIs" priority="396" operator="equal" dxfId="0">
      <formula>"RP"</formula>
    </cfRule>
  </conditionalFormatting>
  <conditionalFormatting sqref="AH8">
    <cfRule type="cellIs" priority="265" operator="equal" dxfId="0">
      <formula>"RP"</formula>
    </cfRule>
  </conditionalFormatting>
  <conditionalFormatting sqref="AH10">
    <cfRule type="cellIs" priority="260" operator="equal" dxfId="0">
      <formula>"RP"</formula>
    </cfRule>
  </conditionalFormatting>
  <conditionalFormatting sqref="AH19">
    <cfRule type="cellIs" priority="230" operator="equal" dxfId="0">
      <formula>"RP"</formula>
    </cfRule>
  </conditionalFormatting>
  <conditionalFormatting sqref="AH21">
    <cfRule type="cellIs" priority="225" operator="equal" dxfId="0">
      <formula>"RP"</formula>
    </cfRule>
  </conditionalFormatting>
  <conditionalFormatting sqref="AH30">
    <cfRule type="cellIs" priority="125" operator="equal" dxfId="0">
      <formula>"RP"</formula>
    </cfRule>
  </conditionalFormatting>
  <conditionalFormatting sqref="AH32">
    <cfRule type="cellIs" priority="120" operator="equal" dxfId="0">
      <formula>"RP"</formula>
    </cfRule>
  </conditionalFormatting>
  <conditionalFormatting sqref="AH41">
    <cfRule type="cellIs" priority="90" operator="equal" dxfId="0">
      <formula>"RP"</formula>
    </cfRule>
  </conditionalFormatting>
  <conditionalFormatting sqref="AH43">
    <cfRule type="cellIs" priority="85" operator="equal" dxfId="0">
      <formula>"RP"</formula>
    </cfRule>
  </conditionalFormatting>
  <conditionalFormatting sqref="AH55">
    <cfRule type="cellIs" priority="1072" operator="equal" dxfId="0">
      <formula>"RP"</formula>
    </cfRule>
  </conditionalFormatting>
  <conditionalFormatting sqref="AH57">
    <cfRule type="cellIs" priority="1067" operator="equal" dxfId="0">
      <formula>"RP"</formula>
    </cfRule>
  </conditionalFormatting>
  <conditionalFormatting sqref="AH66">
    <cfRule type="cellIs" priority="1037" operator="equal" dxfId="0">
      <formula>"RP"</formula>
    </cfRule>
  </conditionalFormatting>
  <conditionalFormatting sqref="AH68">
    <cfRule type="cellIs" priority="1032" operator="equal" dxfId="0">
      <formula>"RP"</formula>
    </cfRule>
  </conditionalFormatting>
  <conditionalFormatting sqref="AH77">
    <cfRule type="cellIs" priority="932" operator="equal" dxfId="0">
      <formula>"RP"</formula>
    </cfRule>
  </conditionalFormatting>
  <conditionalFormatting sqref="AH79">
    <cfRule type="cellIs" priority="927" operator="equal" dxfId="0">
      <formula>"RP"</formula>
    </cfRule>
  </conditionalFormatting>
  <conditionalFormatting sqref="AH88">
    <cfRule type="cellIs" priority="897" operator="equal" dxfId="0">
      <formula>"RP"</formula>
    </cfRule>
  </conditionalFormatting>
  <conditionalFormatting sqref="AH90">
    <cfRule type="cellIs" priority="892" operator="equal" dxfId="0">
      <formula>"RP"</formula>
    </cfRule>
  </conditionalFormatting>
  <conditionalFormatting sqref="AH102">
    <cfRule type="cellIs" priority="792" operator="equal" dxfId="0">
      <formula>"RP"</formula>
    </cfRule>
  </conditionalFormatting>
  <conditionalFormatting sqref="AH104">
    <cfRule type="cellIs" priority="787" operator="equal" dxfId="0">
      <formula>"RP"</formula>
    </cfRule>
  </conditionalFormatting>
  <conditionalFormatting sqref="AH113">
    <cfRule type="cellIs" priority="757" operator="equal" dxfId="0">
      <formula>"RP"</formula>
    </cfRule>
  </conditionalFormatting>
  <conditionalFormatting sqref="AH115">
    <cfRule type="cellIs" priority="752" operator="equal" dxfId="0">
      <formula>"RP"</formula>
    </cfRule>
  </conditionalFormatting>
  <conditionalFormatting sqref="AH124">
    <cfRule type="cellIs" priority="652" operator="equal" dxfId="0">
      <formula>"RP"</formula>
    </cfRule>
  </conditionalFormatting>
  <conditionalFormatting sqref="AH126">
    <cfRule type="cellIs" priority="647" operator="equal" dxfId="0">
      <formula>"RP"</formula>
    </cfRule>
  </conditionalFormatting>
  <conditionalFormatting sqref="AH135">
    <cfRule type="cellIs" priority="582" operator="equal" dxfId="0">
      <formula>"RP"</formula>
    </cfRule>
  </conditionalFormatting>
  <conditionalFormatting sqref="AH137">
    <cfRule type="cellIs" priority="577" operator="equal" dxfId="0">
      <formula>"RP"</formula>
    </cfRule>
  </conditionalFormatting>
  <conditionalFormatting sqref="AH149">
    <cfRule type="cellIs" priority="547" operator="equal" dxfId="0">
      <formula>"RP"</formula>
    </cfRule>
  </conditionalFormatting>
  <conditionalFormatting sqref="AH151">
    <cfRule type="cellIs" priority="542" operator="equal" dxfId="0">
      <formula>"RP"</formula>
    </cfRule>
  </conditionalFormatting>
  <conditionalFormatting sqref="AH160">
    <cfRule type="cellIs" priority="442" operator="equal" dxfId="0">
      <formula>"RP"</formula>
    </cfRule>
  </conditionalFormatting>
  <conditionalFormatting sqref="AH162">
    <cfRule type="cellIs" priority="437" operator="equal" dxfId="0">
      <formula>"RP"</formula>
    </cfRule>
  </conditionalFormatting>
  <conditionalFormatting sqref="AH171">
    <cfRule type="cellIs" priority="407" operator="equal" dxfId="0">
      <formula>"RP"</formula>
    </cfRule>
  </conditionalFormatting>
  <conditionalFormatting sqref="AH173">
    <cfRule type="cellIs" priority="402" operator="equal" dxfId="0">
      <formula>"RP"</formula>
    </cfRule>
  </conditionalFormatting>
  <conditionalFormatting sqref="AO9:AQ10">
    <cfRule type="cellIs" priority="255" operator="equal" dxfId="0">
      <formula>"RP"</formula>
    </cfRule>
  </conditionalFormatting>
  <conditionalFormatting sqref="AO20:AQ21">
    <cfRule type="cellIs" priority="220" operator="equal" dxfId="0">
      <formula>"RP"</formula>
    </cfRule>
  </conditionalFormatting>
  <conditionalFormatting sqref="AO31:AQ32">
    <cfRule type="cellIs" priority="115" operator="equal" dxfId="0">
      <formula>"RP"</formula>
    </cfRule>
  </conditionalFormatting>
  <conditionalFormatting sqref="AO42:AQ43">
    <cfRule type="cellIs" priority="80" operator="equal" dxfId="0">
      <formula>"RP"</formula>
    </cfRule>
  </conditionalFormatting>
  <conditionalFormatting sqref="AO56:AQ57">
    <cfRule type="cellIs" priority="1062" operator="equal" dxfId="0">
      <formula>"RP"</formula>
    </cfRule>
  </conditionalFormatting>
  <conditionalFormatting sqref="AO67:AQ68">
    <cfRule type="cellIs" priority="1027" operator="equal" dxfId="0">
      <formula>"RP"</formula>
    </cfRule>
  </conditionalFormatting>
  <conditionalFormatting sqref="AO78:AQ79">
    <cfRule type="cellIs" priority="922" operator="equal" dxfId="0">
      <formula>"RP"</formula>
    </cfRule>
  </conditionalFormatting>
  <conditionalFormatting sqref="AO89:AQ90">
    <cfRule type="cellIs" priority="887" operator="equal" dxfId="0">
      <formula>"RP"</formula>
    </cfRule>
  </conditionalFormatting>
  <conditionalFormatting sqref="AO103:AQ104">
    <cfRule type="cellIs" priority="782" operator="equal" dxfId="0">
      <formula>"RP"</formula>
    </cfRule>
  </conditionalFormatting>
  <conditionalFormatting sqref="AO114:AQ115">
    <cfRule type="cellIs" priority="747" operator="equal" dxfId="0">
      <formula>"RP"</formula>
    </cfRule>
  </conditionalFormatting>
  <conditionalFormatting sqref="AO125:AQ126">
    <cfRule type="cellIs" priority="642" operator="equal" dxfId="0">
      <formula>"RP"</formula>
    </cfRule>
  </conditionalFormatting>
  <conditionalFormatting sqref="AO136:AQ137">
    <cfRule type="cellIs" priority="572" operator="equal" dxfId="0">
      <formula>"RP"</formula>
    </cfRule>
  </conditionalFormatting>
  <conditionalFormatting sqref="AO150:AQ151">
    <cfRule type="cellIs" priority="537" operator="equal" dxfId="0">
      <formula>"RP"</formula>
    </cfRule>
  </conditionalFormatting>
  <conditionalFormatting sqref="AO161:AQ162">
    <cfRule type="cellIs" priority="432" operator="equal" dxfId="0">
      <formula>"RP"</formula>
    </cfRule>
  </conditionalFormatting>
  <conditionalFormatting sqref="AO172:AQ173">
    <cfRule type="cellIs" priority="397" operator="equal" dxfId="0">
      <formula>"RP"</formula>
    </cfRule>
  </conditionalFormatting>
  <conditionalFormatting sqref="AR9:AZ9">
    <cfRule type="cellIs" priority="273" operator="equal" dxfId="0">
      <formula>"RP"</formula>
    </cfRule>
  </conditionalFormatting>
  <conditionalFormatting sqref="AR20:AZ20">
    <cfRule type="cellIs" priority="238" operator="equal" dxfId="0">
      <formula>"RP"</formula>
    </cfRule>
  </conditionalFormatting>
  <conditionalFormatting sqref="AR31:AZ31">
    <cfRule type="cellIs" priority="133" operator="equal" dxfId="0">
      <formula>"RP"</formula>
    </cfRule>
  </conditionalFormatting>
  <conditionalFormatting sqref="AR42:AZ42">
    <cfRule type="cellIs" priority="98" operator="equal" dxfId="0">
      <formula>"RP"</formula>
    </cfRule>
  </conditionalFormatting>
  <conditionalFormatting sqref="AR56:AZ56">
    <cfRule type="cellIs" priority="1080" operator="equal" dxfId="0">
      <formula>"RP"</formula>
    </cfRule>
  </conditionalFormatting>
  <conditionalFormatting sqref="AR67:AZ67">
    <cfRule type="cellIs" priority="1045" operator="equal" dxfId="0">
      <formula>"RP"</formula>
    </cfRule>
  </conditionalFormatting>
  <conditionalFormatting sqref="AR78:AZ78">
    <cfRule type="cellIs" priority="940" operator="equal" dxfId="0">
      <formula>"RP"</formula>
    </cfRule>
  </conditionalFormatting>
  <conditionalFormatting sqref="AR89:AZ89">
    <cfRule type="cellIs" priority="905" operator="equal" dxfId="0">
      <formula>"RP"</formula>
    </cfRule>
  </conditionalFormatting>
  <conditionalFormatting sqref="AR103:AZ103">
    <cfRule type="cellIs" priority="800" operator="equal" dxfId="0">
      <formula>"RP"</formula>
    </cfRule>
  </conditionalFormatting>
  <conditionalFormatting sqref="AR114:AZ114">
    <cfRule type="cellIs" priority="765" operator="equal" dxfId="0">
      <formula>"RP"</formula>
    </cfRule>
  </conditionalFormatting>
  <conditionalFormatting sqref="AR125:AZ125">
    <cfRule type="cellIs" priority="660" operator="equal" dxfId="0">
      <formula>"RP"</formula>
    </cfRule>
  </conditionalFormatting>
  <conditionalFormatting sqref="AR136:AZ136">
    <cfRule type="cellIs" priority="590" operator="equal" dxfId="0">
      <formula>"RP"</formula>
    </cfRule>
  </conditionalFormatting>
  <conditionalFormatting sqref="AR150:AZ150">
    <cfRule type="cellIs" priority="555" operator="equal" dxfId="0">
      <formula>"RP"</formula>
    </cfRule>
  </conditionalFormatting>
  <conditionalFormatting sqref="AR161:AZ161">
    <cfRule type="cellIs" priority="450" operator="equal" dxfId="0">
      <formula>"RP"</formula>
    </cfRule>
  </conditionalFormatting>
  <conditionalFormatting sqref="AR172:AZ172">
    <cfRule type="cellIs" priority="415" operator="equal" dxfId="0">
      <formula>"RP"</formula>
    </cfRule>
  </conditionalFormatting>
  <conditionalFormatting sqref="BC4:BD16">
    <cfRule type="cellIs" priority="33" operator="equal" dxfId="0">
      <formula>"RP"</formula>
    </cfRule>
  </conditionalFormatting>
  <conditionalFormatting sqref="BC51:BD63">
    <cfRule type="cellIs" priority="35" operator="equal" dxfId="0">
      <formula>"RP"</formula>
    </cfRule>
  </conditionalFormatting>
  <conditionalFormatting sqref="BC98:BD110">
    <cfRule type="cellIs" priority="37" operator="equal" dxfId="0">
      <formula>"RP"</formula>
    </cfRule>
  </conditionalFormatting>
  <conditionalFormatting sqref="BC145:BD157">
    <cfRule type="cellIs" priority="10157" operator="equal" dxfId="0">
      <formula>"RP"</formula>
    </cfRule>
  </conditionalFormatting>
  <conditionalFormatting sqref="BD11">
    <cfRule type="cellIs" priority="25983" operator="equal" dxfId="0">
      <formula>"RP"</formula>
    </cfRule>
  </conditionalFormatting>
  <conditionalFormatting sqref="BD13">
    <cfRule type="cellIs" priority="25980" operator="equal" dxfId="0">
      <formula>"RP"</formula>
    </cfRule>
  </conditionalFormatting>
  <conditionalFormatting sqref="BD15:BD16">
    <cfRule type="cellIs" priority="32" operator="equal" dxfId="0">
      <formula>"RP"</formula>
    </cfRule>
  </conditionalFormatting>
  <conditionalFormatting sqref="BD58">
    <cfRule type="cellIs" priority="19982" operator="equal" dxfId="0">
      <formula>"RP"</formula>
    </cfRule>
  </conditionalFormatting>
  <conditionalFormatting sqref="BD60">
    <cfRule type="cellIs" priority="19981" operator="equal" dxfId="0">
      <formula>"RP"</formula>
    </cfRule>
  </conditionalFormatting>
  <conditionalFormatting sqref="BD62:BD63">
    <cfRule type="cellIs" priority="34" operator="equal" dxfId="0">
      <formula>"RP"</formula>
    </cfRule>
  </conditionalFormatting>
  <conditionalFormatting sqref="BD105">
    <cfRule type="cellIs" priority="19976" operator="equal" dxfId="0">
      <formula>"RP"</formula>
    </cfRule>
  </conditionalFormatting>
  <conditionalFormatting sqref="BD107">
    <cfRule type="cellIs" priority="19975" operator="equal" dxfId="0">
      <formula>"RP"</formula>
    </cfRule>
  </conditionalFormatting>
  <conditionalFormatting sqref="BD109:BD110">
    <cfRule type="cellIs" priority="36" operator="equal" dxfId="0">
      <formula>"RP"</formula>
    </cfRule>
  </conditionalFormatting>
  <conditionalFormatting sqref="BD152">
    <cfRule type="cellIs" priority="19970" operator="equal" dxfId="0">
      <formula>"RP"</formula>
    </cfRule>
  </conditionalFormatting>
  <conditionalFormatting sqref="BD154">
    <cfRule type="cellIs" priority="19969" operator="equal" dxfId="0">
      <formula>"RP"</formula>
    </cfRule>
  </conditionalFormatting>
  <conditionalFormatting sqref="BD156:BD157">
    <cfRule type="cellIs" priority="10156" operator="equal" dxfId="0">
      <formula>"RP"</formula>
    </cfRule>
  </conditionalFormatting>
  <pageMargins left="0.17" right="0.17" top="0.58" bottom="0.35" header="0.19" footer="0.19"/>
  <pageSetup orientation="landscape" scale="50" fitToHeight="0" horizontalDpi="360" verticalDpi="360"/>
  <rowBreaks count="3" manualBreakCount="3">
    <brk id="47" min="2" max="59" man="1"/>
    <brk id="94" min="2" max="59" man="1"/>
    <brk id="141" min="2" max="59" man="1"/>
  </rowBreaks>
</worksheet>
</file>

<file path=xl/worksheets/sheet5.xml><?xml version="1.0" encoding="utf-8"?>
<worksheet xmlns="http://schemas.openxmlformats.org/spreadsheetml/2006/main">
  <sheetPr>
    <tabColor rgb="FFFF0000"/>
    <outlinePr summaryBelow="1" summaryRight="1"/>
    <pageSetUpPr fitToPage="1"/>
  </sheetPr>
  <dimension ref="A1:XEZ69"/>
  <sheetViews>
    <sheetView topLeftCell="F1" zoomScale="80" zoomScaleNormal="80" workbookViewId="0">
      <selection activeCell="T6" sqref="T6"/>
    </sheetView>
  </sheetViews>
  <sheetFormatPr baseColWidth="8" defaultRowHeight="15"/>
  <cols>
    <col width="13.42578125" customWidth="1" min="1" max="1"/>
    <col width="17.28515625" customWidth="1" min="2" max="2"/>
    <col width="26.140625" customWidth="1" min="3" max="3"/>
    <col width="12.7109375" bestFit="1" customWidth="1" min="10" max="10"/>
    <col width="6.42578125" customWidth="1" min="12" max="12"/>
    <col width="12.42578125" customWidth="1" min="13" max="13"/>
    <col width="59.42578125" customWidth="1" min="15" max="15"/>
    <col width="12.85546875" bestFit="1" customWidth="1" min="18" max="18"/>
    <col width="39.28515625" bestFit="1" customWidth="1" min="19" max="19"/>
  </cols>
  <sheetData>
    <row r="1" ht="23.25" customHeight="1">
      <c r="A1" s="362" t="inlineStr">
        <is>
          <t xml:space="preserve">QUALIFIERS / NULL </t>
        </is>
      </c>
      <c r="B1" s="347" t="n"/>
      <c r="C1" s="347" t="n"/>
      <c r="D1" s="347" t="n"/>
      <c r="E1" s="347" t="n"/>
      <c r="F1" s="347" t="n"/>
      <c r="G1" s="347" t="n"/>
      <c r="H1" s="347" t="n"/>
      <c r="I1" s="347" t="n"/>
      <c r="J1" s="347" t="n"/>
      <c r="K1" s="347" t="n"/>
      <c r="L1" s="347" t="n"/>
      <c r="M1" s="347" t="n"/>
      <c r="N1" s="347" t="n"/>
      <c r="O1" s="249" t="n"/>
      <c r="P1" s="169" t="n"/>
      <c r="Q1" s="169" t="n"/>
      <c r="R1" s="169" t="n"/>
      <c r="S1" s="169" t="n"/>
      <c r="T1" s="169" t="n"/>
      <c r="U1" s="169" t="n"/>
      <c r="V1" s="169" t="n"/>
      <c r="W1" s="169" t="n"/>
      <c r="X1" s="169" t="n"/>
      <c r="Y1" s="169" t="n"/>
      <c r="Z1" s="169" t="n"/>
      <c r="AA1" s="301" t="n"/>
      <c r="AP1" s="301" t="n"/>
      <c r="BE1" s="301" t="n"/>
      <c r="BT1" s="301" t="n"/>
      <c r="CI1" s="301" t="n"/>
      <c r="CX1" s="301" t="n"/>
      <c r="DM1" s="301" t="n"/>
      <c r="EB1" s="301" t="n"/>
      <c r="EQ1" s="301" t="n"/>
      <c r="FF1" s="301" t="n"/>
      <c r="FU1" s="301" t="n"/>
      <c r="GJ1" s="301" t="n"/>
      <c r="GY1" s="301" t="n"/>
      <c r="HN1" s="301" t="n"/>
      <c r="IC1" s="301" t="n"/>
      <c r="IR1" s="301" t="n"/>
      <c r="JG1" s="301" t="n"/>
      <c r="JV1" s="301" t="n"/>
      <c r="KK1" s="301" t="n"/>
      <c r="KZ1" s="301" t="n"/>
      <c r="LO1" s="301" t="n"/>
      <c r="MD1" s="301" t="n"/>
      <c r="MS1" s="301" t="n"/>
      <c r="NH1" s="301" t="n"/>
      <c r="NW1" s="301" t="n"/>
      <c r="OL1" s="301" t="n"/>
      <c r="PA1" s="301" t="n"/>
      <c r="PP1" s="301" t="n"/>
      <c r="QE1" s="301" t="n"/>
      <c r="QT1" s="301" t="n"/>
      <c r="RI1" s="301" t="n"/>
      <c r="RX1" s="301" t="n"/>
      <c r="SM1" s="301" t="n"/>
      <c r="TB1" s="301" t="n"/>
      <c r="TQ1" s="301" t="n"/>
      <c r="UF1" s="301" t="n"/>
      <c r="UU1" s="301" t="n"/>
      <c r="VJ1" s="301" t="n"/>
      <c r="VY1" s="301" t="n"/>
      <c r="WN1" s="301" t="n"/>
      <c r="XC1" s="301" t="n"/>
      <c r="XR1" s="301" t="n"/>
      <c r="YG1" s="301" t="n"/>
      <c r="YV1" s="301" t="n"/>
      <c r="ZK1" s="301" t="n"/>
      <c r="ZZ1" s="301" t="n"/>
      <c r="AAO1" s="301" t="n"/>
      <c r="ABD1" s="301" t="n"/>
      <c r="ABS1" s="301" t="n"/>
      <c r="ACH1" s="301" t="n"/>
      <c r="ACW1" s="301" t="n"/>
      <c r="ADL1" s="301" t="n"/>
      <c r="AEA1" s="301" t="n"/>
      <c r="AEP1" s="301" t="n"/>
      <c r="AFE1" s="301" t="n"/>
      <c r="AFT1" s="301" t="n"/>
      <c r="AGI1" s="301" t="n"/>
      <c r="AGX1" s="301" t="n"/>
      <c r="AHM1" s="301" t="n"/>
      <c r="AIB1" s="301" t="n"/>
      <c r="AIQ1" s="301" t="n"/>
      <c r="AJF1" s="301" t="n"/>
      <c r="AJU1" s="301" t="n"/>
      <c r="AKJ1" s="301" t="n"/>
      <c r="AKY1" s="301" t="n"/>
      <c r="ALN1" s="301" t="n"/>
      <c r="AMC1" s="301" t="n"/>
      <c r="AMR1" s="301" t="n"/>
      <c r="ANG1" s="301" t="n"/>
      <c r="ANV1" s="301" t="n"/>
      <c r="AOK1" s="301" t="n"/>
      <c r="AOZ1" s="301" t="n"/>
      <c r="APO1" s="301" t="n"/>
      <c r="AQD1" s="301" t="n"/>
      <c r="AQS1" s="301" t="n"/>
      <c r="ARH1" s="301" t="n"/>
      <c r="ARW1" s="301" t="n"/>
      <c r="ASL1" s="301" t="n"/>
      <c r="ATA1" s="301" t="n"/>
      <c r="ATP1" s="301" t="n"/>
      <c r="AUE1" s="301" t="n"/>
      <c r="AUT1" s="301" t="n"/>
      <c r="AVI1" s="301" t="n"/>
      <c r="AVX1" s="301" t="n"/>
      <c r="AWM1" s="301" t="n"/>
      <c r="AXB1" s="301" t="n"/>
      <c r="AXQ1" s="301" t="n"/>
      <c r="AYF1" s="301" t="n"/>
      <c r="AYU1" s="301" t="n"/>
      <c r="AZJ1" s="301" t="n"/>
      <c r="AZY1" s="301" t="n"/>
      <c r="BAN1" s="301" t="n"/>
      <c r="BBC1" s="301" t="n"/>
      <c r="BBR1" s="301" t="n"/>
      <c r="BCG1" s="301" t="n"/>
      <c r="BCV1" s="301" t="n"/>
      <c r="BDK1" s="301" t="n"/>
      <c r="BDZ1" s="301" t="n"/>
      <c r="BEO1" s="301" t="n"/>
      <c r="BFD1" s="301" t="n"/>
      <c r="BFS1" s="301" t="n"/>
      <c r="BGH1" s="301" t="n"/>
      <c r="BGW1" s="301" t="n"/>
      <c r="BHL1" s="301" t="n"/>
      <c r="BIA1" s="301" t="n"/>
      <c r="BIP1" s="301" t="n"/>
      <c r="BJE1" s="301" t="n"/>
      <c r="BJT1" s="301" t="n"/>
      <c r="BKI1" s="301" t="n"/>
      <c r="BKX1" s="301" t="n"/>
      <c r="BLM1" s="301" t="n"/>
      <c r="BMB1" s="301" t="n"/>
      <c r="BMQ1" s="301" t="n"/>
      <c r="BNF1" s="301" t="n"/>
      <c r="BNU1" s="301" t="n"/>
      <c r="BOJ1" s="301" t="n"/>
      <c r="BOY1" s="301" t="n"/>
      <c r="BPN1" s="301" t="n"/>
      <c r="BQC1" s="301" t="n"/>
      <c r="BQR1" s="301" t="n"/>
      <c r="BRG1" s="301" t="n"/>
      <c r="BRV1" s="301" t="n"/>
      <c r="BSK1" s="301" t="n"/>
      <c r="BSZ1" s="301" t="n"/>
      <c r="BTO1" s="301" t="n"/>
      <c r="BUD1" s="301" t="n"/>
      <c r="BUS1" s="301" t="n"/>
      <c r="BVH1" s="301" t="n"/>
      <c r="BVW1" s="301" t="n"/>
      <c r="BWL1" s="301" t="n"/>
      <c r="BXA1" s="301" t="n"/>
      <c r="BXP1" s="301" t="n"/>
      <c r="BYE1" s="301" t="n"/>
      <c r="BYT1" s="301" t="n"/>
      <c r="BZI1" s="301" t="n"/>
      <c r="BZX1" s="301" t="n"/>
      <c r="CAM1" s="301" t="n"/>
      <c r="CBB1" s="301" t="n"/>
      <c r="CBQ1" s="301" t="n"/>
      <c r="CCF1" s="301" t="n"/>
      <c r="CCU1" s="301" t="n"/>
      <c r="CDJ1" s="301" t="n"/>
      <c r="CDY1" s="301" t="n"/>
      <c r="CEN1" s="301" t="n"/>
      <c r="CFC1" s="301" t="n"/>
      <c r="CFR1" s="301" t="n"/>
      <c r="CGG1" s="301" t="n"/>
      <c r="CGV1" s="301" t="n"/>
      <c r="CHK1" s="301" t="n"/>
      <c r="CHZ1" s="301" t="n"/>
      <c r="CIO1" s="301" t="n"/>
      <c r="CJD1" s="301" t="n"/>
      <c r="CJS1" s="301" t="n"/>
      <c r="CKH1" s="301" t="n"/>
      <c r="CKW1" s="301" t="n"/>
      <c r="CLL1" s="301" t="n"/>
      <c r="CMA1" s="301" t="n"/>
      <c r="CMP1" s="301" t="n"/>
      <c r="CNE1" s="301" t="n"/>
      <c r="CNT1" s="301" t="n"/>
      <c r="COI1" s="301" t="n"/>
      <c r="COX1" s="301" t="n"/>
      <c r="CPM1" s="301" t="n"/>
      <c r="CQB1" s="301" t="n"/>
      <c r="CQQ1" s="301" t="n"/>
      <c r="CRF1" s="301" t="n"/>
      <c r="CRU1" s="301" t="n"/>
      <c r="CSJ1" s="301" t="n"/>
      <c r="CSY1" s="301" t="n"/>
      <c r="CTN1" s="301" t="n"/>
      <c r="CUC1" s="301" t="n"/>
      <c r="CUR1" s="301" t="n"/>
      <c r="CVG1" s="301" t="n"/>
      <c r="CVV1" s="301" t="n"/>
      <c r="CWK1" s="301" t="n"/>
      <c r="CWZ1" s="301" t="n"/>
      <c r="CXO1" s="301" t="n"/>
      <c r="CYD1" s="301" t="n"/>
      <c r="CYS1" s="301" t="n"/>
      <c r="CZH1" s="301" t="n"/>
      <c r="CZW1" s="301" t="n"/>
      <c r="DAL1" s="301" t="n"/>
      <c r="DBA1" s="301" t="n"/>
      <c r="DBP1" s="301" t="n"/>
      <c r="DCE1" s="301" t="n"/>
      <c r="DCT1" s="301" t="n"/>
      <c r="DDI1" s="301" t="n"/>
      <c r="DDX1" s="301" t="n"/>
      <c r="DEM1" s="301" t="n"/>
      <c r="DFB1" s="301" t="n"/>
      <c r="DFQ1" s="301" t="n"/>
      <c r="DGF1" s="301" t="n"/>
      <c r="DGU1" s="301" t="n"/>
      <c r="DHJ1" s="301" t="n"/>
      <c r="DHY1" s="301" t="n"/>
      <c r="DIN1" s="301" t="n"/>
      <c r="DJC1" s="301" t="n"/>
      <c r="DJR1" s="301" t="n"/>
      <c r="DKG1" s="301" t="n"/>
      <c r="DKV1" s="301" t="n"/>
      <c r="DLK1" s="301" t="n"/>
      <c r="DLZ1" s="301" t="n"/>
      <c r="DMO1" s="301" t="n"/>
      <c r="DND1" s="301" t="n"/>
      <c r="DNS1" s="301" t="n"/>
      <c r="DOH1" s="301" t="n"/>
      <c r="DOW1" s="301" t="n"/>
      <c r="DPL1" s="301" t="n"/>
      <c r="DQA1" s="301" t="n"/>
      <c r="DQP1" s="301" t="n"/>
      <c r="DRE1" s="301" t="n"/>
      <c r="DRT1" s="301" t="n"/>
      <c r="DSI1" s="301" t="n"/>
      <c r="DSX1" s="301" t="n"/>
      <c r="DTM1" s="301" t="n"/>
      <c r="DUB1" s="301" t="n"/>
      <c r="DUQ1" s="301" t="n"/>
      <c r="DVF1" s="301" t="n"/>
      <c r="DVU1" s="301" t="n"/>
      <c r="DWJ1" s="301" t="n"/>
      <c r="DWY1" s="301" t="n"/>
      <c r="DXN1" s="301" t="n"/>
      <c r="DYC1" s="301" t="n"/>
      <c r="DYR1" s="301" t="n"/>
      <c r="DZG1" s="301" t="n"/>
      <c r="DZV1" s="301" t="n"/>
      <c r="EAK1" s="301" t="n"/>
      <c r="EAZ1" s="301" t="n"/>
      <c r="EBO1" s="301" t="n"/>
      <c r="ECD1" s="301" t="n"/>
      <c r="ECS1" s="301" t="n"/>
      <c r="EDH1" s="301" t="n"/>
      <c r="EDW1" s="301" t="n"/>
      <c r="EEL1" s="301" t="n"/>
      <c r="EFA1" s="301" t="n"/>
      <c r="EFP1" s="301" t="n"/>
      <c r="EGE1" s="301" t="n"/>
      <c r="EGT1" s="301" t="n"/>
      <c r="EHI1" s="301" t="n"/>
      <c r="EHX1" s="301" t="n"/>
      <c r="EIM1" s="301" t="n"/>
      <c r="EJB1" s="301" t="n"/>
      <c r="EJQ1" s="301" t="n"/>
      <c r="EKF1" s="301" t="n"/>
      <c r="EKU1" s="301" t="n"/>
      <c r="ELJ1" s="301" t="n"/>
      <c r="ELY1" s="301" t="n"/>
      <c r="EMN1" s="301" t="n"/>
      <c r="ENC1" s="301" t="n"/>
      <c r="ENR1" s="301" t="n"/>
      <c r="EOG1" s="301" t="n"/>
      <c r="EOV1" s="301" t="n"/>
      <c r="EPK1" s="301" t="n"/>
      <c r="EPZ1" s="301" t="n"/>
      <c r="EQO1" s="301" t="n"/>
      <c r="ERD1" s="301" t="n"/>
      <c r="ERS1" s="301" t="n"/>
      <c r="ESH1" s="301" t="n"/>
      <c r="ESW1" s="301" t="n"/>
      <c r="ETL1" s="301" t="n"/>
      <c r="EUA1" s="301" t="n"/>
      <c r="EUP1" s="301" t="n"/>
      <c r="EVE1" s="301" t="n"/>
      <c r="EVT1" s="301" t="n"/>
      <c r="EWI1" s="301" t="n"/>
      <c r="EWX1" s="301" t="n"/>
      <c r="EXM1" s="301" t="n"/>
      <c r="EYB1" s="301" t="n"/>
      <c r="EYQ1" s="301" t="n"/>
      <c r="EZF1" s="301" t="n"/>
      <c r="EZU1" s="301" t="n"/>
      <c r="FAJ1" s="301" t="n"/>
      <c r="FAY1" s="301" t="n"/>
      <c r="FBN1" s="301" t="n"/>
      <c r="FCC1" s="301" t="n"/>
      <c r="FCR1" s="301" t="n"/>
      <c r="FDG1" s="301" t="n"/>
      <c r="FDV1" s="301" t="n"/>
      <c r="FEK1" s="301" t="n"/>
      <c r="FEZ1" s="301" t="n"/>
      <c r="FFO1" s="301" t="n"/>
      <c r="FGD1" s="301" t="n"/>
      <c r="FGS1" s="301" t="n"/>
      <c r="FHH1" s="301" t="n"/>
      <c r="FHW1" s="301" t="n"/>
      <c r="FIL1" s="301" t="n"/>
      <c r="FJA1" s="301" t="n"/>
      <c r="FJP1" s="301" t="n"/>
      <c r="FKE1" s="301" t="n"/>
      <c r="FKT1" s="301" t="n"/>
      <c r="FLI1" s="301" t="n"/>
      <c r="FLX1" s="301" t="n"/>
      <c r="FMM1" s="301" t="n"/>
      <c r="FNB1" s="301" t="n"/>
      <c r="FNQ1" s="301" t="n"/>
      <c r="FOF1" s="301" t="n"/>
      <c r="FOU1" s="301" t="n"/>
      <c r="FPJ1" s="301" t="n"/>
      <c r="FPY1" s="301" t="n"/>
      <c r="FQN1" s="301" t="n"/>
      <c r="FRC1" s="301" t="n"/>
      <c r="FRR1" s="301" t="n"/>
      <c r="FSG1" s="301" t="n"/>
      <c r="FSV1" s="301" t="n"/>
      <c r="FTK1" s="301" t="n"/>
      <c r="FTZ1" s="301" t="n"/>
      <c r="FUO1" s="301" t="n"/>
      <c r="FVD1" s="301" t="n"/>
      <c r="FVS1" s="301" t="n"/>
      <c r="FWH1" s="301" t="n"/>
      <c r="FWW1" s="301" t="n"/>
      <c r="FXL1" s="301" t="n"/>
      <c r="FYA1" s="301" t="n"/>
      <c r="FYP1" s="301" t="n"/>
      <c r="FZE1" s="301" t="n"/>
      <c r="FZT1" s="301" t="n"/>
      <c r="GAI1" s="301" t="n"/>
      <c r="GAX1" s="301" t="n"/>
      <c r="GBM1" s="301" t="n"/>
      <c r="GCB1" s="301" t="n"/>
      <c r="GCQ1" s="301" t="n"/>
      <c r="GDF1" s="301" t="n"/>
      <c r="GDU1" s="301" t="n"/>
      <c r="GEJ1" s="301" t="n"/>
      <c r="GEY1" s="301" t="n"/>
      <c r="GFN1" s="301" t="n"/>
      <c r="GGC1" s="301" t="n"/>
      <c r="GGR1" s="301" t="n"/>
      <c r="GHG1" s="301" t="n"/>
      <c r="GHV1" s="301" t="n"/>
      <c r="GIK1" s="301" t="n"/>
      <c r="GIZ1" s="301" t="n"/>
      <c r="GJO1" s="301" t="n"/>
      <c r="GKD1" s="301" t="n"/>
      <c r="GKS1" s="301" t="n"/>
      <c r="GLH1" s="301" t="n"/>
      <c r="GLW1" s="301" t="n"/>
      <c r="GML1" s="301" t="n"/>
      <c r="GNA1" s="301" t="n"/>
      <c r="GNP1" s="301" t="n"/>
      <c r="GOE1" s="301" t="n"/>
      <c r="GOT1" s="301" t="n"/>
      <c r="GPI1" s="301" t="n"/>
      <c r="GPX1" s="301" t="n"/>
      <c r="GQM1" s="301" t="n"/>
      <c r="GRB1" s="301" t="n"/>
      <c r="GRQ1" s="301" t="n"/>
      <c r="GSF1" s="301" t="n"/>
      <c r="GSU1" s="301" t="n"/>
      <c r="GTJ1" s="301" t="n"/>
      <c r="GTY1" s="301" t="n"/>
      <c r="GUN1" s="301" t="n"/>
      <c r="GVC1" s="301" t="n"/>
      <c r="GVR1" s="301" t="n"/>
      <c r="GWG1" s="301" t="n"/>
      <c r="GWV1" s="301" t="n"/>
      <c r="GXK1" s="301" t="n"/>
      <c r="GXZ1" s="301" t="n"/>
      <c r="GYO1" s="301" t="n"/>
      <c r="GZD1" s="301" t="n"/>
      <c r="GZS1" s="301" t="n"/>
      <c r="HAH1" s="301" t="n"/>
      <c r="HAW1" s="301" t="n"/>
      <c r="HBL1" s="301" t="n"/>
      <c r="HCA1" s="301" t="n"/>
      <c r="HCP1" s="301" t="n"/>
      <c r="HDE1" s="301" t="n"/>
      <c r="HDT1" s="301" t="n"/>
      <c r="HEI1" s="301" t="n"/>
      <c r="HEX1" s="301" t="n"/>
      <c r="HFM1" s="301" t="n"/>
      <c r="HGB1" s="301" t="n"/>
      <c r="HGQ1" s="301" t="n"/>
      <c r="HHF1" s="301" t="n"/>
      <c r="HHU1" s="301" t="n"/>
      <c r="HIJ1" s="301" t="n"/>
      <c r="HIY1" s="301" t="n"/>
      <c r="HJN1" s="301" t="n"/>
      <c r="HKC1" s="301" t="n"/>
      <c r="HKR1" s="301" t="n"/>
      <c r="HLG1" s="301" t="n"/>
      <c r="HLV1" s="301" t="n"/>
      <c r="HMK1" s="301" t="n"/>
      <c r="HMZ1" s="301" t="n"/>
      <c r="HNO1" s="301" t="n"/>
      <c r="HOD1" s="301" t="n"/>
      <c r="HOS1" s="301" t="n"/>
      <c r="HPH1" s="301" t="n"/>
      <c r="HPW1" s="301" t="n"/>
      <c r="HQL1" s="301" t="n"/>
      <c r="HRA1" s="301" t="n"/>
      <c r="HRP1" s="301" t="n"/>
      <c r="HSE1" s="301" t="n"/>
      <c r="HST1" s="301" t="n"/>
      <c r="HTI1" s="301" t="n"/>
      <c r="HTX1" s="301" t="n"/>
      <c r="HUM1" s="301" t="n"/>
      <c r="HVB1" s="301" t="n"/>
      <c r="HVQ1" s="301" t="n"/>
      <c r="HWF1" s="301" t="n"/>
      <c r="HWU1" s="301" t="n"/>
      <c r="HXJ1" s="301" t="n"/>
      <c r="HXY1" s="301" t="n"/>
      <c r="HYN1" s="301" t="n"/>
      <c r="HZC1" s="301" t="n"/>
      <c r="HZR1" s="301" t="n"/>
      <c r="IAG1" s="301" t="n"/>
      <c r="IAV1" s="301" t="n"/>
      <c r="IBK1" s="301" t="n"/>
      <c r="IBZ1" s="301" t="n"/>
      <c r="ICO1" s="301" t="n"/>
      <c r="IDD1" s="301" t="n"/>
      <c r="IDS1" s="301" t="n"/>
      <c r="IEH1" s="301" t="n"/>
      <c r="IEW1" s="301" t="n"/>
      <c r="IFL1" s="301" t="n"/>
      <c r="IGA1" s="301" t="n"/>
      <c r="IGP1" s="301" t="n"/>
      <c r="IHE1" s="301" t="n"/>
      <c r="IHT1" s="301" t="n"/>
      <c r="III1" s="301" t="n"/>
      <c r="IIX1" s="301" t="n"/>
      <c r="IJM1" s="301" t="n"/>
      <c r="IKB1" s="301" t="n"/>
      <c r="IKQ1" s="301" t="n"/>
      <c r="ILF1" s="301" t="n"/>
      <c r="ILU1" s="301" t="n"/>
      <c r="IMJ1" s="301" t="n"/>
      <c r="IMY1" s="301" t="n"/>
      <c r="INN1" s="301" t="n"/>
      <c r="IOC1" s="301" t="n"/>
      <c r="IOR1" s="301" t="n"/>
      <c r="IPG1" s="301" t="n"/>
      <c r="IPV1" s="301" t="n"/>
      <c r="IQK1" s="301" t="n"/>
      <c r="IQZ1" s="301" t="n"/>
      <c r="IRO1" s="301" t="n"/>
      <c r="ISD1" s="301" t="n"/>
      <c r="ISS1" s="301" t="n"/>
      <c r="ITH1" s="301" t="n"/>
      <c r="ITW1" s="301" t="n"/>
      <c r="IUL1" s="301" t="n"/>
      <c r="IVA1" s="301" t="n"/>
      <c r="IVP1" s="301" t="n"/>
      <c r="IWE1" s="301" t="n"/>
      <c r="IWT1" s="301" t="n"/>
      <c r="IXI1" s="301" t="n"/>
      <c r="IXX1" s="301" t="n"/>
      <c r="IYM1" s="301" t="n"/>
      <c r="IZB1" s="301" t="n"/>
      <c r="IZQ1" s="301" t="n"/>
      <c r="JAF1" s="301" t="n"/>
      <c r="JAU1" s="301" t="n"/>
      <c r="JBJ1" s="301" t="n"/>
      <c r="JBY1" s="301" t="n"/>
      <c r="JCN1" s="301" t="n"/>
      <c r="JDC1" s="301" t="n"/>
      <c r="JDR1" s="301" t="n"/>
      <c r="JEG1" s="301" t="n"/>
      <c r="JEV1" s="301" t="n"/>
      <c r="JFK1" s="301" t="n"/>
      <c r="JFZ1" s="301" t="n"/>
      <c r="JGO1" s="301" t="n"/>
      <c r="JHD1" s="301" t="n"/>
      <c r="JHS1" s="301" t="n"/>
      <c r="JIH1" s="301" t="n"/>
      <c r="JIW1" s="301" t="n"/>
      <c r="JJL1" s="301" t="n"/>
      <c r="JKA1" s="301" t="n"/>
      <c r="JKP1" s="301" t="n"/>
      <c r="JLE1" s="301" t="n"/>
      <c r="JLT1" s="301" t="n"/>
      <c r="JMI1" s="301" t="n"/>
      <c r="JMX1" s="301" t="n"/>
      <c r="JNM1" s="301" t="n"/>
      <c r="JOB1" s="301" t="n"/>
      <c r="JOQ1" s="301" t="n"/>
      <c r="JPF1" s="301" t="n"/>
      <c r="JPU1" s="301" t="n"/>
      <c r="JQJ1" s="301" t="n"/>
      <c r="JQY1" s="301" t="n"/>
      <c r="JRN1" s="301" t="n"/>
      <c r="JSC1" s="301" t="n"/>
      <c r="JSR1" s="301" t="n"/>
      <c r="JTG1" s="301" t="n"/>
      <c r="JTV1" s="301" t="n"/>
      <c r="JUK1" s="301" t="n"/>
      <c r="JUZ1" s="301" t="n"/>
      <c r="JVO1" s="301" t="n"/>
      <c r="JWD1" s="301" t="n"/>
      <c r="JWS1" s="301" t="n"/>
      <c r="JXH1" s="301" t="n"/>
      <c r="JXW1" s="301" t="n"/>
      <c r="JYL1" s="301" t="n"/>
      <c r="JZA1" s="301" t="n"/>
      <c r="JZP1" s="301" t="n"/>
      <c r="KAE1" s="301" t="n"/>
      <c r="KAT1" s="301" t="n"/>
      <c r="KBI1" s="301" t="n"/>
      <c r="KBX1" s="301" t="n"/>
      <c r="KCM1" s="301" t="n"/>
      <c r="KDB1" s="301" t="n"/>
      <c r="KDQ1" s="301" t="n"/>
      <c r="KEF1" s="301" t="n"/>
      <c r="KEU1" s="301" t="n"/>
      <c r="KFJ1" s="301" t="n"/>
      <c r="KFY1" s="301" t="n"/>
      <c r="KGN1" s="301" t="n"/>
      <c r="KHC1" s="301" t="n"/>
      <c r="KHR1" s="301" t="n"/>
      <c r="KIG1" s="301" t="n"/>
      <c r="KIV1" s="301" t="n"/>
      <c r="KJK1" s="301" t="n"/>
      <c r="KJZ1" s="301" t="n"/>
      <c r="KKO1" s="301" t="n"/>
      <c r="KLD1" s="301" t="n"/>
      <c r="KLS1" s="301" t="n"/>
      <c r="KMH1" s="301" t="n"/>
      <c r="KMW1" s="301" t="n"/>
      <c r="KNL1" s="301" t="n"/>
      <c r="KOA1" s="301" t="n"/>
      <c r="KOP1" s="301" t="n"/>
      <c r="KPE1" s="301" t="n"/>
      <c r="KPT1" s="301" t="n"/>
      <c r="KQI1" s="301" t="n"/>
      <c r="KQX1" s="301" t="n"/>
      <c r="KRM1" s="301" t="n"/>
      <c r="KSB1" s="301" t="n"/>
      <c r="KSQ1" s="301" t="n"/>
      <c r="KTF1" s="301" t="n"/>
      <c r="KTU1" s="301" t="n"/>
      <c r="KUJ1" s="301" t="n"/>
      <c r="KUY1" s="301" t="n"/>
      <c r="KVN1" s="301" t="n"/>
      <c r="KWC1" s="301" t="n"/>
      <c r="KWR1" s="301" t="n"/>
      <c r="KXG1" s="301" t="n"/>
      <c r="KXV1" s="301" t="n"/>
      <c r="KYK1" s="301" t="n"/>
      <c r="KYZ1" s="301" t="n"/>
      <c r="KZO1" s="301" t="n"/>
      <c r="LAD1" s="301" t="n"/>
      <c r="LAS1" s="301" t="n"/>
      <c r="LBH1" s="301" t="n"/>
      <c r="LBW1" s="301" t="n"/>
      <c r="LCL1" s="301" t="n"/>
      <c r="LDA1" s="301" t="n"/>
      <c r="LDP1" s="301" t="n"/>
      <c r="LEE1" s="301" t="n"/>
      <c r="LET1" s="301" t="n"/>
      <c r="LFI1" s="301" t="n"/>
      <c r="LFX1" s="301" t="n"/>
      <c r="LGM1" s="301" t="n"/>
      <c r="LHB1" s="301" t="n"/>
      <c r="LHQ1" s="301" t="n"/>
      <c r="LIF1" s="301" t="n"/>
      <c r="LIU1" s="301" t="n"/>
      <c r="LJJ1" s="301" t="n"/>
      <c r="LJY1" s="301" t="n"/>
      <c r="LKN1" s="301" t="n"/>
      <c r="LLC1" s="301" t="n"/>
      <c r="LLR1" s="301" t="n"/>
      <c r="LMG1" s="301" t="n"/>
      <c r="LMV1" s="301" t="n"/>
      <c r="LNK1" s="301" t="n"/>
      <c r="LNZ1" s="301" t="n"/>
      <c r="LOO1" s="301" t="n"/>
      <c r="LPD1" s="301" t="n"/>
      <c r="LPS1" s="301" t="n"/>
      <c r="LQH1" s="301" t="n"/>
      <c r="LQW1" s="301" t="n"/>
      <c r="LRL1" s="301" t="n"/>
      <c r="LSA1" s="301" t="n"/>
      <c r="LSP1" s="301" t="n"/>
      <c r="LTE1" s="301" t="n"/>
      <c r="LTT1" s="301" t="n"/>
      <c r="LUI1" s="301" t="n"/>
      <c r="LUX1" s="301" t="n"/>
      <c r="LVM1" s="301" t="n"/>
      <c r="LWB1" s="301" t="n"/>
      <c r="LWQ1" s="301" t="n"/>
      <c r="LXF1" s="301" t="n"/>
      <c r="LXU1" s="301" t="n"/>
      <c r="LYJ1" s="301" t="n"/>
      <c r="LYY1" s="301" t="n"/>
      <c r="LZN1" s="301" t="n"/>
      <c r="MAC1" s="301" t="n"/>
      <c r="MAR1" s="301" t="n"/>
      <c r="MBG1" s="301" t="n"/>
      <c r="MBV1" s="301" t="n"/>
      <c r="MCK1" s="301" t="n"/>
      <c r="MCZ1" s="301" t="n"/>
      <c r="MDO1" s="301" t="n"/>
      <c r="MED1" s="301" t="n"/>
      <c r="MES1" s="301" t="n"/>
      <c r="MFH1" s="301" t="n"/>
      <c r="MFW1" s="301" t="n"/>
      <c r="MGL1" s="301" t="n"/>
      <c r="MHA1" s="301" t="n"/>
      <c r="MHP1" s="301" t="n"/>
      <c r="MIE1" s="301" t="n"/>
      <c r="MIT1" s="301" t="n"/>
      <c r="MJI1" s="301" t="n"/>
      <c r="MJX1" s="301" t="n"/>
      <c r="MKM1" s="301" t="n"/>
      <c r="MLB1" s="301" t="n"/>
      <c r="MLQ1" s="301" t="n"/>
      <c r="MMF1" s="301" t="n"/>
      <c r="MMU1" s="301" t="n"/>
      <c r="MNJ1" s="301" t="n"/>
      <c r="MNY1" s="301" t="n"/>
      <c r="MON1" s="301" t="n"/>
      <c r="MPC1" s="301" t="n"/>
      <c r="MPR1" s="301" t="n"/>
      <c r="MQG1" s="301" t="n"/>
      <c r="MQV1" s="301" t="n"/>
      <c r="MRK1" s="301" t="n"/>
      <c r="MRZ1" s="301" t="n"/>
      <c r="MSO1" s="301" t="n"/>
      <c r="MTD1" s="301" t="n"/>
      <c r="MTS1" s="301" t="n"/>
      <c r="MUH1" s="301" t="n"/>
      <c r="MUW1" s="301" t="n"/>
      <c r="MVL1" s="301" t="n"/>
      <c r="MWA1" s="301" t="n"/>
      <c r="MWP1" s="301" t="n"/>
      <c r="MXE1" s="301" t="n"/>
      <c r="MXT1" s="301" t="n"/>
      <c r="MYI1" s="301" t="n"/>
      <c r="MYX1" s="301" t="n"/>
      <c r="MZM1" s="301" t="n"/>
      <c r="NAB1" s="301" t="n"/>
      <c r="NAQ1" s="301" t="n"/>
      <c r="NBF1" s="301" t="n"/>
      <c r="NBU1" s="301" t="n"/>
      <c r="NCJ1" s="301" t="n"/>
      <c r="NCY1" s="301" t="n"/>
      <c r="NDN1" s="301" t="n"/>
      <c r="NEC1" s="301" t="n"/>
      <c r="NER1" s="301" t="n"/>
      <c r="NFG1" s="301" t="n"/>
      <c r="NFV1" s="301" t="n"/>
      <c r="NGK1" s="301" t="n"/>
      <c r="NGZ1" s="301" t="n"/>
      <c r="NHO1" s="301" t="n"/>
      <c r="NID1" s="301" t="n"/>
      <c r="NIS1" s="301" t="n"/>
      <c r="NJH1" s="301" t="n"/>
      <c r="NJW1" s="301" t="n"/>
      <c r="NKL1" s="301" t="n"/>
      <c r="NLA1" s="301" t="n"/>
      <c r="NLP1" s="301" t="n"/>
      <c r="NME1" s="301" t="n"/>
      <c r="NMT1" s="301" t="n"/>
      <c r="NNI1" s="301" t="n"/>
      <c r="NNX1" s="301" t="n"/>
      <c r="NOM1" s="301" t="n"/>
      <c r="NPB1" s="301" t="n"/>
      <c r="NPQ1" s="301" t="n"/>
      <c r="NQF1" s="301" t="n"/>
      <c r="NQU1" s="301" t="n"/>
      <c r="NRJ1" s="301" t="n"/>
      <c r="NRY1" s="301" t="n"/>
      <c r="NSN1" s="301" t="n"/>
      <c r="NTC1" s="301" t="n"/>
      <c r="NTR1" s="301" t="n"/>
      <c r="NUG1" s="301" t="n"/>
      <c r="NUV1" s="301" t="n"/>
      <c r="NVK1" s="301" t="n"/>
      <c r="NVZ1" s="301" t="n"/>
      <c r="NWO1" s="301" t="n"/>
      <c r="NXD1" s="301" t="n"/>
      <c r="NXS1" s="301" t="n"/>
      <c r="NYH1" s="301" t="n"/>
      <c r="NYW1" s="301" t="n"/>
      <c r="NZL1" s="301" t="n"/>
      <c r="OAA1" s="301" t="n"/>
      <c r="OAP1" s="301" t="n"/>
      <c r="OBE1" s="301" t="n"/>
      <c r="OBT1" s="301" t="n"/>
      <c r="OCI1" s="301" t="n"/>
      <c r="OCX1" s="301" t="n"/>
      <c r="ODM1" s="301" t="n"/>
      <c r="OEB1" s="301" t="n"/>
      <c r="OEQ1" s="301" t="n"/>
      <c r="OFF1" s="301" t="n"/>
      <c r="OFU1" s="301" t="n"/>
      <c r="OGJ1" s="301" t="n"/>
      <c r="OGY1" s="301" t="n"/>
      <c r="OHN1" s="301" t="n"/>
      <c r="OIC1" s="301" t="n"/>
      <c r="OIR1" s="301" t="n"/>
      <c r="OJG1" s="301" t="n"/>
      <c r="OJV1" s="301" t="n"/>
      <c r="OKK1" s="301" t="n"/>
      <c r="OKZ1" s="301" t="n"/>
      <c r="OLO1" s="301" t="n"/>
      <c r="OMD1" s="301" t="n"/>
      <c r="OMS1" s="301" t="n"/>
      <c r="ONH1" s="301" t="n"/>
      <c r="ONW1" s="301" t="n"/>
      <c r="OOL1" s="301" t="n"/>
      <c r="OPA1" s="301" t="n"/>
      <c r="OPP1" s="301" t="n"/>
      <c r="OQE1" s="301" t="n"/>
      <c r="OQT1" s="301" t="n"/>
      <c r="ORI1" s="301" t="n"/>
      <c r="ORX1" s="301" t="n"/>
      <c r="OSM1" s="301" t="n"/>
      <c r="OTB1" s="301" t="n"/>
      <c r="OTQ1" s="301" t="n"/>
      <c r="OUF1" s="301" t="n"/>
      <c r="OUU1" s="301" t="n"/>
      <c r="OVJ1" s="301" t="n"/>
      <c r="OVY1" s="301" t="n"/>
      <c r="OWN1" s="301" t="n"/>
      <c r="OXC1" s="301" t="n"/>
      <c r="OXR1" s="301" t="n"/>
      <c r="OYG1" s="301" t="n"/>
      <c r="OYV1" s="301" t="n"/>
      <c r="OZK1" s="301" t="n"/>
      <c r="OZZ1" s="301" t="n"/>
      <c r="PAO1" s="301" t="n"/>
      <c r="PBD1" s="301" t="n"/>
      <c r="PBS1" s="301" t="n"/>
      <c r="PCH1" s="301" t="n"/>
      <c r="PCW1" s="301" t="n"/>
      <c r="PDL1" s="301" t="n"/>
      <c r="PEA1" s="301" t="n"/>
      <c r="PEP1" s="301" t="n"/>
      <c r="PFE1" s="301" t="n"/>
      <c r="PFT1" s="301" t="n"/>
      <c r="PGI1" s="301" t="n"/>
      <c r="PGX1" s="301" t="n"/>
      <c r="PHM1" s="301" t="n"/>
      <c r="PIB1" s="301" t="n"/>
      <c r="PIQ1" s="301" t="n"/>
      <c r="PJF1" s="301" t="n"/>
      <c r="PJU1" s="301" t="n"/>
      <c r="PKJ1" s="301" t="n"/>
      <c r="PKY1" s="301" t="n"/>
      <c r="PLN1" s="301" t="n"/>
      <c r="PMC1" s="301" t="n"/>
      <c r="PMR1" s="301" t="n"/>
      <c r="PNG1" s="301" t="n"/>
      <c r="PNV1" s="301" t="n"/>
      <c r="POK1" s="301" t="n"/>
      <c r="POZ1" s="301" t="n"/>
      <c r="PPO1" s="301" t="n"/>
      <c r="PQD1" s="301" t="n"/>
      <c r="PQS1" s="301" t="n"/>
      <c r="PRH1" s="301" t="n"/>
      <c r="PRW1" s="301" t="n"/>
      <c r="PSL1" s="301" t="n"/>
      <c r="PTA1" s="301" t="n"/>
      <c r="PTP1" s="301" t="n"/>
      <c r="PUE1" s="301" t="n"/>
      <c r="PUT1" s="301" t="n"/>
      <c r="PVI1" s="301" t="n"/>
      <c r="PVX1" s="301" t="n"/>
      <c r="PWM1" s="301" t="n"/>
      <c r="PXB1" s="301" t="n"/>
      <c r="PXQ1" s="301" t="n"/>
      <c r="PYF1" s="301" t="n"/>
      <c r="PYU1" s="301" t="n"/>
      <c r="PZJ1" s="301" t="n"/>
      <c r="PZY1" s="301" t="n"/>
      <c r="QAN1" s="301" t="n"/>
      <c r="QBC1" s="301" t="n"/>
      <c r="QBR1" s="301" t="n"/>
      <c r="QCG1" s="301" t="n"/>
      <c r="QCV1" s="301" t="n"/>
      <c r="QDK1" s="301" t="n"/>
      <c r="QDZ1" s="301" t="n"/>
      <c r="QEO1" s="301" t="n"/>
      <c r="QFD1" s="301" t="n"/>
      <c r="QFS1" s="301" t="n"/>
      <c r="QGH1" s="301" t="n"/>
      <c r="QGW1" s="301" t="n"/>
      <c r="QHL1" s="301" t="n"/>
      <c r="QIA1" s="301" t="n"/>
      <c r="QIP1" s="301" t="n"/>
      <c r="QJE1" s="301" t="n"/>
      <c r="QJT1" s="301" t="n"/>
      <c r="QKI1" s="301" t="n"/>
      <c r="QKX1" s="301" t="n"/>
      <c r="QLM1" s="301" t="n"/>
      <c r="QMB1" s="301" t="n"/>
      <c r="QMQ1" s="301" t="n"/>
      <c r="QNF1" s="301" t="n"/>
      <c r="QNU1" s="301" t="n"/>
      <c r="QOJ1" s="301" t="n"/>
      <c r="QOY1" s="301" t="n"/>
      <c r="QPN1" s="301" t="n"/>
      <c r="QQC1" s="301" t="n"/>
      <c r="QQR1" s="301" t="n"/>
      <c r="QRG1" s="301" t="n"/>
      <c r="QRV1" s="301" t="n"/>
      <c r="QSK1" s="301" t="n"/>
      <c r="QSZ1" s="301" t="n"/>
      <c r="QTO1" s="301" t="n"/>
      <c r="QUD1" s="301" t="n"/>
      <c r="QUS1" s="301" t="n"/>
      <c r="QVH1" s="301" t="n"/>
      <c r="QVW1" s="301" t="n"/>
      <c r="QWL1" s="301" t="n"/>
      <c r="QXA1" s="301" t="n"/>
      <c r="QXP1" s="301" t="n"/>
      <c r="QYE1" s="301" t="n"/>
      <c r="QYT1" s="301" t="n"/>
      <c r="QZI1" s="301" t="n"/>
      <c r="QZX1" s="301" t="n"/>
      <c r="RAM1" s="301" t="n"/>
      <c r="RBB1" s="301" t="n"/>
      <c r="RBQ1" s="301" t="n"/>
      <c r="RCF1" s="301" t="n"/>
      <c r="RCU1" s="301" t="n"/>
      <c r="RDJ1" s="301" t="n"/>
      <c r="RDY1" s="301" t="n"/>
      <c r="REN1" s="301" t="n"/>
      <c r="RFC1" s="301" t="n"/>
      <c r="RFR1" s="301" t="n"/>
      <c r="RGG1" s="301" t="n"/>
      <c r="RGV1" s="301" t="n"/>
      <c r="RHK1" s="301" t="n"/>
      <c r="RHZ1" s="301" t="n"/>
      <c r="RIO1" s="301" t="n"/>
      <c r="RJD1" s="301" t="n"/>
      <c r="RJS1" s="301" t="n"/>
      <c r="RKH1" s="301" t="n"/>
      <c r="RKW1" s="301" t="n"/>
      <c r="RLL1" s="301" t="n"/>
      <c r="RMA1" s="301" t="n"/>
      <c r="RMP1" s="301" t="n"/>
      <c r="RNE1" s="301" t="n"/>
      <c r="RNT1" s="301" t="n"/>
      <c r="ROI1" s="301" t="n"/>
      <c r="ROX1" s="301" t="n"/>
      <c r="RPM1" s="301" t="n"/>
      <c r="RQB1" s="301" t="n"/>
      <c r="RQQ1" s="301" t="n"/>
      <c r="RRF1" s="301" t="n"/>
      <c r="RRU1" s="301" t="n"/>
      <c r="RSJ1" s="301" t="n"/>
      <c r="RSY1" s="301" t="n"/>
      <c r="RTN1" s="301" t="n"/>
      <c r="RUC1" s="301" t="n"/>
      <c r="RUR1" s="301" t="n"/>
      <c r="RVG1" s="301" t="n"/>
      <c r="RVV1" s="301" t="n"/>
      <c r="RWK1" s="301" t="n"/>
      <c r="RWZ1" s="301" t="n"/>
      <c r="RXO1" s="301" t="n"/>
      <c r="RYD1" s="301" t="n"/>
      <c r="RYS1" s="301" t="n"/>
      <c r="RZH1" s="301" t="n"/>
      <c r="RZW1" s="301" t="n"/>
      <c r="SAL1" s="301" t="n"/>
      <c r="SBA1" s="301" t="n"/>
      <c r="SBP1" s="301" t="n"/>
      <c r="SCE1" s="301" t="n"/>
      <c r="SCT1" s="301" t="n"/>
      <c r="SDI1" s="301" t="n"/>
      <c r="SDX1" s="301" t="n"/>
      <c r="SEM1" s="301" t="n"/>
      <c r="SFB1" s="301" t="n"/>
      <c r="SFQ1" s="301" t="n"/>
      <c r="SGF1" s="301" t="n"/>
      <c r="SGU1" s="301" t="n"/>
      <c r="SHJ1" s="301" t="n"/>
      <c r="SHY1" s="301" t="n"/>
      <c r="SIN1" s="301" t="n"/>
      <c r="SJC1" s="301" t="n"/>
      <c r="SJR1" s="301" t="n"/>
      <c r="SKG1" s="301" t="n"/>
      <c r="SKV1" s="301" t="n"/>
      <c r="SLK1" s="301" t="n"/>
      <c r="SLZ1" s="301" t="n"/>
      <c r="SMO1" s="301" t="n"/>
      <c r="SND1" s="301" t="n"/>
      <c r="SNS1" s="301" t="n"/>
      <c r="SOH1" s="301" t="n"/>
      <c r="SOW1" s="301" t="n"/>
      <c r="SPL1" s="301" t="n"/>
      <c r="SQA1" s="301" t="n"/>
      <c r="SQP1" s="301" t="n"/>
      <c r="SRE1" s="301" t="n"/>
      <c r="SRT1" s="301" t="n"/>
      <c r="SSI1" s="301" t="n"/>
      <c r="SSX1" s="301" t="n"/>
      <c r="STM1" s="301" t="n"/>
      <c r="SUB1" s="301" t="n"/>
      <c r="SUQ1" s="301" t="n"/>
      <c r="SVF1" s="301" t="n"/>
      <c r="SVU1" s="301" t="n"/>
      <c r="SWJ1" s="301" t="n"/>
      <c r="SWY1" s="301" t="n"/>
      <c r="SXN1" s="301" t="n"/>
      <c r="SYC1" s="301" t="n"/>
      <c r="SYR1" s="301" t="n"/>
      <c r="SZG1" s="301" t="n"/>
      <c r="SZV1" s="301" t="n"/>
      <c r="TAK1" s="301" t="n"/>
      <c r="TAZ1" s="301" t="n"/>
      <c r="TBO1" s="301" t="n"/>
      <c r="TCD1" s="301" t="n"/>
      <c r="TCS1" s="301" t="n"/>
      <c r="TDH1" s="301" t="n"/>
      <c r="TDW1" s="301" t="n"/>
      <c r="TEL1" s="301" t="n"/>
      <c r="TFA1" s="301" t="n"/>
      <c r="TFP1" s="301" t="n"/>
      <c r="TGE1" s="301" t="n"/>
      <c r="TGT1" s="301" t="n"/>
      <c r="THI1" s="301" t="n"/>
      <c r="THX1" s="301" t="n"/>
      <c r="TIM1" s="301" t="n"/>
      <c r="TJB1" s="301" t="n"/>
      <c r="TJQ1" s="301" t="n"/>
      <c r="TKF1" s="301" t="n"/>
      <c r="TKU1" s="301" t="n"/>
      <c r="TLJ1" s="301" t="n"/>
      <c r="TLY1" s="301" t="n"/>
      <c r="TMN1" s="301" t="n"/>
      <c r="TNC1" s="301" t="n"/>
      <c r="TNR1" s="301" t="n"/>
      <c r="TOG1" s="301" t="n"/>
      <c r="TOV1" s="301" t="n"/>
      <c r="TPK1" s="301" t="n"/>
      <c r="TPZ1" s="301" t="n"/>
      <c r="TQO1" s="301" t="n"/>
      <c r="TRD1" s="301" t="n"/>
      <c r="TRS1" s="301" t="n"/>
      <c r="TSH1" s="301" t="n"/>
      <c r="TSW1" s="301" t="n"/>
      <c r="TTL1" s="301" t="n"/>
      <c r="TUA1" s="301" t="n"/>
      <c r="TUP1" s="301" t="n"/>
      <c r="TVE1" s="301" t="n"/>
      <c r="TVT1" s="301" t="n"/>
      <c r="TWI1" s="301" t="n"/>
      <c r="TWX1" s="301" t="n"/>
      <c r="TXM1" s="301" t="n"/>
      <c r="TYB1" s="301" t="n"/>
      <c r="TYQ1" s="301" t="n"/>
      <c r="TZF1" s="301" t="n"/>
      <c r="TZU1" s="301" t="n"/>
      <c r="UAJ1" s="301" t="n"/>
      <c r="UAY1" s="301" t="n"/>
      <c r="UBN1" s="301" t="n"/>
      <c r="UCC1" s="301" t="n"/>
      <c r="UCR1" s="301" t="n"/>
      <c r="UDG1" s="301" t="n"/>
      <c r="UDV1" s="301" t="n"/>
      <c r="UEK1" s="301" t="n"/>
      <c r="UEZ1" s="301" t="n"/>
      <c r="UFO1" s="301" t="n"/>
      <c r="UGD1" s="301" t="n"/>
      <c r="UGS1" s="301" t="n"/>
      <c r="UHH1" s="301" t="n"/>
      <c r="UHW1" s="301" t="n"/>
      <c r="UIL1" s="301" t="n"/>
      <c r="UJA1" s="301" t="n"/>
      <c r="UJP1" s="301" t="n"/>
      <c r="UKE1" s="301" t="n"/>
      <c r="UKT1" s="301" t="n"/>
      <c r="ULI1" s="301" t="n"/>
      <c r="ULX1" s="301" t="n"/>
      <c r="UMM1" s="301" t="n"/>
      <c r="UNB1" s="301" t="n"/>
      <c r="UNQ1" s="301" t="n"/>
      <c r="UOF1" s="301" t="n"/>
      <c r="UOU1" s="301" t="n"/>
      <c r="UPJ1" s="301" t="n"/>
      <c r="UPY1" s="301" t="n"/>
      <c r="UQN1" s="301" t="n"/>
      <c r="URC1" s="301" t="n"/>
      <c r="URR1" s="301" t="n"/>
      <c r="USG1" s="301" t="n"/>
      <c r="USV1" s="301" t="n"/>
      <c r="UTK1" s="301" t="n"/>
      <c r="UTZ1" s="301" t="n"/>
      <c r="UUO1" s="301" t="n"/>
      <c r="UVD1" s="301" t="n"/>
      <c r="UVS1" s="301" t="n"/>
      <c r="UWH1" s="301" t="n"/>
      <c r="UWW1" s="301" t="n"/>
      <c r="UXL1" s="301" t="n"/>
      <c r="UYA1" s="301" t="n"/>
      <c r="UYP1" s="301" t="n"/>
      <c r="UZE1" s="301" t="n"/>
      <c r="UZT1" s="301" t="n"/>
      <c r="VAI1" s="301" t="n"/>
      <c r="VAX1" s="301" t="n"/>
      <c r="VBM1" s="301" t="n"/>
      <c r="VCB1" s="301" t="n"/>
      <c r="VCQ1" s="301" t="n"/>
      <c r="VDF1" s="301" t="n"/>
      <c r="VDU1" s="301" t="n"/>
      <c r="VEJ1" s="301" t="n"/>
      <c r="VEY1" s="301" t="n"/>
      <c r="VFN1" s="301" t="n"/>
      <c r="VGC1" s="301" t="n"/>
      <c r="VGR1" s="301" t="n"/>
      <c r="VHG1" s="301" t="n"/>
      <c r="VHV1" s="301" t="n"/>
      <c r="VIK1" s="301" t="n"/>
      <c r="VIZ1" s="301" t="n"/>
      <c r="VJO1" s="301" t="n"/>
      <c r="VKD1" s="301" t="n"/>
      <c r="VKS1" s="301" t="n"/>
      <c r="VLH1" s="301" t="n"/>
      <c r="VLW1" s="301" t="n"/>
      <c r="VML1" s="301" t="n"/>
      <c r="VNA1" s="301" t="n"/>
      <c r="VNP1" s="301" t="n"/>
      <c r="VOE1" s="301" t="n"/>
      <c r="VOT1" s="301" t="n"/>
      <c r="VPI1" s="301" t="n"/>
      <c r="VPX1" s="301" t="n"/>
      <c r="VQM1" s="301" t="n"/>
      <c r="VRB1" s="301" t="n"/>
      <c r="VRQ1" s="301" t="n"/>
      <c r="VSF1" s="301" t="n"/>
      <c r="VSU1" s="301" t="n"/>
      <c r="VTJ1" s="301" t="n"/>
      <c r="VTY1" s="301" t="n"/>
      <c r="VUN1" s="301" t="n"/>
      <c r="VVC1" s="301" t="n"/>
      <c r="VVR1" s="301" t="n"/>
      <c r="VWG1" s="301" t="n"/>
      <c r="VWV1" s="301" t="n"/>
      <c r="VXK1" s="301" t="n"/>
      <c r="VXZ1" s="301" t="n"/>
      <c r="VYO1" s="301" t="n"/>
      <c r="VZD1" s="301" t="n"/>
      <c r="VZS1" s="301" t="n"/>
      <c r="WAH1" s="301" t="n"/>
      <c r="WAW1" s="301" t="n"/>
      <c r="WBL1" s="301" t="n"/>
      <c r="WCA1" s="301" t="n"/>
      <c r="WCP1" s="301" t="n"/>
      <c r="WDE1" s="301" t="n"/>
      <c r="WDT1" s="301" t="n"/>
      <c r="WEI1" s="301" t="n"/>
      <c r="WEX1" s="301" t="n"/>
      <c r="WFM1" s="301" t="n"/>
      <c r="WGB1" s="301" t="n"/>
      <c r="WGQ1" s="301" t="n"/>
      <c r="WHF1" s="301" t="n"/>
      <c r="WHU1" s="301" t="n"/>
      <c r="WIJ1" s="301" t="n"/>
      <c r="WIY1" s="301" t="n"/>
      <c r="WJN1" s="301" t="n"/>
      <c r="WKC1" s="301" t="n"/>
      <c r="WKR1" s="301" t="n"/>
      <c r="WLG1" s="301" t="n"/>
      <c r="WLV1" s="301" t="n"/>
      <c r="WMK1" s="301" t="n"/>
      <c r="WMZ1" s="301" t="n"/>
      <c r="WNO1" s="301" t="n"/>
      <c r="WOD1" s="301" t="n"/>
      <c r="WOS1" s="301" t="n"/>
      <c r="WPH1" s="301" t="n"/>
      <c r="WPW1" s="301" t="n"/>
      <c r="WQL1" s="301" t="n"/>
      <c r="WRA1" s="301" t="n"/>
      <c r="WRP1" s="301" t="n"/>
      <c r="WSE1" s="301" t="n"/>
      <c r="WST1" s="301" t="n"/>
      <c r="WTI1" s="301" t="n"/>
      <c r="WTX1" s="301" t="n"/>
      <c r="WUM1" s="301" t="n"/>
      <c r="WVB1" s="301" t="n"/>
      <c r="WVQ1" s="301" t="n"/>
      <c r="WWF1" s="301" t="n"/>
      <c r="WWU1" s="301" t="n"/>
      <c r="WXJ1" s="301" t="n"/>
      <c r="WXY1" s="301" t="n"/>
      <c r="WYN1" s="301" t="n"/>
      <c r="WZC1" s="301" t="n"/>
      <c r="WZR1" s="301" t="n"/>
      <c r="XAG1" s="301" t="n"/>
      <c r="XAV1" s="301" t="n"/>
      <c r="XBK1" s="301" t="n"/>
      <c r="XBZ1" s="301" t="n"/>
      <c r="XCO1" s="301" t="n"/>
      <c r="XDD1" s="301" t="n"/>
      <c r="XDS1" s="301" t="n"/>
      <c r="XEH1" s="301" t="n"/>
      <c r="XEW1" s="301" t="n"/>
    </row>
    <row r="3" ht="15.75" customHeight="1" thickBot="1">
      <c r="A3" s="5" t="inlineStr">
        <is>
          <t>Site</t>
        </is>
      </c>
      <c r="B3" s="34">
        <f>'Validator Notes'!B4</f>
        <v/>
      </c>
    </row>
    <row r="4" ht="15.75" customHeight="1" thickBot="1">
      <c r="A4" s="5" t="inlineStr">
        <is>
          <t>Month/Year</t>
        </is>
      </c>
      <c r="B4" s="191">
        <f>'Validator Notes'!B5</f>
        <v/>
      </c>
    </row>
    <row r="5" ht="15.75" customHeight="1" thickBot="1">
      <c r="A5" s="5" t="inlineStr">
        <is>
          <t>Validator</t>
        </is>
      </c>
      <c r="B5" s="36">
        <f>'Validator Notes'!B6</f>
        <v/>
      </c>
    </row>
    <row r="7" ht="30" customHeight="1">
      <c r="A7" s="362" t="inlineStr">
        <is>
          <t>Null</t>
        </is>
      </c>
      <c r="B7" s="347" t="n"/>
      <c r="C7" s="347" t="n"/>
      <c r="D7" s="347" t="n"/>
      <c r="E7" s="347" t="n"/>
      <c r="F7" s="347" t="n"/>
      <c r="G7" s="347" t="n"/>
      <c r="H7" s="347" t="n"/>
      <c r="I7" s="347" t="n"/>
      <c r="J7" s="347" t="n"/>
      <c r="K7" s="347" t="n"/>
      <c r="L7" s="347" t="n"/>
      <c r="M7" s="347" t="n"/>
      <c r="N7" s="347" t="n"/>
      <c r="O7" s="249" t="n"/>
      <c r="R7" s="172" t="inlineStr">
        <is>
          <t>Common Null Flags</t>
        </is>
      </c>
      <c r="S7" s="249" t="n"/>
      <c r="U7" s="362" t="inlineStr">
        <is>
          <t>Null</t>
        </is>
      </c>
      <c r="V7" s="347" t="n"/>
      <c r="W7" s="347" t="n"/>
      <c r="X7" s="347" t="n"/>
      <c r="Y7" s="347" t="n"/>
      <c r="Z7" s="347" t="n"/>
      <c r="AA7" s="347" t="n"/>
      <c r="AB7" s="347" t="n"/>
      <c r="AC7" s="347" t="n"/>
      <c r="AD7" s="347" t="n"/>
      <c r="AE7" s="347" t="n"/>
      <c r="AF7" s="347" t="n"/>
      <c r="AG7" s="347" t="n"/>
      <c r="AH7" s="347" t="n"/>
      <c r="AI7" s="249" t="n"/>
    </row>
    <row r="8">
      <c r="A8" s="170" t="n"/>
      <c r="B8" s="170" t="n"/>
      <c r="E8" s="170" t="n"/>
      <c r="F8" s="170" t="n"/>
      <c r="G8" s="170" t="n"/>
      <c r="H8" s="170" t="n"/>
      <c r="I8" s="171" t="n"/>
      <c r="J8" s="174" t="inlineStr">
        <is>
          <t>DATE/TIME RANGE</t>
        </is>
      </c>
      <c r="K8" s="7" t="n"/>
      <c r="L8" s="7" t="n"/>
      <c r="M8" s="7" t="n"/>
      <c r="N8" s="354" t="n"/>
      <c r="R8" s="172" t="inlineStr">
        <is>
          <t>Code</t>
        </is>
      </c>
      <c r="S8" s="173" t="inlineStr">
        <is>
          <t>Description</t>
        </is>
      </c>
      <c r="U8" s="170" t="n"/>
      <c r="V8" s="170" t="n"/>
      <c r="Y8" s="170" t="n"/>
      <c r="Z8" s="170" t="n"/>
      <c r="AA8" s="170" t="n"/>
      <c r="AB8" s="170" t="n"/>
      <c r="AC8" s="171" t="n"/>
      <c r="AD8" s="174" t="inlineStr">
        <is>
          <t>DATE/TIME RANGE</t>
        </is>
      </c>
      <c r="AE8" s="7" t="n"/>
      <c r="AF8" s="7" t="n"/>
      <c r="AG8" s="7" t="n"/>
      <c r="AH8" s="354" t="n"/>
    </row>
    <row r="9">
      <c r="A9" s="346" t="inlineStr">
        <is>
          <t>Paramater (s)</t>
        </is>
      </c>
      <c r="B9" s="347" t="n"/>
      <c r="C9" s="249" t="n"/>
      <c r="D9" s="346" t="inlineStr">
        <is>
          <t>COMPOUND(S) or WHOLE HOUR(S) - REASON</t>
        </is>
      </c>
      <c r="E9" s="347" t="n"/>
      <c r="F9" s="347" t="n"/>
      <c r="G9" s="347" t="n"/>
      <c r="H9" s="249" t="n"/>
      <c r="I9" s="174" t="inlineStr">
        <is>
          <t>CODE</t>
        </is>
      </c>
      <c r="J9" s="175" t="inlineStr">
        <is>
          <t>Date</t>
        </is>
      </c>
      <c r="K9" s="176" t="inlineStr">
        <is>
          <t>Hour</t>
        </is>
      </c>
      <c r="L9" s="177" t="inlineStr">
        <is>
          <t>-</t>
        </is>
      </c>
      <c r="M9" s="176" t="inlineStr">
        <is>
          <t>Date</t>
        </is>
      </c>
      <c r="N9" s="178" t="inlineStr">
        <is>
          <t>Hour</t>
        </is>
      </c>
      <c r="O9" s="346" t="inlineStr">
        <is>
          <t>Justification</t>
        </is>
      </c>
      <c r="R9" s="248" t="inlineStr">
        <is>
          <t>AF</t>
        </is>
      </c>
      <c r="S9" s="4" t="inlineStr">
        <is>
          <t>Scheduled but not Collected (Lost)</t>
        </is>
      </c>
      <c r="U9" s="346" t="inlineStr">
        <is>
          <t>Paramater (s)</t>
        </is>
      </c>
      <c r="V9" s="347" t="n"/>
      <c r="W9" s="249" t="n"/>
      <c r="X9" s="346" t="inlineStr">
        <is>
          <t>COMPOUND(S) or WHOLE HOUR(S) - REASON</t>
        </is>
      </c>
      <c r="Y9" s="347" t="n"/>
      <c r="Z9" s="347" t="n"/>
      <c r="AA9" s="347" t="n"/>
      <c r="AB9" s="249" t="n"/>
      <c r="AC9" s="174" t="inlineStr">
        <is>
          <t>CODE</t>
        </is>
      </c>
      <c r="AD9" s="175" t="inlineStr">
        <is>
          <t>Date</t>
        </is>
      </c>
      <c r="AE9" s="176" t="inlineStr">
        <is>
          <t>Hour</t>
        </is>
      </c>
      <c r="AF9" s="177" t="inlineStr">
        <is>
          <t>-</t>
        </is>
      </c>
      <c r="AG9" s="176" t="inlineStr">
        <is>
          <t>Date</t>
        </is>
      </c>
      <c r="AH9" s="178" t="inlineStr">
        <is>
          <t>Hour</t>
        </is>
      </c>
      <c r="AI9" s="346" t="inlineStr">
        <is>
          <t>Justification</t>
        </is>
      </c>
    </row>
    <row r="10">
      <c r="A10" s="363" t="n"/>
      <c r="B10" s="347" t="n"/>
      <c r="C10" s="249" t="n"/>
      <c r="D10" s="363" t="n"/>
      <c r="E10" s="347" t="n"/>
      <c r="F10" s="347" t="n"/>
      <c r="G10" s="347" t="n"/>
      <c r="H10" s="249" t="n"/>
      <c r="I10" s="180" t="n"/>
      <c r="J10" s="181" t="n"/>
      <c r="K10" s="182" t="n">
        <v>0</v>
      </c>
      <c r="L10" s="183" t="inlineStr">
        <is>
          <t>-</t>
        </is>
      </c>
      <c r="M10" s="181" t="n"/>
      <c r="N10" s="184" t="n">
        <v>23</v>
      </c>
      <c r="O10" s="185" t="n"/>
      <c r="R10" s="248" t="inlineStr">
        <is>
          <t>AG</t>
        </is>
      </c>
      <c r="S10" s="4" t="inlineStr">
        <is>
          <t>Sample Time Out of Limits</t>
        </is>
      </c>
      <c r="U10" s="363" t="n"/>
      <c r="V10" s="347" t="n"/>
      <c r="W10" s="249" t="n"/>
      <c r="X10" s="363" t="n"/>
      <c r="Y10" s="347" t="n"/>
      <c r="Z10" s="347" t="n"/>
      <c r="AA10" s="347" t="n"/>
      <c r="AB10" s="249" t="n"/>
      <c r="AC10" s="180" t="n"/>
      <c r="AD10" s="181" t="n"/>
      <c r="AE10" s="182" t="n">
        <v>0</v>
      </c>
      <c r="AF10" s="183" t="inlineStr">
        <is>
          <t>-</t>
        </is>
      </c>
      <c r="AG10" s="181" t="n"/>
      <c r="AH10" s="184" t="n">
        <v>23</v>
      </c>
      <c r="AI10" s="185" t="n"/>
    </row>
    <row r="11">
      <c r="A11" s="363" t="n"/>
      <c r="B11" s="347" t="n"/>
      <c r="C11" s="249" t="n"/>
      <c r="D11" s="363" t="n"/>
      <c r="E11" s="347" t="n"/>
      <c r="F11" s="347" t="n"/>
      <c r="G11" s="347" t="n"/>
      <c r="H11" s="249" t="n"/>
      <c r="I11" s="180" t="n"/>
      <c r="J11" s="181" t="n"/>
      <c r="K11" s="182" t="n">
        <v>0</v>
      </c>
      <c r="L11" s="183" t="inlineStr">
        <is>
          <t>-</t>
        </is>
      </c>
      <c r="M11" s="181" t="n"/>
      <c r="N11" s="184" t="n">
        <v>23</v>
      </c>
      <c r="O11" s="185" t="n"/>
      <c r="R11" s="248" t="inlineStr">
        <is>
          <t>AH</t>
        </is>
      </c>
      <c r="S11" s="4" t="inlineStr">
        <is>
          <t>Sample Flow Rate out of Limits</t>
        </is>
      </c>
      <c r="U11" s="363" t="n"/>
      <c r="V11" s="347" t="n"/>
      <c r="W11" s="249" t="n"/>
      <c r="X11" s="363" t="n"/>
      <c r="Y11" s="347" t="n"/>
      <c r="Z11" s="347" t="n"/>
      <c r="AA11" s="347" t="n"/>
      <c r="AB11" s="249" t="n"/>
      <c r="AC11" s="180" t="n"/>
      <c r="AD11" s="181" t="n"/>
      <c r="AE11" s="182" t="n">
        <v>0</v>
      </c>
      <c r="AF11" s="183" t="inlineStr">
        <is>
          <t>-</t>
        </is>
      </c>
      <c r="AG11" s="181" t="n"/>
      <c r="AH11" s="184" t="n">
        <v>23</v>
      </c>
      <c r="AI11" s="185" t="n"/>
    </row>
    <row r="12">
      <c r="A12" s="363" t="n"/>
      <c r="B12" s="347" t="n"/>
      <c r="C12" s="249" t="n"/>
      <c r="D12" s="363" t="n"/>
      <c r="E12" s="347" t="n"/>
      <c r="F12" s="347" t="n"/>
      <c r="G12" s="347" t="n"/>
      <c r="H12" s="249" t="n"/>
      <c r="I12" s="180" t="n"/>
      <c r="J12" s="181" t="n"/>
      <c r="K12" s="182" t="n">
        <v>0</v>
      </c>
      <c r="L12" s="183" t="inlineStr">
        <is>
          <t>-</t>
        </is>
      </c>
      <c r="M12" s="181" t="n"/>
      <c r="N12" s="184" t="n">
        <v>23</v>
      </c>
      <c r="O12" s="185" t="n"/>
      <c r="R12" s="248" t="inlineStr">
        <is>
          <t>AI</t>
        </is>
      </c>
      <c r="S12" s="4" t="inlineStr">
        <is>
          <t>Insufficient Data (Invalid Sample Time)</t>
        </is>
      </c>
      <c r="U12" s="363" t="n"/>
      <c r="V12" s="347" t="n"/>
      <c r="W12" s="249" t="n"/>
      <c r="X12" s="363" t="n"/>
      <c r="Y12" s="347" t="n"/>
      <c r="Z12" s="347" t="n"/>
      <c r="AA12" s="347" t="n"/>
      <c r="AB12" s="249" t="n"/>
      <c r="AC12" s="180" t="n"/>
      <c r="AD12" s="181" t="n"/>
      <c r="AE12" s="182" t="n">
        <v>0</v>
      </c>
      <c r="AF12" s="183" t="inlineStr">
        <is>
          <t>-</t>
        </is>
      </c>
      <c r="AG12" s="181" t="n"/>
      <c r="AH12" s="184" t="n">
        <v>23</v>
      </c>
      <c r="AI12" s="185" t="n"/>
    </row>
    <row r="13">
      <c r="A13" s="363" t="n"/>
      <c r="B13" s="347" t="n"/>
      <c r="C13" s="249" t="n"/>
      <c r="D13" s="363" t="n"/>
      <c r="E13" s="347" t="n"/>
      <c r="F13" s="347" t="n"/>
      <c r="G13" s="347" t="n"/>
      <c r="H13" s="249" t="n"/>
      <c r="I13" s="180" t="n"/>
      <c r="J13" s="181" t="n"/>
      <c r="K13" s="182" t="n">
        <v>0</v>
      </c>
      <c r="L13" s="183" t="inlineStr">
        <is>
          <t>-</t>
        </is>
      </c>
      <c r="M13" s="181" t="n"/>
      <c r="N13" s="184" t="n">
        <v>23</v>
      </c>
      <c r="O13" s="185" t="n"/>
      <c r="R13" s="248" t="inlineStr">
        <is>
          <t>AM</t>
        </is>
      </c>
      <c r="S13" s="4" t="inlineStr">
        <is>
          <t>Misc. Void</t>
        </is>
      </c>
      <c r="U13" s="363" t="n"/>
      <c r="V13" s="347" t="n"/>
      <c r="W13" s="249" t="n"/>
      <c r="X13" s="363" t="n"/>
      <c r="Y13" s="347" t="n"/>
      <c r="Z13" s="347" t="n"/>
      <c r="AA13" s="347" t="n"/>
      <c r="AB13" s="249" t="n"/>
      <c r="AC13" s="180" t="n"/>
      <c r="AD13" s="181" t="n"/>
      <c r="AE13" s="182" t="n">
        <v>0</v>
      </c>
      <c r="AF13" s="183" t="inlineStr">
        <is>
          <t>-</t>
        </is>
      </c>
      <c r="AG13" s="181" t="n"/>
      <c r="AH13" s="184" t="n">
        <v>23</v>
      </c>
      <c r="AI13" s="185" t="n"/>
    </row>
    <row r="14">
      <c r="A14" s="363" t="n"/>
      <c r="B14" s="347" t="n"/>
      <c r="C14" s="249" t="n"/>
      <c r="D14" s="363" t="n"/>
      <c r="E14" s="347" t="n"/>
      <c r="F14" s="347" t="n"/>
      <c r="G14" s="347" t="n"/>
      <c r="H14" s="249" t="n"/>
      <c r="I14" s="180" t="n"/>
      <c r="J14" s="181" t="n"/>
      <c r="K14" s="182" t="n">
        <v>0</v>
      </c>
      <c r="L14" s="183" t="inlineStr">
        <is>
          <t>-</t>
        </is>
      </c>
      <c r="M14" s="181" t="n"/>
      <c r="N14" s="184" t="n">
        <v>23</v>
      </c>
      <c r="O14" s="185" t="n"/>
      <c r="R14" s="248" t="inlineStr">
        <is>
          <t>AN</t>
        </is>
      </c>
      <c r="S14" s="4" t="inlineStr">
        <is>
          <t>Machine Malfunction</t>
        </is>
      </c>
      <c r="U14" s="363" t="n"/>
      <c r="V14" s="347" t="n"/>
      <c r="W14" s="249" t="n"/>
      <c r="X14" s="363" t="n"/>
      <c r="Y14" s="347" t="n"/>
      <c r="Z14" s="347" t="n"/>
      <c r="AA14" s="347" t="n"/>
      <c r="AB14" s="249" t="n"/>
      <c r="AC14" s="180" t="n"/>
      <c r="AD14" s="181" t="n"/>
      <c r="AE14" s="182" t="n">
        <v>0</v>
      </c>
      <c r="AF14" s="183" t="inlineStr">
        <is>
          <t>-</t>
        </is>
      </c>
      <c r="AG14" s="181" t="n"/>
      <c r="AH14" s="184" t="n">
        <v>23</v>
      </c>
      <c r="AI14" s="185" t="n"/>
    </row>
    <row r="15">
      <c r="A15" s="363" t="n"/>
      <c r="B15" s="347" t="n"/>
      <c r="C15" s="249" t="n"/>
      <c r="D15" s="363" t="n"/>
      <c r="E15" s="347" t="n"/>
      <c r="F15" s="347" t="n"/>
      <c r="G15" s="347" t="n"/>
      <c r="H15" s="249" t="n"/>
      <c r="I15" s="180" t="n"/>
      <c r="J15" s="181" t="n"/>
      <c r="K15" s="182" t="n">
        <v>0</v>
      </c>
      <c r="L15" s="183" t="inlineStr">
        <is>
          <t>-</t>
        </is>
      </c>
      <c r="M15" s="181" t="n"/>
      <c r="N15" s="184" t="n">
        <v>23</v>
      </c>
      <c r="O15" s="185" t="n"/>
      <c r="R15" s="248" t="inlineStr">
        <is>
          <t>AQ</t>
        </is>
      </c>
      <c r="S15" s="4" t="inlineStr">
        <is>
          <t>Collection Error</t>
        </is>
      </c>
      <c r="U15" s="363" t="n"/>
      <c r="V15" s="347" t="n"/>
      <c r="W15" s="249" t="n"/>
      <c r="X15" s="363" t="n"/>
      <c r="Y15" s="347" t="n"/>
      <c r="Z15" s="347" t="n"/>
      <c r="AA15" s="347" t="n"/>
      <c r="AB15" s="249" t="n"/>
      <c r="AC15" s="180" t="n"/>
      <c r="AD15" s="181" t="n"/>
      <c r="AE15" s="182" t="n">
        <v>0</v>
      </c>
      <c r="AF15" s="183" t="inlineStr">
        <is>
          <t>-</t>
        </is>
      </c>
      <c r="AG15" s="181" t="n"/>
      <c r="AH15" s="184" t="n">
        <v>23</v>
      </c>
      <c r="AI15" s="185" t="n"/>
    </row>
    <row r="16">
      <c r="A16" s="363" t="n"/>
      <c r="B16" s="347" t="n"/>
      <c r="C16" s="249" t="n"/>
      <c r="D16" s="363" t="n"/>
      <c r="E16" s="347" t="n"/>
      <c r="F16" s="347" t="n"/>
      <c r="G16" s="347" t="n"/>
      <c r="H16" s="249" t="n"/>
      <c r="I16" s="180" t="n"/>
      <c r="J16" s="181" t="n"/>
      <c r="K16" s="182" t="n">
        <v>0</v>
      </c>
      <c r="L16" s="183" t="inlineStr">
        <is>
          <t>-</t>
        </is>
      </c>
      <c r="M16" s="181" t="n"/>
      <c r="N16" s="184" t="n">
        <v>23</v>
      </c>
      <c r="O16" s="185" t="n"/>
      <c r="R16" s="248" t="inlineStr">
        <is>
          <t>AS</t>
        </is>
      </c>
      <c r="S16" s="4" t="inlineStr">
        <is>
          <t>Poor QA results</t>
        </is>
      </c>
      <c r="U16" s="363" t="n"/>
      <c r="V16" s="347" t="n"/>
      <c r="W16" s="249" t="n"/>
      <c r="X16" s="363" t="n"/>
      <c r="Y16" s="347" t="n"/>
      <c r="Z16" s="347" t="n"/>
      <c r="AA16" s="347" t="n"/>
      <c r="AB16" s="249" t="n"/>
      <c r="AC16" s="180" t="n"/>
      <c r="AD16" s="181" t="n"/>
      <c r="AE16" s="182" t="n">
        <v>0</v>
      </c>
      <c r="AF16" s="183" t="inlineStr">
        <is>
          <t>-</t>
        </is>
      </c>
      <c r="AG16" s="181" t="n"/>
      <c r="AH16" s="184" t="n">
        <v>23</v>
      </c>
      <c r="AI16" s="185" t="n"/>
    </row>
    <row r="17">
      <c r="A17" s="363" t="n"/>
      <c r="B17" s="347" t="n"/>
      <c r="C17" s="249" t="n"/>
      <c r="D17" s="363" t="n"/>
      <c r="E17" s="347" t="n"/>
      <c r="F17" s="347" t="n"/>
      <c r="G17" s="347" t="n"/>
      <c r="H17" s="249" t="n"/>
      <c r="I17" s="180" t="n"/>
      <c r="J17" s="181" t="n"/>
      <c r="K17" s="182" t="n">
        <v>0</v>
      </c>
      <c r="L17" s="183" t="inlineStr">
        <is>
          <t>-</t>
        </is>
      </c>
      <c r="M17" s="181" t="n"/>
      <c r="N17" s="184" t="n">
        <v>23</v>
      </c>
      <c r="O17" s="185" t="n"/>
      <c r="R17" s="248" t="inlineStr">
        <is>
          <t>AT</t>
        </is>
      </c>
      <c r="S17" s="4" t="inlineStr">
        <is>
          <t>Calibration</t>
        </is>
      </c>
      <c r="U17" s="363" t="n"/>
      <c r="V17" s="347" t="n"/>
      <c r="W17" s="249" t="n"/>
      <c r="X17" s="363" t="n"/>
      <c r="Y17" s="347" t="n"/>
      <c r="Z17" s="347" t="n"/>
      <c r="AA17" s="347" t="n"/>
      <c r="AB17" s="249" t="n"/>
      <c r="AC17" s="180" t="n"/>
      <c r="AD17" s="181" t="n"/>
      <c r="AE17" s="182" t="n">
        <v>0</v>
      </c>
      <c r="AF17" s="183" t="inlineStr">
        <is>
          <t>-</t>
        </is>
      </c>
      <c r="AG17" s="181" t="n"/>
      <c r="AH17" s="184" t="n">
        <v>23</v>
      </c>
      <c r="AI17" s="185" t="n"/>
    </row>
    <row r="18">
      <c r="A18" s="363" t="n"/>
      <c r="B18" s="347" t="n"/>
      <c r="C18" s="249" t="n"/>
      <c r="D18" s="363" t="n"/>
      <c r="E18" s="347" t="n"/>
      <c r="F18" s="347" t="n"/>
      <c r="G18" s="347" t="n"/>
      <c r="H18" s="249" t="n"/>
      <c r="I18" s="180" t="n"/>
      <c r="J18" s="181" t="n"/>
      <c r="K18" s="182" t="n">
        <v>0</v>
      </c>
      <c r="L18" s="183" t="inlineStr">
        <is>
          <t>-</t>
        </is>
      </c>
      <c r="M18" s="181" t="n"/>
      <c r="N18" s="184" t="n">
        <v>23</v>
      </c>
      <c r="O18" s="185" t="n"/>
      <c r="R18" s="248" t="inlineStr">
        <is>
          <t>AV</t>
        </is>
      </c>
      <c r="S18" s="4" t="inlineStr">
        <is>
          <t>Power Failure</t>
        </is>
      </c>
      <c r="U18" s="363" t="n"/>
      <c r="V18" s="347" t="n"/>
      <c r="W18" s="249" t="n"/>
      <c r="X18" s="363" t="n"/>
      <c r="Y18" s="347" t="n"/>
      <c r="Z18" s="347" t="n"/>
      <c r="AA18" s="347" t="n"/>
      <c r="AB18" s="249" t="n"/>
      <c r="AC18" s="180" t="n"/>
      <c r="AD18" s="181" t="n"/>
      <c r="AE18" s="182" t="n">
        <v>0</v>
      </c>
      <c r="AF18" s="183" t="inlineStr">
        <is>
          <t>-</t>
        </is>
      </c>
      <c r="AG18" s="181" t="n"/>
      <c r="AH18" s="184" t="n">
        <v>23</v>
      </c>
      <c r="AI18" s="185" t="n"/>
    </row>
    <row r="19">
      <c r="A19" s="363" t="n"/>
      <c r="B19" s="347" t="n"/>
      <c r="C19" s="249" t="n"/>
      <c r="D19" s="363" t="n"/>
      <c r="E19" s="347" t="n"/>
      <c r="F19" s="347" t="n"/>
      <c r="G19" s="347" t="n"/>
      <c r="H19" s="249" t="n"/>
      <c r="I19" s="180" t="n"/>
      <c r="J19" s="181" t="n"/>
      <c r="K19" s="182" t="n">
        <v>0</v>
      </c>
      <c r="L19" s="183" t="inlineStr">
        <is>
          <t>-</t>
        </is>
      </c>
      <c r="M19" s="181" t="n"/>
      <c r="N19" s="184" t="n">
        <v>23</v>
      </c>
      <c r="O19" s="185" t="n"/>
      <c r="R19" s="248" t="inlineStr">
        <is>
          <t>AX</t>
        </is>
      </c>
      <c r="S19" s="4" t="inlineStr">
        <is>
          <t>Precision Check</t>
        </is>
      </c>
      <c r="U19" s="363" t="n"/>
      <c r="V19" s="347" t="n"/>
      <c r="W19" s="249" t="n"/>
      <c r="X19" s="363" t="n"/>
      <c r="Y19" s="347" t="n"/>
      <c r="Z19" s="347" t="n"/>
      <c r="AA19" s="347" t="n"/>
      <c r="AB19" s="249" t="n"/>
      <c r="AC19" s="180" t="n"/>
      <c r="AD19" s="181" t="n"/>
      <c r="AE19" s="182" t="n">
        <v>0</v>
      </c>
      <c r="AF19" s="183" t="inlineStr">
        <is>
          <t>-</t>
        </is>
      </c>
      <c r="AG19" s="181" t="n"/>
      <c r="AH19" s="184" t="n">
        <v>23</v>
      </c>
      <c r="AI19" s="185" t="n"/>
    </row>
    <row r="20">
      <c r="A20" s="363" t="n"/>
      <c r="B20" s="347" t="n"/>
      <c r="C20" s="249" t="n"/>
      <c r="D20" s="363" t="n"/>
      <c r="E20" s="347" t="n"/>
      <c r="F20" s="347" t="n"/>
      <c r="G20" s="347" t="n"/>
      <c r="H20" s="249" t="n"/>
      <c r="I20" s="180" t="n"/>
      <c r="J20" s="181" t="n"/>
      <c r="K20" s="182" t="n">
        <v>0</v>
      </c>
      <c r="L20" s="183" t="inlineStr">
        <is>
          <t>-</t>
        </is>
      </c>
      <c r="M20" s="181" t="n"/>
      <c r="N20" s="184" t="n">
        <v>23</v>
      </c>
      <c r="O20" s="185" t="n"/>
      <c r="R20" s="248" t="inlineStr">
        <is>
          <t>AY</t>
        </is>
      </c>
      <c r="S20" s="4" t="inlineStr">
        <is>
          <t>QC Control Points, Zero/Span</t>
        </is>
      </c>
      <c r="U20" s="363" t="n"/>
      <c r="V20" s="347" t="n"/>
      <c r="W20" s="249" t="n"/>
      <c r="X20" s="363" t="n"/>
      <c r="Y20" s="347" t="n"/>
      <c r="Z20" s="347" t="n"/>
      <c r="AA20" s="347" t="n"/>
      <c r="AB20" s="249" t="n"/>
      <c r="AC20" s="180" t="n"/>
      <c r="AD20" s="181" t="n"/>
      <c r="AE20" s="182" t="n">
        <v>0</v>
      </c>
      <c r="AF20" s="183" t="inlineStr">
        <is>
          <t>-</t>
        </is>
      </c>
      <c r="AG20" s="181" t="n"/>
      <c r="AH20" s="184" t="n">
        <v>23</v>
      </c>
      <c r="AI20" s="185" t="n"/>
    </row>
    <row r="21">
      <c r="A21" s="363" t="n"/>
      <c r="B21" s="347" t="n"/>
      <c r="C21" s="249" t="n"/>
      <c r="D21" s="363" t="n"/>
      <c r="E21" s="347" t="n"/>
      <c r="F21" s="347" t="n"/>
      <c r="G21" s="347" t="n"/>
      <c r="H21" s="249" t="n"/>
      <c r="I21" s="180" t="n"/>
      <c r="J21" s="181" t="n"/>
      <c r="K21" s="182" t="n">
        <v>0</v>
      </c>
      <c r="L21" s="183" t="inlineStr">
        <is>
          <t>-</t>
        </is>
      </c>
      <c r="M21" s="181" t="n"/>
      <c r="N21" s="184" t="n">
        <v>23</v>
      </c>
      <c r="O21" s="185" t="n"/>
      <c r="R21" s="248" t="inlineStr">
        <is>
          <t>AZ</t>
        </is>
      </c>
      <c r="S21" s="4" t="inlineStr">
        <is>
          <t xml:space="preserve">QC Audit (Audit Sample) </t>
        </is>
      </c>
      <c r="U21" s="363" t="n"/>
      <c r="V21" s="347" t="n"/>
      <c r="W21" s="249" t="n"/>
      <c r="X21" s="363" t="n"/>
      <c r="Y21" s="347" t="n"/>
      <c r="Z21" s="347" t="n"/>
      <c r="AA21" s="347" t="n"/>
      <c r="AB21" s="249" t="n"/>
      <c r="AC21" s="180" t="n"/>
      <c r="AD21" s="181" t="n"/>
      <c r="AE21" s="182" t="n">
        <v>0</v>
      </c>
      <c r="AF21" s="183" t="inlineStr">
        <is>
          <t>-</t>
        </is>
      </c>
      <c r="AG21" s="181" t="n"/>
      <c r="AH21" s="184" t="n">
        <v>23</v>
      </c>
      <c r="AI21" s="185" t="n"/>
    </row>
    <row r="22">
      <c r="A22" s="363" t="n"/>
      <c r="B22" s="347" t="n"/>
      <c r="C22" s="249" t="n"/>
      <c r="D22" s="363" t="n"/>
      <c r="E22" s="347" t="n"/>
      <c r="F22" s="347" t="n"/>
      <c r="G22" s="347" t="n"/>
      <c r="H22" s="249" t="n"/>
      <c r="I22" s="180" t="n"/>
      <c r="J22" s="181" t="n"/>
      <c r="K22" s="182" t="n"/>
      <c r="L22" s="183" t="n"/>
      <c r="M22" s="181" t="n"/>
      <c r="N22" s="184" t="n"/>
      <c r="O22" s="185" t="n"/>
      <c r="R22" s="248" t="inlineStr">
        <is>
          <t>BA</t>
        </is>
      </c>
      <c r="S22" s="4" t="inlineStr">
        <is>
          <t>Maintenances / Routine Repairs</t>
        </is>
      </c>
      <c r="U22" s="363" t="n"/>
      <c r="V22" s="347" t="n"/>
      <c r="W22" s="249" t="n"/>
      <c r="X22" s="363" t="n"/>
      <c r="Y22" s="347" t="n"/>
      <c r="Z22" s="347" t="n"/>
      <c r="AA22" s="347" t="n"/>
      <c r="AB22" s="249" t="n"/>
      <c r="AC22" s="180" t="n"/>
      <c r="AD22" s="181" t="n"/>
      <c r="AE22" s="182" t="n"/>
      <c r="AF22" s="183" t="n"/>
      <c r="AG22" s="181" t="n"/>
      <c r="AH22" s="184" t="n"/>
      <c r="AI22" s="185" t="n"/>
    </row>
    <row r="23">
      <c r="A23" s="363" t="n"/>
      <c r="B23" s="347" t="n"/>
      <c r="C23" s="249" t="n"/>
      <c r="D23" s="363" t="n"/>
      <c r="E23" s="347" t="n"/>
      <c r="F23" s="347" t="n"/>
      <c r="G23" s="347" t="n"/>
      <c r="H23" s="249" t="n"/>
      <c r="I23" s="180" t="n"/>
      <c r="J23" s="181" t="n"/>
      <c r="K23" s="182" t="n"/>
      <c r="L23" s="183" t="n"/>
      <c r="M23" s="181" t="n"/>
      <c r="N23" s="184" t="n"/>
      <c r="O23" s="185" t="n"/>
      <c r="R23" s="248" t="inlineStr">
        <is>
          <t>BH</t>
        </is>
      </c>
      <c r="S23" s="4" t="inlineStr">
        <is>
          <t>Interference, Co-elution, Misid</t>
        </is>
      </c>
      <c r="U23" s="363" t="n"/>
      <c r="V23" s="347" t="n"/>
      <c r="W23" s="249" t="n"/>
      <c r="X23" s="363" t="n"/>
      <c r="Y23" s="347" t="n"/>
      <c r="Z23" s="347" t="n"/>
      <c r="AA23" s="347" t="n"/>
      <c r="AB23" s="249" t="n"/>
      <c r="AC23" s="180" t="n"/>
      <c r="AD23" s="181" t="n"/>
      <c r="AE23" s="182" t="n"/>
      <c r="AF23" s="183" t="n"/>
      <c r="AG23" s="181" t="n"/>
      <c r="AH23" s="184" t="n"/>
      <c r="AI23" s="185" t="n"/>
    </row>
    <row r="24">
      <c r="A24" s="363" t="n"/>
      <c r="B24" s="347" t="n"/>
      <c r="C24" s="249" t="n"/>
      <c r="D24" s="363" t="n"/>
      <c r="E24" s="347" t="n"/>
      <c r="F24" s="347" t="n"/>
      <c r="G24" s="347" t="n"/>
      <c r="H24" s="249" t="n"/>
      <c r="I24" s="180" t="n"/>
      <c r="J24" s="181" t="n"/>
      <c r="K24" s="182" t="n"/>
      <c r="L24" s="183" t="n"/>
      <c r="M24" s="181" t="n"/>
      <c r="N24" s="184" t="n"/>
      <c r="O24" s="185" t="n"/>
      <c r="R24" s="248" t="inlineStr">
        <is>
          <t>BJ</t>
        </is>
      </c>
      <c r="S24" s="4" t="inlineStr">
        <is>
          <t>Operator Error</t>
        </is>
      </c>
      <c r="U24" s="363" t="n"/>
      <c r="V24" s="347" t="n"/>
      <c r="W24" s="249" t="n"/>
      <c r="X24" s="363" t="n"/>
      <c r="Y24" s="347" t="n"/>
      <c r="Z24" s="347" t="n"/>
      <c r="AA24" s="347" t="n"/>
      <c r="AB24" s="249" t="n"/>
      <c r="AC24" s="180" t="n"/>
      <c r="AD24" s="181" t="n"/>
      <c r="AE24" s="182" t="n"/>
      <c r="AF24" s="183" t="n"/>
      <c r="AG24" s="181" t="n"/>
      <c r="AH24" s="184" t="n"/>
      <c r="AI24" s="185" t="n"/>
    </row>
    <row r="25">
      <c r="A25" s="363" t="n"/>
      <c r="B25" s="347" t="n"/>
      <c r="C25" s="249" t="n"/>
      <c r="D25" s="363" t="n"/>
      <c r="E25" s="347" t="n"/>
      <c r="F25" s="347" t="n"/>
      <c r="G25" s="347" t="n"/>
      <c r="H25" s="249" t="n"/>
      <c r="I25" s="180" t="n"/>
      <c r="J25" s="181" t="n"/>
      <c r="K25" s="182" t="n"/>
      <c r="L25" s="183" t="n"/>
      <c r="M25" s="181" t="n"/>
      <c r="N25" s="184" t="n"/>
      <c r="O25" s="185" t="n"/>
      <c r="R25" s="248" t="inlineStr">
        <is>
          <t>BK</t>
        </is>
      </c>
      <c r="S25" s="4" t="inlineStr">
        <is>
          <t>Site Computer, Data Logger Down</t>
        </is>
      </c>
      <c r="U25" s="363" t="n"/>
      <c r="V25" s="347" t="n"/>
      <c r="W25" s="249" t="n"/>
      <c r="X25" s="363" t="n"/>
      <c r="Y25" s="347" t="n"/>
      <c r="Z25" s="347" t="n"/>
      <c r="AA25" s="347" t="n"/>
      <c r="AB25" s="249" t="n"/>
      <c r="AC25" s="180" t="n"/>
      <c r="AD25" s="181" t="n"/>
      <c r="AE25" s="182" t="n"/>
      <c r="AF25" s="183" t="n"/>
      <c r="AG25" s="181" t="n"/>
      <c r="AH25" s="184" t="n"/>
      <c r="AI25" s="185" t="n"/>
    </row>
    <row r="26">
      <c r="R26" s="248" t="inlineStr">
        <is>
          <t>DA</t>
        </is>
      </c>
      <c r="S26" s="4" t="inlineStr">
        <is>
          <t>Aberrant Data, Corrupt Files, Spikes, Shifts</t>
        </is>
      </c>
    </row>
    <row r="27" ht="23.25" customHeight="1">
      <c r="A27" s="362" t="inlineStr">
        <is>
          <t>QUALIFIERS</t>
        </is>
      </c>
      <c r="B27" s="347" t="n"/>
      <c r="C27" s="347" t="n"/>
      <c r="D27" s="347" t="n"/>
      <c r="E27" s="347" t="n"/>
      <c r="F27" s="347" t="n"/>
      <c r="G27" s="347" t="n"/>
      <c r="H27" s="347" t="n"/>
      <c r="I27" s="347" t="n"/>
      <c r="J27" s="347" t="n"/>
      <c r="K27" s="347" t="n"/>
      <c r="L27" s="347" t="n"/>
      <c r="M27" s="347" t="n"/>
      <c r="N27" s="347" t="n"/>
      <c r="O27" s="249" t="n"/>
      <c r="R27" s="248" t="inlineStr">
        <is>
          <t>DL</t>
        </is>
      </c>
      <c r="S27" s="4" t="inlineStr">
        <is>
          <t>Detection Limit</t>
        </is>
      </c>
      <c r="U27" s="362" t="inlineStr">
        <is>
          <t>QUALIFIERS</t>
        </is>
      </c>
      <c r="V27" s="347" t="n"/>
      <c r="W27" s="347" t="n"/>
      <c r="X27" s="347" t="n"/>
      <c r="Y27" s="347" t="n"/>
      <c r="Z27" s="347" t="n"/>
      <c r="AA27" s="347" t="n"/>
      <c r="AB27" s="347" t="n"/>
      <c r="AC27" s="347" t="n"/>
      <c r="AD27" s="347" t="n"/>
      <c r="AE27" s="347" t="n"/>
      <c r="AF27" s="347" t="n"/>
      <c r="AG27" s="347" t="n"/>
      <c r="AH27" s="347" t="n"/>
      <c r="AI27" s="249" t="n"/>
    </row>
    <row r="28">
      <c r="A28" s="170" t="n"/>
      <c r="B28" s="170" t="n"/>
      <c r="E28" s="170" t="n"/>
      <c r="F28" s="170" t="n"/>
      <c r="G28" s="170" t="n"/>
      <c r="H28" s="170" t="n"/>
      <c r="I28" s="171" t="n"/>
      <c r="J28" s="174" t="inlineStr">
        <is>
          <t>DATE/TIME RANGE</t>
        </is>
      </c>
      <c r="K28" s="7" t="n"/>
      <c r="L28" s="7" t="n"/>
      <c r="M28" s="7" t="n"/>
      <c r="N28" s="354" t="n"/>
      <c r="R28" s="248" t="inlineStr">
        <is>
          <t>TC</t>
        </is>
      </c>
      <c r="S28" s="4" t="inlineStr">
        <is>
          <t>Component Check &amp; RTS (RTS)</t>
        </is>
      </c>
      <c r="U28" s="170" t="n"/>
      <c r="V28" s="170" t="n"/>
      <c r="Y28" s="170" t="n"/>
      <c r="Z28" s="170" t="n"/>
      <c r="AA28" s="170" t="n"/>
      <c r="AB28" s="170" t="n"/>
      <c r="AC28" s="171" t="n"/>
      <c r="AD28" s="174" t="inlineStr">
        <is>
          <t>DATE/TIME RANGE</t>
        </is>
      </c>
      <c r="AE28" s="7" t="n"/>
      <c r="AF28" s="7" t="n"/>
      <c r="AG28" s="7" t="n"/>
      <c r="AH28" s="354" t="n"/>
    </row>
    <row r="29">
      <c r="A29" s="346" t="inlineStr">
        <is>
          <t>Paramater (s)</t>
        </is>
      </c>
      <c r="B29" s="347" t="n"/>
      <c r="C29" s="249" t="n"/>
      <c r="D29" s="346" t="inlineStr">
        <is>
          <t>COMPOUND(S) or WHOLE HOUR(S) - REASON</t>
        </is>
      </c>
      <c r="E29" s="347" t="n"/>
      <c r="F29" s="347" t="n"/>
      <c r="G29" s="347" t="n"/>
      <c r="H29" s="249" t="n"/>
      <c r="I29" s="174" t="inlineStr">
        <is>
          <t>CODE</t>
        </is>
      </c>
      <c r="J29" s="175" t="inlineStr">
        <is>
          <t>Date</t>
        </is>
      </c>
      <c r="K29" s="176" t="inlineStr">
        <is>
          <t>Hour</t>
        </is>
      </c>
      <c r="L29" s="177" t="inlineStr">
        <is>
          <t>-</t>
        </is>
      </c>
      <c r="M29" s="176" t="inlineStr">
        <is>
          <t>Date</t>
        </is>
      </c>
      <c r="N29" s="178" t="inlineStr">
        <is>
          <t>Hour</t>
        </is>
      </c>
      <c r="O29" s="174" t="inlineStr">
        <is>
          <t>Justification</t>
        </is>
      </c>
      <c r="R29" s="248" t="inlineStr">
        <is>
          <t>XX</t>
        </is>
      </c>
      <c r="S29" s="4" t="inlineStr">
        <is>
          <t>Experimental Data</t>
        </is>
      </c>
      <c r="U29" s="346" t="inlineStr">
        <is>
          <t>Paramater (s)</t>
        </is>
      </c>
      <c r="V29" s="347" t="n"/>
      <c r="W29" s="249" t="n"/>
      <c r="X29" s="346" t="inlineStr">
        <is>
          <t>COMPOUND(S) or WHOLE HOUR(S) - REASON</t>
        </is>
      </c>
      <c r="Y29" s="347" t="n"/>
      <c r="Z29" s="347" t="n"/>
      <c r="AA29" s="347" t="n"/>
      <c r="AB29" s="249" t="n"/>
      <c r="AC29" s="174" t="inlineStr">
        <is>
          <t>CODE</t>
        </is>
      </c>
      <c r="AD29" s="175" t="inlineStr">
        <is>
          <t>Date</t>
        </is>
      </c>
      <c r="AE29" s="176" t="inlineStr">
        <is>
          <t>Hour</t>
        </is>
      </c>
      <c r="AF29" s="177" t="inlineStr">
        <is>
          <t>-</t>
        </is>
      </c>
      <c r="AG29" s="176" t="inlineStr">
        <is>
          <t>Date</t>
        </is>
      </c>
      <c r="AH29" s="178" t="inlineStr">
        <is>
          <t>Hour</t>
        </is>
      </c>
      <c r="AI29" s="174" t="inlineStr">
        <is>
          <t>Justification</t>
        </is>
      </c>
    </row>
    <row r="30">
      <c r="A30" s="363" t="n"/>
      <c r="B30" s="347" t="n"/>
      <c r="C30" s="249" t="n"/>
      <c r="D30" s="363" t="n"/>
      <c r="E30" s="347" t="n"/>
      <c r="F30" s="347" t="n"/>
      <c r="G30" s="347" t="n"/>
      <c r="H30" s="249" t="n"/>
      <c r="I30" s="180" t="n"/>
      <c r="J30" s="181" t="n"/>
      <c r="K30" s="182" t="n">
        <v>0</v>
      </c>
      <c r="L30" s="183" t="inlineStr">
        <is>
          <t>-</t>
        </is>
      </c>
      <c r="M30" s="181" t="n"/>
      <c r="N30" s="184" t="n">
        <v>23</v>
      </c>
      <c r="O30" s="185" t="n"/>
      <c r="U30" s="363" t="n"/>
      <c r="V30" s="347" t="n"/>
      <c r="W30" s="249" t="n"/>
      <c r="X30" s="363" t="n"/>
      <c r="Y30" s="347" t="n"/>
      <c r="Z30" s="347" t="n"/>
      <c r="AA30" s="347" t="n"/>
      <c r="AB30" s="249" t="n"/>
      <c r="AC30" s="180" t="n"/>
      <c r="AD30" s="181" t="n"/>
      <c r="AE30" s="182" t="n">
        <v>0</v>
      </c>
      <c r="AF30" s="183" t="inlineStr">
        <is>
          <t>-</t>
        </is>
      </c>
      <c r="AG30" s="181" t="n"/>
      <c r="AH30" s="184" t="n">
        <v>23</v>
      </c>
      <c r="AI30" s="185" t="n"/>
    </row>
    <row r="31">
      <c r="A31" s="363" t="n"/>
      <c r="B31" s="347" t="n"/>
      <c r="C31" s="249" t="n"/>
      <c r="D31" s="363" t="n"/>
      <c r="E31" s="347" t="n"/>
      <c r="F31" s="347" t="n"/>
      <c r="G31" s="347" t="n"/>
      <c r="H31" s="249" t="n"/>
      <c r="I31" s="180" t="n"/>
      <c r="J31" s="181" t="n"/>
      <c r="K31" s="182" t="n">
        <v>0</v>
      </c>
      <c r="L31" s="183" t="inlineStr">
        <is>
          <t>-</t>
        </is>
      </c>
      <c r="M31" s="181" t="n"/>
      <c r="N31" s="184" t="n">
        <v>23</v>
      </c>
      <c r="O31" s="185" t="n"/>
      <c r="U31" s="363" t="n"/>
      <c r="V31" s="347" t="n"/>
      <c r="W31" s="249" t="n"/>
      <c r="X31" s="363" t="n"/>
      <c r="Y31" s="347" t="n"/>
      <c r="Z31" s="347" t="n"/>
      <c r="AA31" s="347" t="n"/>
      <c r="AB31" s="249" t="n"/>
      <c r="AC31" s="180" t="n"/>
      <c r="AD31" s="181" t="n"/>
      <c r="AE31" s="182" t="n">
        <v>0</v>
      </c>
      <c r="AF31" s="183" t="inlineStr">
        <is>
          <t>-</t>
        </is>
      </c>
      <c r="AG31" s="181" t="n"/>
      <c r="AH31" s="184" t="n">
        <v>23</v>
      </c>
      <c r="AI31" s="185" t="n"/>
    </row>
    <row r="32">
      <c r="A32" s="363" t="n"/>
      <c r="B32" s="347" t="n"/>
      <c r="C32" s="249" t="n"/>
      <c r="D32" s="363" t="n"/>
      <c r="E32" s="347" t="n"/>
      <c r="F32" s="347" t="n"/>
      <c r="G32" s="347" t="n"/>
      <c r="H32" s="249" t="n"/>
      <c r="I32" s="180" t="n"/>
      <c r="J32" s="181" t="n"/>
      <c r="K32" s="182" t="n">
        <v>0</v>
      </c>
      <c r="L32" s="183" t="inlineStr">
        <is>
          <t>-</t>
        </is>
      </c>
      <c r="M32" s="181" t="n"/>
      <c r="N32" s="184" t="n">
        <v>23</v>
      </c>
      <c r="O32" s="185" t="n"/>
      <c r="U32" s="363" t="n"/>
      <c r="V32" s="347" t="n"/>
      <c r="W32" s="249" t="n"/>
      <c r="X32" s="363" t="n"/>
      <c r="Y32" s="347" t="n"/>
      <c r="Z32" s="347" t="n"/>
      <c r="AA32" s="347" t="n"/>
      <c r="AB32" s="249" t="n"/>
      <c r="AC32" s="180" t="n"/>
      <c r="AD32" s="181" t="n"/>
      <c r="AE32" s="182" t="n">
        <v>0</v>
      </c>
      <c r="AF32" s="183" t="inlineStr">
        <is>
          <t>-</t>
        </is>
      </c>
      <c r="AG32" s="181" t="n"/>
      <c r="AH32" s="184" t="n">
        <v>23</v>
      </c>
      <c r="AI32" s="185" t="n"/>
    </row>
    <row r="33">
      <c r="A33" s="363" t="n"/>
      <c r="B33" s="347" t="n"/>
      <c r="C33" s="249" t="n"/>
      <c r="D33" s="363" t="n"/>
      <c r="E33" s="347" t="n"/>
      <c r="F33" s="347" t="n"/>
      <c r="G33" s="347" t="n"/>
      <c r="H33" s="249" t="n"/>
      <c r="I33" s="180" t="n"/>
      <c r="J33" s="181" t="n"/>
      <c r="K33" s="182" t="n">
        <v>0</v>
      </c>
      <c r="L33" s="183" t="inlineStr">
        <is>
          <t>-</t>
        </is>
      </c>
      <c r="M33" s="181" t="n"/>
      <c r="N33" s="184" t="n">
        <v>23</v>
      </c>
      <c r="O33" s="185" t="n"/>
      <c r="U33" s="363" t="n"/>
      <c r="V33" s="347" t="n"/>
      <c r="W33" s="249" t="n"/>
      <c r="X33" s="363" t="n"/>
      <c r="Y33" s="347" t="n"/>
      <c r="Z33" s="347" t="n"/>
      <c r="AA33" s="347" t="n"/>
      <c r="AB33" s="249" t="n"/>
      <c r="AC33" s="180" t="n"/>
      <c r="AD33" s="181" t="n"/>
      <c r="AE33" s="182" t="n">
        <v>0</v>
      </c>
      <c r="AF33" s="183" t="inlineStr">
        <is>
          <t>-</t>
        </is>
      </c>
      <c r="AG33" s="181" t="n"/>
      <c r="AH33" s="184" t="n">
        <v>23</v>
      </c>
      <c r="AI33" s="185" t="n"/>
    </row>
    <row r="34">
      <c r="A34" s="363" t="n"/>
      <c r="B34" s="347" t="n"/>
      <c r="C34" s="249" t="n"/>
      <c r="D34" s="363" t="n"/>
      <c r="E34" s="347" t="n"/>
      <c r="F34" s="347" t="n"/>
      <c r="G34" s="347" t="n"/>
      <c r="H34" s="249" t="n"/>
      <c r="I34" s="180" t="n"/>
      <c r="J34" s="181" t="n"/>
      <c r="K34" s="182" t="n">
        <v>0</v>
      </c>
      <c r="L34" s="183" t="inlineStr">
        <is>
          <t>-</t>
        </is>
      </c>
      <c r="M34" s="181" t="n"/>
      <c r="N34" s="184" t="n">
        <v>23</v>
      </c>
      <c r="O34" s="185" t="n"/>
      <c r="R34" s="172" t="inlineStr">
        <is>
          <t>Common Qualifier Flag</t>
        </is>
      </c>
      <c r="S34" s="249" t="n"/>
      <c r="U34" s="363" t="n"/>
      <c r="V34" s="347" t="n"/>
      <c r="W34" s="249" t="n"/>
      <c r="X34" s="363" t="n"/>
      <c r="Y34" s="347" t="n"/>
      <c r="Z34" s="347" t="n"/>
      <c r="AA34" s="347" t="n"/>
      <c r="AB34" s="249" t="n"/>
      <c r="AC34" s="180" t="n"/>
      <c r="AD34" s="181" t="n"/>
      <c r="AE34" s="182" t="n">
        <v>0</v>
      </c>
      <c r="AF34" s="183" t="inlineStr">
        <is>
          <t>-</t>
        </is>
      </c>
      <c r="AG34" s="181" t="n"/>
      <c r="AH34" s="184" t="n">
        <v>23</v>
      </c>
      <c r="AI34" s="185" t="n"/>
    </row>
    <row r="35">
      <c r="A35" s="363" t="n"/>
      <c r="B35" s="347" t="n"/>
      <c r="C35" s="249" t="n"/>
      <c r="D35" s="363" t="n"/>
      <c r="E35" s="347" t="n"/>
      <c r="F35" s="347" t="n"/>
      <c r="G35" s="347" t="n"/>
      <c r="H35" s="249" t="n"/>
      <c r="I35" s="180" t="n"/>
      <c r="J35" s="181" t="n"/>
      <c r="K35" s="182" t="n"/>
      <c r="L35" s="183" t="inlineStr">
        <is>
          <t>-</t>
        </is>
      </c>
      <c r="M35" s="181" t="n"/>
      <c r="N35" s="184" t="n"/>
      <c r="O35" s="185" t="n"/>
      <c r="R35" s="172" t="inlineStr">
        <is>
          <t>Code</t>
        </is>
      </c>
      <c r="S35" s="173" t="inlineStr">
        <is>
          <t>Description</t>
        </is>
      </c>
      <c r="U35" s="363" t="n"/>
      <c r="V35" s="347" t="n"/>
      <c r="W35" s="249" t="n"/>
      <c r="X35" s="363" t="n"/>
      <c r="Y35" s="347" t="n"/>
      <c r="Z35" s="347" t="n"/>
      <c r="AA35" s="347" t="n"/>
      <c r="AB35" s="249" t="n"/>
      <c r="AC35" s="180" t="n"/>
      <c r="AD35" s="181" t="n"/>
      <c r="AE35" s="182" t="n"/>
      <c r="AF35" s="183" t="inlineStr">
        <is>
          <t>-</t>
        </is>
      </c>
      <c r="AG35" s="181" t="n"/>
      <c r="AH35" s="184" t="n"/>
      <c r="AI35" s="185" t="n"/>
    </row>
    <row r="36">
      <c r="A36" s="363" t="n"/>
      <c r="B36" s="347" t="n"/>
      <c r="C36" s="249" t="n"/>
      <c r="D36" s="363" t="n"/>
      <c r="E36" s="347" t="n"/>
      <c r="F36" s="347" t="n"/>
      <c r="G36" s="347" t="n"/>
      <c r="H36" s="249" t="n"/>
      <c r="I36" s="180" t="n"/>
      <c r="J36" s="181" t="n"/>
      <c r="K36" s="182" t="n"/>
      <c r="L36" s="183" t="inlineStr">
        <is>
          <t>-</t>
        </is>
      </c>
      <c r="M36" s="181" t="n"/>
      <c r="N36" s="184" t="n"/>
      <c r="O36" s="185" t="n"/>
      <c r="R36" s="248" t="inlineStr">
        <is>
          <t>LJ</t>
        </is>
      </c>
      <c r="S36" s="4" t="inlineStr">
        <is>
          <t>ID acceptable; Value is Estimate</t>
        </is>
      </c>
      <c r="U36" s="363" t="n"/>
      <c r="V36" s="347" t="n"/>
      <c r="W36" s="249" t="n"/>
      <c r="X36" s="363" t="n"/>
      <c r="Y36" s="347" t="n"/>
      <c r="Z36" s="347" t="n"/>
      <c r="AA36" s="347" t="n"/>
      <c r="AB36" s="249" t="n"/>
      <c r="AC36" s="180" t="n"/>
      <c r="AD36" s="181" t="n"/>
      <c r="AE36" s="182" t="n"/>
      <c r="AF36" s="183" t="inlineStr">
        <is>
          <t>-</t>
        </is>
      </c>
      <c r="AG36" s="181" t="n"/>
      <c r="AH36" s="184" t="n"/>
      <c r="AI36" s="185" t="n"/>
    </row>
    <row r="37">
      <c r="A37" s="363" t="n"/>
      <c r="B37" s="347" t="n"/>
      <c r="C37" s="249" t="n"/>
      <c r="D37" s="363" t="n"/>
      <c r="E37" s="347" t="n"/>
      <c r="F37" s="347" t="n"/>
      <c r="G37" s="347" t="n"/>
      <c r="H37" s="249" t="n"/>
      <c r="I37" s="180" t="n"/>
      <c r="J37" s="181" t="n"/>
      <c r="K37" s="182" t="n"/>
      <c r="L37" s="183" t="inlineStr">
        <is>
          <t>-</t>
        </is>
      </c>
      <c r="M37" s="181" t="n"/>
      <c r="N37" s="184" t="n"/>
      <c r="O37" s="185" t="n"/>
      <c r="R37" s="248" t="inlineStr">
        <is>
          <t>LL</t>
        </is>
      </c>
      <c r="S37" s="4" t="inlineStr">
        <is>
          <t>ID; Value Biased Low</t>
        </is>
      </c>
      <c r="U37" s="363" t="n"/>
      <c r="V37" s="347" t="n"/>
      <c r="W37" s="249" t="n"/>
      <c r="X37" s="363" t="n"/>
      <c r="Y37" s="347" t="n"/>
      <c r="Z37" s="347" t="n"/>
      <c r="AA37" s="347" t="n"/>
      <c r="AB37" s="249" t="n"/>
      <c r="AC37" s="180" t="n"/>
      <c r="AD37" s="181" t="n"/>
      <c r="AE37" s="182" t="n"/>
      <c r="AF37" s="183" t="inlineStr">
        <is>
          <t>-</t>
        </is>
      </c>
      <c r="AG37" s="181" t="n"/>
      <c r="AH37" s="184" t="n"/>
      <c r="AI37" s="185" t="n"/>
    </row>
    <row r="38">
      <c r="A38" s="363" t="n"/>
      <c r="B38" s="347" t="n"/>
      <c r="C38" s="249" t="n"/>
      <c r="D38" s="363" t="n"/>
      <c r="E38" s="347" t="n"/>
      <c r="F38" s="347" t="n"/>
      <c r="G38" s="347" t="n"/>
      <c r="H38" s="249" t="n"/>
      <c r="I38" s="180" t="n"/>
      <c r="J38" s="181" t="n"/>
      <c r="K38" s="182" t="n"/>
      <c r="L38" s="183" t="inlineStr">
        <is>
          <t>-</t>
        </is>
      </c>
      <c r="M38" s="181" t="n"/>
      <c r="N38" s="184" t="n"/>
      <c r="O38" s="185" t="n"/>
      <c r="R38" s="248" t="inlineStr">
        <is>
          <t>LK</t>
        </is>
      </c>
      <c r="S38" s="4" t="inlineStr">
        <is>
          <t>ID; Value Biased High</t>
        </is>
      </c>
      <c r="U38" s="363" t="n"/>
      <c r="V38" s="347" t="n"/>
      <c r="W38" s="249" t="n"/>
      <c r="X38" s="363" t="n"/>
      <c r="Y38" s="347" t="n"/>
      <c r="Z38" s="347" t="n"/>
      <c r="AA38" s="347" t="n"/>
      <c r="AB38" s="249" t="n"/>
      <c r="AC38" s="180" t="n"/>
      <c r="AD38" s="181" t="n"/>
      <c r="AE38" s="182" t="n"/>
      <c r="AF38" s="183" t="inlineStr">
        <is>
          <t>-</t>
        </is>
      </c>
      <c r="AG38" s="181" t="n"/>
      <c r="AH38" s="184" t="n"/>
      <c r="AI38" s="185" t="n"/>
    </row>
    <row r="39">
      <c r="A39" s="363" t="n"/>
      <c r="B39" s="347" t="n"/>
      <c r="C39" s="249" t="n"/>
      <c r="D39" s="363" t="n"/>
      <c r="E39" s="347" t="n"/>
      <c r="F39" s="347" t="n"/>
      <c r="G39" s="347" t="n"/>
      <c r="H39" s="249" t="n"/>
      <c r="I39" s="180" t="n"/>
      <c r="J39" s="181" t="n"/>
      <c r="K39" s="182" t="n"/>
      <c r="L39" s="183" t="inlineStr">
        <is>
          <t>-</t>
        </is>
      </c>
      <c r="M39" s="181" t="n"/>
      <c r="N39" s="184" t="n"/>
      <c r="O39" s="185" t="n"/>
      <c r="R39" s="248" t="inlineStr">
        <is>
          <t>QX</t>
        </is>
      </c>
      <c r="S39" s="4" t="inlineStr">
        <is>
          <t>Does not Meet QC Criteria</t>
        </is>
      </c>
      <c r="U39" s="363" t="n"/>
      <c r="V39" s="347" t="n"/>
      <c r="W39" s="249" t="n"/>
      <c r="X39" s="363" t="n"/>
      <c r="Y39" s="347" t="n"/>
      <c r="Z39" s="347" t="n"/>
      <c r="AA39" s="347" t="n"/>
      <c r="AB39" s="249" t="n"/>
      <c r="AC39" s="180" t="n"/>
      <c r="AD39" s="181" t="n"/>
      <c r="AE39" s="182" t="n"/>
      <c r="AF39" s="183" t="inlineStr">
        <is>
          <t>-</t>
        </is>
      </c>
      <c r="AG39" s="181" t="n"/>
      <c r="AH39" s="184" t="n"/>
      <c r="AI39" s="185" t="n"/>
    </row>
    <row r="40">
      <c r="A40" s="363" t="n"/>
      <c r="B40" s="347" t="n"/>
      <c r="C40" s="249" t="n"/>
      <c r="D40" s="363" t="n"/>
      <c r="E40" s="347" t="n"/>
      <c r="F40" s="347" t="n"/>
      <c r="G40" s="347" t="n"/>
      <c r="H40" s="249" t="n"/>
      <c r="I40" s="180" t="n"/>
      <c r="J40" s="181" t="n"/>
      <c r="K40" s="182" t="n"/>
      <c r="L40" s="183" t="inlineStr">
        <is>
          <t>-</t>
        </is>
      </c>
      <c r="M40" s="181" t="n"/>
      <c r="N40" s="184" t="n"/>
      <c r="O40" s="185" t="n"/>
      <c r="R40" s="248" t="inlineStr">
        <is>
          <t>EH</t>
        </is>
      </c>
      <c r="S40" s="4" t="inlineStr">
        <is>
          <t>Estimated; Exceeds Upper Range</t>
        </is>
      </c>
      <c r="U40" s="363" t="n"/>
      <c r="V40" s="347" t="n"/>
      <c r="W40" s="249" t="n"/>
      <c r="X40" s="363" t="n"/>
      <c r="Y40" s="347" t="n"/>
      <c r="Z40" s="347" t="n"/>
      <c r="AA40" s="347" t="n"/>
      <c r="AB40" s="249" t="n"/>
      <c r="AC40" s="180" t="n"/>
      <c r="AD40" s="181" t="n"/>
      <c r="AE40" s="182" t="n"/>
      <c r="AF40" s="183" t="inlineStr">
        <is>
          <t>-</t>
        </is>
      </c>
      <c r="AG40" s="181" t="n"/>
      <c r="AH40" s="184" t="n"/>
      <c r="AI40" s="185" t="n"/>
    </row>
    <row r="41">
      <c r="A41" s="363" t="n"/>
      <c r="B41" s="347" t="n"/>
      <c r="C41" s="249" t="n"/>
      <c r="D41" s="363" t="n"/>
      <c r="E41" s="347" t="n"/>
      <c r="F41" s="347" t="n"/>
      <c r="G41" s="347" t="n"/>
      <c r="H41" s="249" t="n"/>
      <c r="I41" s="180" t="n"/>
      <c r="J41" s="181" t="n"/>
      <c r="K41" s="182" t="n"/>
      <c r="L41" s="183" t="inlineStr">
        <is>
          <t>-</t>
        </is>
      </c>
      <c r="M41" s="181" t="n"/>
      <c r="N41" s="184" t="n"/>
      <c r="O41" s="185" t="n"/>
      <c r="R41" s="248" t="inlineStr">
        <is>
          <t>ND</t>
        </is>
      </c>
      <c r="S41" s="4" t="inlineStr">
        <is>
          <t>No Value Detected; Non Detect</t>
        </is>
      </c>
      <c r="U41" s="363" t="n"/>
      <c r="V41" s="347" t="n"/>
      <c r="W41" s="249" t="n"/>
      <c r="X41" s="363" t="n"/>
      <c r="Y41" s="347" t="n"/>
      <c r="Z41" s="347" t="n"/>
      <c r="AA41" s="347" t="n"/>
      <c r="AB41" s="249" t="n"/>
      <c r="AC41" s="180" t="n"/>
      <c r="AD41" s="181" t="n"/>
      <c r="AE41" s="182" t="n"/>
      <c r="AF41" s="183" t="inlineStr">
        <is>
          <t>-</t>
        </is>
      </c>
      <c r="AG41" s="181" t="n"/>
      <c r="AH41" s="184" t="n"/>
      <c r="AI41" s="185" t="n"/>
    </row>
    <row r="42">
      <c r="A42" s="363" t="n"/>
      <c r="B42" s="347" t="n"/>
      <c r="C42" s="249" t="n"/>
      <c r="D42" s="363" t="n"/>
      <c r="E42" s="347" t="n"/>
      <c r="F42" s="347" t="n"/>
      <c r="G42" s="347" t="n"/>
      <c r="H42" s="249" t="n"/>
      <c r="I42" s="180" t="n"/>
      <c r="J42" s="181" t="n"/>
      <c r="K42" s="182" t="n"/>
      <c r="L42" s="183" t="inlineStr">
        <is>
          <t>-</t>
        </is>
      </c>
      <c r="M42" s="181" t="n"/>
      <c r="N42" s="184" t="n"/>
      <c r="O42" s="185" t="n"/>
      <c r="R42" s="248" t="inlineStr">
        <is>
          <t>MD</t>
        </is>
      </c>
      <c r="S42" s="4" t="inlineStr">
        <is>
          <t>Value Less Than MDL (&lt;MDL)</t>
        </is>
      </c>
      <c r="U42" s="363" t="n"/>
      <c r="V42" s="347" t="n"/>
      <c r="W42" s="249" t="n"/>
      <c r="X42" s="363" t="n"/>
      <c r="Y42" s="347" t="n"/>
      <c r="Z42" s="347" t="n"/>
      <c r="AA42" s="347" t="n"/>
      <c r="AB42" s="249" t="n"/>
      <c r="AC42" s="180" t="n"/>
      <c r="AD42" s="181" t="n"/>
      <c r="AE42" s="182" t="n"/>
      <c r="AF42" s="183" t="inlineStr">
        <is>
          <t>-</t>
        </is>
      </c>
      <c r="AG42" s="181" t="n"/>
      <c r="AH42" s="184" t="n"/>
      <c r="AI42" s="185" t="n"/>
    </row>
    <row r="43">
      <c r="A43" s="363" t="n"/>
      <c r="B43" s="347" t="n"/>
      <c r="C43" s="249" t="n"/>
      <c r="D43" s="363" t="n"/>
      <c r="E43" s="347" t="n"/>
      <c r="F43" s="347" t="n"/>
      <c r="G43" s="347" t="n"/>
      <c r="H43" s="249" t="n"/>
      <c r="I43" s="180" t="n"/>
      <c r="J43" s="181" t="n"/>
      <c r="K43" s="182" t="n"/>
      <c r="L43" s="183" t="inlineStr">
        <is>
          <t>-</t>
        </is>
      </c>
      <c r="M43" s="181" t="n"/>
      <c r="N43" s="184" t="n"/>
      <c r="O43" s="185" t="n"/>
      <c r="R43" s="248" t="inlineStr">
        <is>
          <t>SQ</t>
        </is>
      </c>
      <c r="S43" s="4" t="inlineStr">
        <is>
          <t>Value b/t SQL and MDL (&gt;= MDL and &lt; SQL)</t>
        </is>
      </c>
      <c r="U43" s="363" t="n"/>
      <c r="V43" s="347" t="n"/>
      <c r="W43" s="249" t="n"/>
      <c r="X43" s="363" t="n"/>
      <c r="Y43" s="347" t="n"/>
      <c r="Z43" s="347" t="n"/>
      <c r="AA43" s="347" t="n"/>
      <c r="AB43" s="249" t="n"/>
      <c r="AC43" s="180" t="n"/>
      <c r="AD43" s="181" t="n"/>
      <c r="AE43" s="182" t="n"/>
      <c r="AF43" s="183" t="inlineStr">
        <is>
          <t>-</t>
        </is>
      </c>
      <c r="AG43" s="181" t="n"/>
      <c r="AH43" s="184" t="n"/>
      <c r="AI43" s="185" t="n"/>
    </row>
    <row r="44">
      <c r="A44" s="363" t="n"/>
      <c r="B44" s="347" t="n"/>
      <c r="C44" s="249" t="n"/>
      <c r="D44" s="363" t="n"/>
      <c r="E44" s="347" t="n"/>
      <c r="F44" s="347" t="n"/>
      <c r="G44" s="347" t="n"/>
      <c r="H44" s="249" t="n"/>
      <c r="I44" s="180" t="n"/>
      <c r="J44" s="181" t="n"/>
      <c r="K44" s="182" t="n"/>
      <c r="L44" s="183" t="inlineStr">
        <is>
          <t>-</t>
        </is>
      </c>
      <c r="M44" s="181" t="n"/>
      <c r="N44" s="184" t="n"/>
      <c r="O44" s="185" t="n"/>
      <c r="R44" s="248" t="n">
        <v>5</v>
      </c>
      <c r="S44" s="4" t="inlineStr">
        <is>
          <t>Outlier</t>
        </is>
      </c>
      <c r="U44" s="363" t="n"/>
      <c r="V44" s="347" t="n"/>
      <c r="W44" s="249" t="n"/>
      <c r="X44" s="363" t="n"/>
      <c r="Y44" s="347" t="n"/>
      <c r="Z44" s="347" t="n"/>
      <c r="AA44" s="347" t="n"/>
      <c r="AB44" s="249" t="n"/>
      <c r="AC44" s="180" t="n"/>
      <c r="AD44" s="181" t="n"/>
      <c r="AE44" s="182" t="n"/>
      <c r="AF44" s="183" t="inlineStr">
        <is>
          <t>-</t>
        </is>
      </c>
      <c r="AG44" s="181" t="n"/>
      <c r="AH44" s="184" t="n"/>
      <c r="AI44" s="185" t="n"/>
    </row>
    <row r="45">
      <c r="A45" s="363" t="n"/>
      <c r="B45" s="347" t="n"/>
      <c r="C45" s="249" t="n"/>
      <c r="D45" s="363" t="n"/>
      <c r="E45" s="347" t="n"/>
      <c r="F45" s="347" t="n"/>
      <c r="G45" s="347" t="n"/>
      <c r="H45" s="249" t="n"/>
      <c r="I45" s="180" t="n"/>
      <c r="J45" s="181" t="n"/>
      <c r="K45" s="182" t="n"/>
      <c r="L45" s="183" t="inlineStr">
        <is>
          <t>-</t>
        </is>
      </c>
      <c r="M45" s="181" t="n"/>
      <c r="N45" s="184" t="n"/>
      <c r="O45" s="185" t="n"/>
      <c r="R45" s="248" t="inlineStr">
        <is>
          <t>V</t>
        </is>
      </c>
      <c r="S45" s="4" t="inlineStr">
        <is>
          <t>Validated Value</t>
        </is>
      </c>
      <c r="U45" s="363" t="n"/>
      <c r="V45" s="347" t="n"/>
      <c r="W45" s="249" t="n"/>
      <c r="X45" s="363" t="n"/>
      <c r="Y45" s="347" t="n"/>
      <c r="Z45" s="347" t="n"/>
      <c r="AA45" s="347" t="n"/>
      <c r="AB45" s="249" t="n"/>
      <c r="AC45" s="180" t="n"/>
      <c r="AD45" s="181" t="n"/>
      <c r="AE45" s="182" t="n"/>
      <c r="AF45" s="183" t="inlineStr">
        <is>
          <t>-</t>
        </is>
      </c>
      <c r="AG45" s="181" t="n"/>
      <c r="AH45" s="184" t="n"/>
      <c r="AI45" s="185" t="n"/>
    </row>
    <row r="46">
      <c r="A46" s="363" t="n"/>
      <c r="B46" s="347" t="n"/>
      <c r="C46" s="249" t="n"/>
      <c r="D46" s="363" t="n"/>
      <c r="E46" s="347" t="n"/>
      <c r="F46" s="347" t="n"/>
      <c r="G46" s="347" t="n"/>
      <c r="H46" s="249" t="n"/>
      <c r="I46" s="180" t="n"/>
      <c r="J46" s="181" t="n"/>
      <c r="K46" s="182" t="n"/>
      <c r="L46" s="183" t="inlineStr">
        <is>
          <t>-</t>
        </is>
      </c>
      <c r="M46" s="181" t="n"/>
      <c r="N46" s="184" t="n"/>
      <c r="O46" s="185" t="n"/>
      <c r="U46" s="363" t="n"/>
      <c r="V46" s="347" t="n"/>
      <c r="W46" s="249" t="n"/>
      <c r="X46" s="363" t="n"/>
      <c r="Y46" s="347" t="n"/>
      <c r="Z46" s="347" t="n"/>
      <c r="AA46" s="347" t="n"/>
      <c r="AB46" s="249" t="n"/>
      <c r="AC46" s="180" t="n"/>
      <c r="AD46" s="181" t="n"/>
      <c r="AE46" s="182" t="n"/>
      <c r="AF46" s="183" t="inlineStr">
        <is>
          <t>-</t>
        </is>
      </c>
      <c r="AG46" s="181" t="n"/>
      <c r="AH46" s="184" t="n"/>
      <c r="AI46" s="185" t="n"/>
    </row>
    <row r="47">
      <c r="A47" s="363" t="n"/>
      <c r="B47" s="347" t="n"/>
      <c r="C47" s="249" t="n"/>
      <c r="D47" s="363" t="n"/>
      <c r="E47" s="347" t="n"/>
      <c r="F47" s="347" t="n"/>
      <c r="G47" s="347" t="n"/>
      <c r="H47" s="249" t="n"/>
      <c r="I47" s="180" t="n"/>
      <c r="J47" s="181" t="n"/>
      <c r="K47" s="182" t="n"/>
      <c r="L47" s="183" t="inlineStr">
        <is>
          <t>-</t>
        </is>
      </c>
      <c r="M47" s="181" t="n"/>
      <c r="N47" s="184" t="n"/>
      <c r="O47" s="185" t="n"/>
      <c r="U47" s="363" t="n"/>
      <c r="V47" s="347" t="n"/>
      <c r="W47" s="249" t="n"/>
      <c r="X47" s="363" t="n"/>
      <c r="Y47" s="347" t="n"/>
      <c r="Z47" s="347" t="n"/>
      <c r="AA47" s="347" t="n"/>
      <c r="AB47" s="249" t="n"/>
      <c r="AC47" s="180" t="n"/>
      <c r="AD47" s="181" t="n"/>
      <c r="AE47" s="182" t="n"/>
      <c r="AF47" s="183" t="inlineStr">
        <is>
          <t>-</t>
        </is>
      </c>
      <c r="AG47" s="181" t="n"/>
      <c r="AH47" s="184" t="n"/>
      <c r="AI47" s="185" t="n"/>
    </row>
    <row r="48">
      <c r="A48" s="363" t="n"/>
      <c r="B48" s="347" t="n"/>
      <c r="C48" s="249" t="n"/>
      <c r="D48" s="363" t="n"/>
      <c r="E48" s="347" t="n"/>
      <c r="F48" s="347" t="n"/>
      <c r="G48" s="347" t="n"/>
      <c r="H48" s="249" t="n"/>
      <c r="I48" s="180" t="n"/>
      <c r="J48" s="181" t="n"/>
      <c r="K48" s="182" t="n"/>
      <c r="L48" s="183" t="inlineStr">
        <is>
          <t>-</t>
        </is>
      </c>
      <c r="M48" s="181" t="n"/>
      <c r="N48" s="184" t="n"/>
      <c r="O48" s="185" t="n"/>
      <c r="U48" s="363" t="n"/>
      <c r="V48" s="347" t="n"/>
      <c r="W48" s="249" t="n"/>
      <c r="X48" s="363" t="n"/>
      <c r="Y48" s="347" t="n"/>
      <c r="Z48" s="347" t="n"/>
      <c r="AA48" s="347" t="n"/>
      <c r="AB48" s="249" t="n"/>
      <c r="AC48" s="180" t="n"/>
      <c r="AD48" s="181" t="n"/>
      <c r="AE48" s="182" t="n"/>
      <c r="AF48" s="183" t="inlineStr">
        <is>
          <t>-</t>
        </is>
      </c>
      <c r="AG48" s="181" t="n"/>
      <c r="AH48" s="184" t="n"/>
      <c r="AI48" s="185" t="n"/>
    </row>
    <row r="49">
      <c r="A49" s="363" t="n"/>
      <c r="B49" s="347" t="n"/>
      <c r="C49" s="249" t="n"/>
      <c r="D49" s="363" t="n"/>
      <c r="E49" s="347" t="n"/>
      <c r="F49" s="347" t="n"/>
      <c r="G49" s="347" t="n"/>
      <c r="H49" s="249" t="n"/>
      <c r="I49" s="180" t="n"/>
      <c r="J49" s="181" t="n"/>
      <c r="K49" s="182" t="n"/>
      <c r="L49" s="183" t="inlineStr">
        <is>
          <t>-</t>
        </is>
      </c>
      <c r="M49" s="181" t="n"/>
      <c r="N49" s="184" t="n"/>
      <c r="O49" s="185" t="n"/>
      <c r="U49" s="363" t="n"/>
      <c r="V49" s="347" t="n"/>
      <c r="W49" s="249" t="n"/>
      <c r="X49" s="363" t="n"/>
      <c r="Y49" s="347" t="n"/>
      <c r="Z49" s="347" t="n"/>
      <c r="AA49" s="347" t="n"/>
      <c r="AB49" s="249" t="n"/>
      <c r="AC49" s="180" t="n"/>
      <c r="AD49" s="181" t="n"/>
      <c r="AE49" s="182" t="n"/>
      <c r="AF49" s="183" t="inlineStr">
        <is>
          <t>-</t>
        </is>
      </c>
      <c r="AG49" s="181" t="n"/>
      <c r="AH49" s="184" t="n"/>
      <c r="AI49" s="185" t="n"/>
    </row>
    <row r="50">
      <c r="A50" s="363" t="n"/>
      <c r="B50" s="347" t="n"/>
      <c r="C50" s="249" t="n"/>
      <c r="D50" s="363" t="n"/>
      <c r="E50" s="347" t="n"/>
      <c r="F50" s="347" t="n"/>
      <c r="G50" s="347" t="n"/>
      <c r="H50" s="249" t="n"/>
      <c r="I50" s="180" t="n"/>
      <c r="J50" s="181" t="n"/>
      <c r="K50" s="182" t="n"/>
      <c r="L50" s="183" t="inlineStr">
        <is>
          <t>-</t>
        </is>
      </c>
      <c r="M50" s="181" t="n"/>
      <c r="N50" s="184" t="n"/>
      <c r="O50" s="185" t="n"/>
      <c r="U50" s="363" t="n"/>
      <c r="V50" s="347" t="n"/>
      <c r="W50" s="249" t="n"/>
      <c r="X50" s="363" t="n"/>
      <c r="Y50" s="347" t="n"/>
      <c r="Z50" s="347" t="n"/>
      <c r="AA50" s="347" t="n"/>
      <c r="AB50" s="249" t="n"/>
      <c r="AC50" s="180" t="n"/>
      <c r="AD50" s="181" t="n"/>
      <c r="AE50" s="182" t="n"/>
      <c r="AF50" s="183" t="inlineStr">
        <is>
          <t>-</t>
        </is>
      </c>
      <c r="AG50" s="181" t="n"/>
      <c r="AH50" s="184" t="n"/>
      <c r="AI50" s="185" t="n"/>
    </row>
    <row r="51">
      <c r="A51" s="363" t="n"/>
      <c r="B51" s="347" t="n"/>
      <c r="C51" s="249" t="n"/>
      <c r="D51" s="363" t="n"/>
      <c r="E51" s="347" t="n"/>
      <c r="F51" s="347" t="n"/>
      <c r="G51" s="347" t="n"/>
      <c r="H51" s="249" t="n"/>
      <c r="I51" s="180" t="n"/>
      <c r="J51" s="181" t="n"/>
      <c r="K51" s="182" t="n"/>
      <c r="L51" s="183" t="inlineStr">
        <is>
          <t>-</t>
        </is>
      </c>
      <c r="M51" s="181" t="n"/>
      <c r="N51" s="184" t="n"/>
      <c r="O51" s="185" t="n"/>
      <c r="U51" s="363" t="n"/>
      <c r="V51" s="347" t="n"/>
      <c r="W51" s="249" t="n"/>
      <c r="X51" s="363" t="n"/>
      <c r="Y51" s="347" t="n"/>
      <c r="Z51" s="347" t="n"/>
      <c r="AA51" s="347" t="n"/>
      <c r="AB51" s="249" t="n"/>
      <c r="AC51" s="180" t="n"/>
      <c r="AD51" s="181" t="n"/>
      <c r="AE51" s="182" t="n"/>
      <c r="AF51" s="183" t="inlineStr">
        <is>
          <t>-</t>
        </is>
      </c>
      <c r="AG51" s="181" t="n"/>
      <c r="AH51" s="184" t="n"/>
      <c r="AI51" s="185" t="n"/>
    </row>
    <row r="52">
      <c r="A52" s="363" t="n"/>
      <c r="B52" s="347" t="n"/>
      <c r="C52" s="249" t="n"/>
      <c r="D52" s="363" t="n"/>
      <c r="E52" s="347" t="n"/>
      <c r="F52" s="347" t="n"/>
      <c r="G52" s="347" t="n"/>
      <c r="H52" s="249" t="n"/>
      <c r="I52" s="180" t="n"/>
      <c r="J52" s="181" t="n"/>
      <c r="K52" s="182" t="n"/>
      <c r="L52" s="183" t="inlineStr">
        <is>
          <t>-</t>
        </is>
      </c>
      <c r="M52" s="181" t="n"/>
      <c r="N52" s="184" t="n"/>
      <c r="O52" s="185" t="n"/>
      <c r="U52" s="363" t="n"/>
      <c r="V52" s="347" t="n"/>
      <c r="W52" s="249" t="n"/>
      <c r="X52" s="363" t="n"/>
      <c r="Y52" s="347" t="n"/>
      <c r="Z52" s="347" t="n"/>
      <c r="AA52" s="347" t="n"/>
      <c r="AB52" s="249" t="n"/>
      <c r="AC52" s="180" t="n"/>
      <c r="AD52" s="181" t="n"/>
      <c r="AE52" s="182" t="n"/>
      <c r="AF52" s="183" t="inlineStr">
        <is>
          <t>-</t>
        </is>
      </c>
      <c r="AG52" s="181" t="n"/>
      <c r="AH52" s="184" t="n"/>
      <c r="AI52" s="185" t="n"/>
    </row>
    <row r="53">
      <c r="A53" s="363" t="n"/>
      <c r="B53" s="347" t="n"/>
      <c r="C53" s="249" t="n"/>
      <c r="D53" s="363" t="n"/>
      <c r="E53" s="347" t="n"/>
      <c r="F53" s="347" t="n"/>
      <c r="G53" s="347" t="n"/>
      <c r="H53" s="249" t="n"/>
      <c r="I53" s="180" t="n"/>
      <c r="J53" s="181" t="n"/>
      <c r="K53" s="182" t="n"/>
      <c r="L53" s="183" t="inlineStr">
        <is>
          <t>-</t>
        </is>
      </c>
      <c r="M53" s="181" t="n"/>
      <c r="N53" s="184" t="n"/>
      <c r="O53" s="185" t="n"/>
      <c r="U53" s="363" t="n"/>
      <c r="V53" s="347" t="n"/>
      <c r="W53" s="249" t="n"/>
      <c r="X53" s="363" t="n"/>
      <c r="Y53" s="347" t="n"/>
      <c r="Z53" s="347" t="n"/>
      <c r="AA53" s="347" t="n"/>
      <c r="AB53" s="249" t="n"/>
      <c r="AC53" s="180" t="n"/>
      <c r="AD53" s="181" t="n"/>
      <c r="AE53" s="182" t="n"/>
      <c r="AF53" s="183" t="inlineStr">
        <is>
          <t>-</t>
        </is>
      </c>
      <c r="AG53" s="181" t="n"/>
      <c r="AH53" s="184" t="n"/>
      <c r="AI53" s="185" t="n"/>
    </row>
    <row r="54" ht="30" customHeight="1">
      <c r="A54" s="363" t="n"/>
      <c r="B54" s="347" t="n"/>
      <c r="C54" s="249" t="n"/>
      <c r="D54" s="363" t="n"/>
      <c r="E54" s="347" t="n"/>
      <c r="F54" s="347" t="n"/>
      <c r="G54" s="347" t="n"/>
      <c r="H54" s="249" t="n"/>
      <c r="I54" s="180" t="n"/>
      <c r="J54" s="181" t="n"/>
      <c r="K54" s="182" t="n"/>
      <c r="L54" s="183" t="inlineStr">
        <is>
          <t>-</t>
        </is>
      </c>
      <c r="M54" s="181" t="n"/>
      <c r="N54" s="184" t="n"/>
      <c r="O54" s="185" t="n"/>
      <c r="U54" s="363" t="n"/>
      <c r="V54" s="347" t="n"/>
      <c r="W54" s="249" t="n"/>
      <c r="X54" s="363" t="n"/>
      <c r="Y54" s="347" t="n"/>
      <c r="Z54" s="347" t="n"/>
      <c r="AA54" s="347" t="n"/>
      <c r="AB54" s="249" t="n"/>
      <c r="AC54" s="180" t="n"/>
      <c r="AD54" s="181" t="n"/>
      <c r="AE54" s="182" t="n"/>
      <c r="AF54" s="183" t="inlineStr">
        <is>
          <t>-</t>
        </is>
      </c>
      <c r="AG54" s="181" t="n"/>
      <c r="AH54" s="184" t="n"/>
      <c r="AI54" s="185" t="n"/>
    </row>
    <row r="55" ht="30" customHeight="1">
      <c r="A55" s="363" t="n"/>
      <c r="B55" s="347" t="n"/>
      <c r="C55" s="249" t="n"/>
      <c r="D55" s="363" t="n"/>
      <c r="E55" s="347" t="n"/>
      <c r="F55" s="347" t="n"/>
      <c r="G55" s="347" t="n"/>
      <c r="H55" s="249" t="n"/>
      <c r="I55" s="180" t="n"/>
      <c r="J55" s="181" t="n"/>
      <c r="K55" s="182" t="n"/>
      <c r="L55" s="183" t="inlineStr">
        <is>
          <t>-</t>
        </is>
      </c>
      <c r="M55" s="181" t="n"/>
      <c r="N55" s="184" t="n"/>
      <c r="O55" s="185" t="n"/>
      <c r="U55" s="363" t="n"/>
      <c r="V55" s="347" t="n"/>
      <c r="W55" s="249" t="n"/>
      <c r="X55" s="363" t="n"/>
      <c r="Y55" s="347" t="n"/>
      <c r="Z55" s="347" t="n"/>
      <c r="AA55" s="347" t="n"/>
      <c r="AB55" s="249" t="n"/>
      <c r="AC55" s="180" t="n"/>
      <c r="AD55" s="181" t="n"/>
      <c r="AE55" s="182" t="n"/>
      <c r="AF55" s="183" t="inlineStr">
        <is>
          <t>-</t>
        </is>
      </c>
      <c r="AG55" s="181" t="n"/>
      <c r="AH55" s="184" t="n"/>
      <c r="AI55" s="185" t="n"/>
    </row>
    <row r="56" ht="30" customHeight="1">
      <c r="A56" s="363" t="n"/>
      <c r="B56" s="347" t="n"/>
      <c r="C56" s="249" t="n"/>
      <c r="D56" s="363" t="n"/>
      <c r="E56" s="347" t="n"/>
      <c r="F56" s="347" t="n"/>
      <c r="G56" s="347" t="n"/>
      <c r="H56" s="249" t="n"/>
      <c r="I56" s="180" t="n"/>
      <c r="J56" s="181" t="n"/>
      <c r="K56" s="182" t="n"/>
      <c r="L56" s="183" t="inlineStr">
        <is>
          <t>-</t>
        </is>
      </c>
      <c r="M56" s="181" t="n"/>
      <c r="N56" s="184" t="n"/>
      <c r="O56" s="185" t="n"/>
      <c r="U56" s="363" t="n"/>
      <c r="V56" s="347" t="n"/>
      <c r="W56" s="249" t="n"/>
      <c r="X56" s="363" t="n"/>
      <c r="Y56" s="347" t="n"/>
      <c r="Z56" s="347" t="n"/>
      <c r="AA56" s="347" t="n"/>
      <c r="AB56" s="249" t="n"/>
      <c r="AC56" s="180" t="n"/>
      <c r="AD56" s="181" t="n"/>
      <c r="AE56" s="182" t="n"/>
      <c r="AF56" s="183" t="inlineStr">
        <is>
          <t>-</t>
        </is>
      </c>
      <c r="AG56" s="181" t="n"/>
      <c r="AH56" s="184" t="n"/>
      <c r="AI56" s="185" t="n"/>
    </row>
    <row r="57" ht="30" customHeight="1"/>
    <row r="58" ht="30" customHeight="1"/>
    <row r="59" ht="30" customHeight="1"/>
    <row r="60" ht="30" customHeight="1"/>
    <row r="61" ht="30" customHeight="1"/>
    <row r="62" ht="30" customHeight="1"/>
    <row r="63" ht="30" customHeight="1">
      <c r="A63" s="362" t="inlineStr">
        <is>
          <t>SAMPLE TYPE CHANGES</t>
        </is>
      </c>
      <c r="B63" s="347" t="n"/>
      <c r="C63" s="347" t="n"/>
      <c r="D63" s="347" t="n"/>
      <c r="E63" s="347" t="n"/>
      <c r="F63" s="347" t="n"/>
      <c r="G63" s="347" t="n"/>
      <c r="H63" s="347" t="n"/>
      <c r="I63" s="347" t="n"/>
      <c r="J63" s="347" t="n"/>
      <c r="K63" s="347" t="n"/>
      <c r="L63" s="347" t="n"/>
      <c r="M63" s="347" t="n"/>
      <c r="N63" s="347" t="n"/>
      <c r="O63" s="249" t="n"/>
    </row>
    <row r="64" ht="30" customHeight="1">
      <c r="A64" s="186" t="n"/>
      <c r="B64" s="186" t="n"/>
      <c r="E64" s="170" t="n"/>
      <c r="F64" s="170" t="n"/>
      <c r="G64" s="170" t="n"/>
      <c r="H64" s="170" t="n"/>
      <c r="I64" s="171" t="n"/>
      <c r="J64" s="174" t="inlineStr">
        <is>
          <t>DATE/TIME RANGE</t>
        </is>
      </c>
      <c r="K64" s="7" t="n"/>
      <c r="L64" s="7" t="n"/>
      <c r="M64" s="7" t="n"/>
      <c r="N64" s="354" t="n"/>
    </row>
    <row r="65" ht="30" customHeight="1">
      <c r="A65" s="346" t="inlineStr">
        <is>
          <t>FILE NAME</t>
        </is>
      </c>
      <c r="B65" s="347" t="n"/>
      <c r="C65" s="249" t="n"/>
      <c r="D65" s="346" t="inlineStr">
        <is>
          <t>OLD TYPE</t>
        </is>
      </c>
      <c r="E65" s="347" t="n"/>
      <c r="F65" s="249" t="n"/>
      <c r="G65" s="346" t="inlineStr">
        <is>
          <t>NEW TYPE</t>
        </is>
      </c>
      <c r="H65" s="347" t="n"/>
      <c r="I65" s="249" t="n"/>
      <c r="J65" s="175" t="inlineStr">
        <is>
          <t>Date</t>
        </is>
      </c>
      <c r="K65" s="176" t="inlineStr">
        <is>
          <t>Hour</t>
        </is>
      </c>
      <c r="L65" s="177" t="inlineStr">
        <is>
          <t>-</t>
        </is>
      </c>
      <c r="M65" s="176" t="inlineStr">
        <is>
          <t>Date</t>
        </is>
      </c>
      <c r="N65" s="178" t="inlineStr">
        <is>
          <t>Hour</t>
        </is>
      </c>
      <c r="O65" s="346" t="inlineStr">
        <is>
          <t>DATE APPLIED</t>
        </is>
      </c>
    </row>
    <row r="66" ht="30" customHeight="1">
      <c r="A66" s="364" t="n"/>
      <c r="B66" s="347" t="n"/>
      <c r="C66" s="249" t="n"/>
      <c r="D66" s="364" t="n"/>
      <c r="E66" s="347" t="n"/>
      <c r="F66" s="249" t="n"/>
      <c r="G66" s="364" t="n"/>
      <c r="H66" s="347" t="n"/>
      <c r="I66" s="249" t="n"/>
      <c r="J66" s="187" t="n"/>
      <c r="K66" s="344" t="n"/>
      <c r="L66" s="189" t="inlineStr">
        <is>
          <t>-</t>
        </is>
      </c>
      <c r="M66" s="344" t="n"/>
      <c r="N66" s="345" t="n"/>
      <c r="O66" s="80" t="n"/>
    </row>
    <row r="67" ht="30" customHeight="1">
      <c r="A67" s="364" t="n"/>
      <c r="B67" s="347" t="n"/>
      <c r="C67" s="249" t="n"/>
      <c r="D67" s="364" t="n"/>
      <c r="E67" s="347" t="n"/>
      <c r="F67" s="249" t="n"/>
      <c r="G67" s="364" t="n"/>
      <c r="H67" s="347" t="n"/>
      <c r="I67" s="249" t="n"/>
      <c r="J67" s="187" t="n"/>
      <c r="K67" s="344" t="n"/>
      <c r="L67" s="189" t="inlineStr">
        <is>
          <t>-</t>
        </is>
      </c>
      <c r="M67" s="344" t="n"/>
      <c r="N67" s="345" t="n"/>
      <c r="O67" s="80" t="n"/>
    </row>
    <row r="68" ht="30" customHeight="1">
      <c r="A68" s="364" t="n"/>
      <c r="B68" s="347" t="n"/>
      <c r="C68" s="249" t="n"/>
      <c r="D68" s="364" t="n"/>
      <c r="E68" s="347" t="n"/>
      <c r="F68" s="249" t="n"/>
      <c r="G68" s="364" t="n"/>
      <c r="H68" s="347" t="n"/>
      <c r="I68" s="249" t="n"/>
      <c r="J68" s="187" t="n"/>
      <c r="K68" s="344" t="n"/>
      <c r="L68" s="189" t="inlineStr">
        <is>
          <t>-</t>
        </is>
      </c>
      <c r="M68" s="344" t="n"/>
      <c r="N68" s="345" t="n"/>
      <c r="O68" s="80" t="n"/>
    </row>
    <row r="69" ht="30" customHeight="1">
      <c r="A69" s="364" t="n"/>
      <c r="B69" s="347" t="n"/>
      <c r="C69" s="249" t="n"/>
      <c r="D69" s="364" t="n"/>
      <c r="E69" s="347" t="n"/>
      <c r="F69" s="249" t="n"/>
      <c r="G69" s="364" t="n"/>
      <c r="H69" s="347" t="n"/>
      <c r="I69" s="249" t="n"/>
      <c r="J69" s="187" t="n"/>
      <c r="K69" s="344" t="n"/>
      <c r="L69" s="189" t="inlineStr">
        <is>
          <t>-</t>
        </is>
      </c>
      <c r="M69" s="344" t="n"/>
      <c r="N69" s="345" t="n"/>
      <c r="O69" s="80" t="n"/>
    </row>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sheetData>
  <mergeCells count="1299">
    <mergeCell ref="BCG1:BCU1"/>
    <mergeCell ref="GEY1:GFM1"/>
    <mergeCell ref="ILU1:IMI1"/>
    <mergeCell ref="UUO1:UVC1"/>
    <mergeCell ref="SNS1:SOG1"/>
    <mergeCell ref="BXA1:BXO1"/>
    <mergeCell ref="HOS1:HPG1"/>
    <mergeCell ref="MIT1:MJH1"/>
    <mergeCell ref="TSH1:TSV1"/>
    <mergeCell ref="D11:H11"/>
    <mergeCell ref="BJT1:BKH1"/>
    <mergeCell ref="CX1:DL1"/>
    <mergeCell ref="CEN1:CFB1"/>
    <mergeCell ref="SVF1:SVT1"/>
    <mergeCell ref="HWF1:HWT1"/>
    <mergeCell ref="GYO1:GZC1"/>
    <mergeCell ref="MQG1:MQU1"/>
    <mergeCell ref="D39:H39"/>
    <mergeCell ref="RKH1:RKV1"/>
    <mergeCell ref="CMA1:CMO1"/>
    <mergeCell ref="SFB1:SFP1"/>
    <mergeCell ref="ULX1:UML1"/>
    <mergeCell ref="HGB1:HGP1"/>
    <mergeCell ref="MXT1:MYH1"/>
    <mergeCell ref="G69:I69"/>
    <mergeCell ref="A55:C55"/>
    <mergeCell ref="NSN1:NTB1"/>
    <mergeCell ref="MAC1:MAQ1"/>
    <mergeCell ref="UTK1:UTY1"/>
    <mergeCell ref="SMO1:SNC1"/>
    <mergeCell ref="TBO1:TCC1"/>
    <mergeCell ref="QUS1:QVG1"/>
    <mergeCell ref="HNO1:HOC1"/>
    <mergeCell ref="AEA1:AEO1"/>
    <mergeCell ref="A44:C44"/>
    <mergeCell ref="MHP1:MID1"/>
    <mergeCell ref="BIP1:BJD1"/>
    <mergeCell ref="NRJ1:NRX1"/>
    <mergeCell ref="LKN1:LLB1"/>
    <mergeCell ref="SUB1:SUP1"/>
    <mergeCell ref="CDJ1:CDX1"/>
    <mergeCell ref="ALN1:AMB1"/>
    <mergeCell ref="DND1:DNR1"/>
    <mergeCell ref="BGH1:BGV1"/>
    <mergeCell ref="FFO1:FGC1"/>
    <mergeCell ref="GXZ1:GYN1"/>
    <mergeCell ref="MPC1:MPQ1"/>
    <mergeCell ref="LSA1:LSO1"/>
    <mergeCell ref="ATA1:ATO1"/>
    <mergeCell ref="SSX1:STL1"/>
    <mergeCell ref="QMB1:QMP1"/>
    <mergeCell ref="BNU1:BOI1"/>
    <mergeCell ref="VJ1:VX1"/>
    <mergeCell ref="IOR1:IPF1"/>
    <mergeCell ref="GHV1:GIJ1"/>
    <mergeCell ref="LZN1:MAB1"/>
    <mergeCell ref="LBW1:LCK1"/>
    <mergeCell ref="QTO1:QUC1"/>
    <mergeCell ref="ACW1:ADK1"/>
    <mergeCell ref="TVE1:TVS1"/>
    <mergeCell ref="FU1:GI1"/>
    <mergeCell ref="VNP1:VOD1"/>
    <mergeCell ref="GPI1:GPW1"/>
    <mergeCell ref="EWX1:EXL1"/>
    <mergeCell ref="LJJ1:LJX1"/>
    <mergeCell ref="NQF1:NQT1"/>
    <mergeCell ref="RBB1:RBP1"/>
    <mergeCell ref="AKJ1:AKX1"/>
    <mergeCell ref="QDK1:QDY1"/>
    <mergeCell ref="QGH1:QGV1"/>
    <mergeCell ref="NH1:NV1"/>
    <mergeCell ref="FZE1:FZS1"/>
    <mergeCell ref="EHI1:EHW1"/>
    <mergeCell ref="LQW1:LRK1"/>
    <mergeCell ref="SRT1:SSH1"/>
    <mergeCell ref="UU1:VI1"/>
    <mergeCell ref="X42:AB42"/>
    <mergeCell ref="RUR1:RVF1"/>
    <mergeCell ref="PNV1:POJ1"/>
    <mergeCell ref="GGR1:GHF1"/>
    <mergeCell ref="VHV1:VIJ1"/>
    <mergeCell ref="EOV1:EPJ1"/>
    <mergeCell ref="HQL1:HQZ1"/>
    <mergeCell ref="FJP1:FKD1"/>
    <mergeCell ref="MKM1:MLA1"/>
    <mergeCell ref="SCE1:SCS1"/>
    <mergeCell ref="EQ1:FE1"/>
    <mergeCell ref="X43:AB43"/>
    <mergeCell ref="EWI1:EWW1"/>
    <mergeCell ref="U32:W32"/>
    <mergeCell ref="WWF1:WWT1"/>
    <mergeCell ref="UPJ1:UPX1"/>
    <mergeCell ref="DYR1:DZF1"/>
    <mergeCell ref="MRZ1:MSN1"/>
    <mergeCell ref="KLD1:KLR1"/>
    <mergeCell ref="MD1:MR1"/>
    <mergeCell ref="RMA1:RMO1"/>
    <mergeCell ref="EGE1:EGS1"/>
    <mergeCell ref="U50:W50"/>
    <mergeCell ref="U44:W44"/>
    <mergeCell ref="FPY1:FQM1"/>
    <mergeCell ref="DJC1:DJQ1"/>
    <mergeCell ref="RTN1:RUB1"/>
    <mergeCell ref="PMR1:PNF1"/>
    <mergeCell ref="ENR1:EOF1"/>
    <mergeCell ref="QWL1:QWZ1"/>
    <mergeCell ref="AFT1:AGH1"/>
    <mergeCell ref="A7:O7"/>
    <mergeCell ref="WNO1:WOC1"/>
    <mergeCell ref="UJP1:UKD1"/>
    <mergeCell ref="FXL1:FXZ1"/>
    <mergeCell ref="DQP1:DRD1"/>
    <mergeCell ref="MJI1:MJW1"/>
    <mergeCell ref="KCM1:KDA1"/>
    <mergeCell ref="KRM1:KSA1"/>
    <mergeCell ref="IKQ1:ILE1"/>
    <mergeCell ref="DM1:EA1"/>
    <mergeCell ref="LMG1:LMU1"/>
    <mergeCell ref="RDY1:REM1"/>
    <mergeCell ref="ANG1:ANU1"/>
    <mergeCell ref="VXZ1:VYN1"/>
    <mergeCell ref="FHH1:FHV1"/>
    <mergeCell ref="MQV1:MRJ1"/>
    <mergeCell ref="KJZ1:KKN1"/>
    <mergeCell ref="KYZ1:KZN1"/>
    <mergeCell ref="ISD1:ISR1"/>
    <mergeCell ref="LTT1:LUH1"/>
    <mergeCell ref="QNU1:QOI1"/>
    <mergeCell ref="WFM1:WGA1"/>
    <mergeCell ref="FOU1:FPI1"/>
    <mergeCell ref="DHY1:DIM1"/>
    <mergeCell ref="MBG1:MBU1"/>
    <mergeCell ref="KIV1:KJJ1"/>
    <mergeCell ref="J28:N28"/>
    <mergeCell ref="QVH1:QVV1"/>
    <mergeCell ref="AEP1:AFD1"/>
    <mergeCell ref="DPL1:DPZ1"/>
    <mergeCell ref="VPI1:VPW1"/>
    <mergeCell ref="KQI1:KQW1"/>
    <mergeCell ref="IJM1:IKA1"/>
    <mergeCell ref="JTG1:JTU1"/>
    <mergeCell ref="AMC1:AMQ1"/>
    <mergeCell ref="NGK1:NGY1"/>
    <mergeCell ref="QFD1:QFR1"/>
    <mergeCell ref="VWV1:VXJ1"/>
    <mergeCell ref="FGD1:FGR1"/>
    <mergeCell ref="U46:W46"/>
    <mergeCell ref="CZH1:CZV1"/>
    <mergeCell ref="IQZ1:IRN1"/>
    <mergeCell ref="UZT1:VAH1"/>
    <mergeCell ref="EJB1:EJP1"/>
    <mergeCell ref="LSP1:LTD1"/>
    <mergeCell ref="U48:W48"/>
    <mergeCell ref="KAT1:KBH1"/>
    <mergeCell ref="U41:W41"/>
    <mergeCell ref="QMQ1:QNE1"/>
    <mergeCell ref="OUU1:OVI1"/>
    <mergeCell ref="FNQ1:FOE1"/>
    <mergeCell ref="U43:W43"/>
    <mergeCell ref="RWK1:RWY1"/>
    <mergeCell ref="PPO1:PQC1"/>
    <mergeCell ref="EQO1:ERC1"/>
    <mergeCell ref="CJS1:CKG1"/>
    <mergeCell ref="A17:C17"/>
    <mergeCell ref="A53:C53"/>
    <mergeCell ref="JKP1:JLD1"/>
    <mergeCell ref="QUD1:QUR1"/>
    <mergeCell ref="A19:C19"/>
    <mergeCell ref="PXB1:PXP1"/>
    <mergeCell ref="EYB1:EYP1"/>
    <mergeCell ref="A48:C48"/>
    <mergeCell ref="WXY1:WYM1"/>
    <mergeCell ref="URC1:URQ1"/>
    <mergeCell ref="EAK1:EAY1"/>
    <mergeCell ref="JSC1:JSQ1"/>
    <mergeCell ref="HLG1:HLU1"/>
    <mergeCell ref="NW1:OK1"/>
    <mergeCell ref="OMD1:OMR1"/>
    <mergeCell ref="A37:C37"/>
    <mergeCell ref="UYP1:UZD1"/>
    <mergeCell ref="EHX1:EIL1"/>
    <mergeCell ref="CQB1:CQP1"/>
    <mergeCell ref="DKV1:DLJ1"/>
    <mergeCell ref="JBY1:JCM1"/>
    <mergeCell ref="OTQ1:OUE1"/>
    <mergeCell ref="MMU1:MNI1"/>
    <mergeCell ref="NWO1:NXC1"/>
    <mergeCell ref="EPK1:EPY1"/>
    <mergeCell ref="CIO1:CJC1"/>
    <mergeCell ref="WPH1:WPV1"/>
    <mergeCell ref="UIL1:UIZ1"/>
    <mergeCell ref="ULI1:ULW1"/>
    <mergeCell ref="DSI1:DSW1"/>
    <mergeCell ref="JJL1:JJZ1"/>
    <mergeCell ref="KTF1:KTT1"/>
    <mergeCell ref="IMJ1:IMX1"/>
    <mergeCell ref="PVX1:PWL1"/>
    <mergeCell ref="OEB1:OEP1"/>
    <mergeCell ref="U17:W17"/>
    <mergeCell ref="U11:W11"/>
    <mergeCell ref="X21:AB21"/>
    <mergeCell ref="DZV1:EAJ1"/>
    <mergeCell ref="CHK1:CHY1"/>
    <mergeCell ref="VZS1:WAG1"/>
    <mergeCell ref="TSW1:TTK1"/>
    <mergeCell ref="X23:AB23"/>
    <mergeCell ref="ITW1:IUK1"/>
    <mergeCell ref="U12:W12"/>
    <mergeCell ref="X16:AB16"/>
    <mergeCell ref="PUT1:PVH1"/>
    <mergeCell ref="NNX1:NOL1"/>
    <mergeCell ref="COX1:CPL1"/>
    <mergeCell ref="AIB1:AIP1"/>
    <mergeCell ref="X18:AB18"/>
    <mergeCell ref="DJR1:DKF1"/>
    <mergeCell ref="A13:C13"/>
    <mergeCell ref="JBJ1:JBX1"/>
    <mergeCell ref="HIY1:HJM1"/>
    <mergeCell ref="IDS1:IEG1"/>
    <mergeCell ref="A15:C15"/>
    <mergeCell ref="A51:C51"/>
    <mergeCell ref="NVK1:NVY1"/>
    <mergeCell ref="APO1:AQC1"/>
    <mergeCell ref="D55:H55"/>
    <mergeCell ref="UWH1:UWV1"/>
    <mergeCell ref="SPL1:SPZ1"/>
    <mergeCell ref="DRE1:DRS1"/>
    <mergeCell ref="U25:W25"/>
    <mergeCell ref="ILF1:ILT1"/>
    <mergeCell ref="OCX1:ODL1"/>
    <mergeCell ref="JUZ1:JVN1"/>
    <mergeCell ref="HOD1:HOR1"/>
    <mergeCell ref="SWY1:SXM1"/>
    <mergeCell ref="VYO1:VZC1"/>
    <mergeCell ref="TRS1:TSG1"/>
    <mergeCell ref="UGS1:UHG1"/>
    <mergeCell ref="BJE1:BJS1"/>
    <mergeCell ref="ISS1:ITG1"/>
    <mergeCell ref="VBM1:VCA1"/>
    <mergeCell ref="HVQ1:HWE1"/>
    <mergeCell ref="A30:C30"/>
    <mergeCell ref="TEL1:TEZ1"/>
    <mergeCell ref="OWN1:OXB1"/>
    <mergeCell ref="MPR1:MQF1"/>
    <mergeCell ref="BQR1:BRF1"/>
    <mergeCell ref="VIZ1:VJN1"/>
    <mergeCell ref="GKS1:GLG1"/>
    <mergeCell ref="A54:C54"/>
    <mergeCell ref="JMI1:JMW1"/>
    <mergeCell ref="HFM1:HGA1"/>
    <mergeCell ref="MXE1:MXS1"/>
    <mergeCell ref="A56:C56"/>
    <mergeCell ref="BYE1:BYS1"/>
    <mergeCell ref="TYB1:TYP1"/>
    <mergeCell ref="RRF1:RRT1"/>
    <mergeCell ref="BAN1:BBB1"/>
    <mergeCell ref="GSF1:GST1"/>
    <mergeCell ref="JTV1:JUJ1"/>
    <mergeCell ref="HMZ1:HNN1"/>
    <mergeCell ref="ONW1:OOK1"/>
    <mergeCell ref="MHA1:MHO1"/>
    <mergeCell ref="X20:AB20"/>
    <mergeCell ref="X14:AB14"/>
    <mergeCell ref="RYS1:RZG1"/>
    <mergeCell ref="BIA1:BIO1"/>
    <mergeCell ref="CRU1:CSI1"/>
    <mergeCell ref="AKY1:ALM1"/>
    <mergeCell ref="WST1:WTH1"/>
    <mergeCell ref="D24:H24"/>
    <mergeCell ref="HUM1:HVA1"/>
    <mergeCell ref="WVQ1:WWE1"/>
    <mergeCell ref="MON1:MPB1"/>
    <mergeCell ref="OVJ1:OVX1"/>
    <mergeCell ref="BPN1:BQB1"/>
    <mergeCell ref="X40:AB40"/>
    <mergeCell ref="D19:H19"/>
    <mergeCell ref="NYH1:NYV1"/>
    <mergeCell ref="RLL1:RLZ1"/>
    <mergeCell ref="ASL1:ASZ1"/>
    <mergeCell ref="XAG1:XAU1"/>
    <mergeCell ref="HTI1:HTW1"/>
    <mergeCell ref="FMM1:FNA1"/>
    <mergeCell ref="MWA1:MWO1"/>
    <mergeCell ref="OFU1:OGI1"/>
    <mergeCell ref="AZY1:BAM1"/>
    <mergeCell ref="D37:H37"/>
    <mergeCell ref="SZV1:TAJ1"/>
    <mergeCell ref="ACH1:ACV1"/>
    <mergeCell ref="WMZ1:WNN1"/>
    <mergeCell ref="FTZ1:FUN1"/>
    <mergeCell ref="D9:H9"/>
    <mergeCell ref="U49:W49"/>
    <mergeCell ref="MUW1:MVK1"/>
    <mergeCell ref="KOA1:KOO1"/>
    <mergeCell ref="D38:H38"/>
    <mergeCell ref="NPQ1:NQE1"/>
    <mergeCell ref="RCU1:RDI1"/>
    <mergeCell ref="CQQ1:CRE1"/>
    <mergeCell ref="AJU1:AKI1"/>
    <mergeCell ref="GBM1:GCA1"/>
    <mergeCell ref="FDV1:FEJ1"/>
    <mergeCell ref="KVN1:KWB1"/>
    <mergeCell ref="NXD1:NXR1"/>
    <mergeCell ref="ARH1:ARV1"/>
    <mergeCell ref="SRE1:SRS1"/>
    <mergeCell ref="WEI1:WEW1"/>
    <mergeCell ref="HSE1:HSS1"/>
    <mergeCell ref="FLI1:FLW1"/>
    <mergeCell ref="GVC1:GVQ1"/>
    <mergeCell ref="EOG1:EOU1"/>
    <mergeCell ref="KIG1:KIU1"/>
    <mergeCell ref="SYR1:SZF1"/>
    <mergeCell ref="AQD1:AQR1"/>
    <mergeCell ref="FSV1:FTJ1"/>
    <mergeCell ref="SBP1:SCD1"/>
    <mergeCell ref="BKX1:BLL1"/>
    <mergeCell ref="VOT1:VPH1"/>
    <mergeCell ref="HCP1:HDD1"/>
    <mergeCell ref="LWQ1:LXE1"/>
    <mergeCell ref="JPU1:JQI1"/>
    <mergeCell ref="PJU1:PKI1"/>
    <mergeCell ref="BSK1:BSY1"/>
    <mergeCell ref="SJC1:SJQ1"/>
    <mergeCell ref="LO1:MC1"/>
    <mergeCell ref="XDD1:XDR1"/>
    <mergeCell ref="GML1:GMZ1"/>
    <mergeCell ref="MYX1:MZL1"/>
    <mergeCell ref="QYE1:QYS1"/>
    <mergeCell ref="ORI1:ORW1"/>
    <mergeCell ref="RSY1:RTM1"/>
    <mergeCell ref="GTY1:GUM1"/>
    <mergeCell ref="ENC1:ENQ1"/>
    <mergeCell ref="D34:H34"/>
    <mergeCell ref="LNZ1:LON1"/>
    <mergeCell ref="JKA1:JKO1"/>
    <mergeCell ref="D36:H36"/>
    <mergeCell ref="SAL1:SAZ1"/>
    <mergeCell ref="RX1:SL1"/>
    <mergeCell ref="WUM1:WVA1"/>
    <mergeCell ref="LVM1:LWA1"/>
    <mergeCell ref="JOQ1:JPE1"/>
    <mergeCell ref="KYK1:KYY1"/>
    <mergeCell ref="BRG1:BRU1"/>
    <mergeCell ref="KK1:KY1"/>
    <mergeCell ref="OLO1:OMC1"/>
    <mergeCell ref="ZK1:ZY1"/>
    <mergeCell ref="D56:H56"/>
    <mergeCell ref="AUE1:AUS1"/>
    <mergeCell ref="XBZ1:XCN1"/>
    <mergeCell ref="G67:I67"/>
    <mergeCell ref="FOF1:FOT1"/>
    <mergeCell ref="LFX1:LGL1"/>
    <mergeCell ref="PZY1:QAM1"/>
    <mergeCell ref="BBR1:BCF1"/>
    <mergeCell ref="JG1:JU1"/>
    <mergeCell ref="TNC1:TNQ1"/>
    <mergeCell ref="WOS1:WPG1"/>
    <mergeCell ref="FVS1:FWG1"/>
    <mergeCell ref="KPT1:KQH1"/>
    <mergeCell ref="QHL1:QHZ1"/>
    <mergeCell ref="QT1:RH1"/>
    <mergeCell ref="A34:C34"/>
    <mergeCell ref="EKU1:ELI1"/>
    <mergeCell ref="CGV1:CHJ1"/>
    <mergeCell ref="VWG1:VWU1"/>
    <mergeCell ref="KXG1:KXU1"/>
    <mergeCell ref="PRH1:PRV1"/>
    <mergeCell ref="PUE1:PUS1"/>
    <mergeCell ref="ESH1:ESV1"/>
    <mergeCell ref="FNB1:FNP1"/>
    <mergeCell ref="DVF1:DVT1"/>
    <mergeCell ref="HIJ1:HIX1"/>
    <mergeCell ref="GWV1:GXJ1"/>
    <mergeCell ref="EPZ1:EQN1"/>
    <mergeCell ref="PYU1:PZI1"/>
    <mergeCell ref="PBS1:PCG1"/>
    <mergeCell ref="FUO1:FVC1"/>
    <mergeCell ref="UVS1:UWG1"/>
    <mergeCell ref="ECS1:EDG1"/>
    <mergeCell ref="EXM1:EYA1"/>
    <mergeCell ref="LYJ1:LYX1"/>
    <mergeCell ref="JRN1:JSB1"/>
    <mergeCell ref="UDG1:UDU1"/>
    <mergeCell ref="DMO1:DNC1"/>
    <mergeCell ref="JZA1:JZO1"/>
    <mergeCell ref="QZX1:RAL1"/>
    <mergeCell ref="OTB1:OTP1"/>
    <mergeCell ref="DUB1:DUP1"/>
    <mergeCell ref="BNF1:BNT1"/>
    <mergeCell ref="U29:W29"/>
    <mergeCell ref="U23:W23"/>
    <mergeCell ref="TPZ1:TQN1"/>
    <mergeCell ref="CWZ1:CXN1"/>
    <mergeCell ref="IOC1:IOQ1"/>
    <mergeCell ref="U31:W31"/>
    <mergeCell ref="LPS1:LQG1"/>
    <mergeCell ref="JIW1:JJK1"/>
    <mergeCell ref="PAO1:PBC1"/>
    <mergeCell ref="TQ1:UE1"/>
    <mergeCell ref="TUP1:TVD1"/>
    <mergeCell ref="TXM1:TYA1"/>
    <mergeCell ref="DEM1:DFA1"/>
    <mergeCell ref="JQJ1:JQX1"/>
    <mergeCell ref="HYN1:HZB1"/>
    <mergeCell ref="LAD1:LAR1"/>
    <mergeCell ref="ITH1:ITV1"/>
    <mergeCell ref="ONH1:ONV1"/>
    <mergeCell ref="U42:W42"/>
    <mergeCell ref="EVE1:EVS1"/>
    <mergeCell ref="COI1:COW1"/>
    <mergeCell ref="JXW1:JYK1"/>
    <mergeCell ref="QBR1:QCF1"/>
    <mergeCell ref="NUV1:NVJ1"/>
    <mergeCell ref="A45:C45"/>
    <mergeCell ref="TOV1:TPJ1"/>
    <mergeCell ref="CVV1:CWJ1"/>
    <mergeCell ref="JWS1:JXG1"/>
    <mergeCell ref="HPW1:HQK1"/>
    <mergeCell ref="A46:C46"/>
    <mergeCell ref="DDI1:DDW1"/>
    <mergeCell ref="VDF1:VDT1"/>
    <mergeCell ref="SWJ1:SWX1"/>
    <mergeCell ref="CFR1:CGF1"/>
    <mergeCell ref="HXJ1:HXX1"/>
    <mergeCell ref="JHD1:JHR1"/>
    <mergeCell ref="HAH1:HAV1"/>
    <mergeCell ref="MUH1:MUV1"/>
    <mergeCell ref="PTA1:PTO1"/>
    <mergeCell ref="NME1:NMS1"/>
    <mergeCell ref="NPB1:NPP1"/>
    <mergeCell ref="CNE1:CNS1"/>
    <mergeCell ref="IEW1:IFK1"/>
    <mergeCell ref="UNQ1:UOE1"/>
    <mergeCell ref="DWY1:DXM1"/>
    <mergeCell ref="BQC1:BQQ1"/>
    <mergeCell ref="X31:AB31"/>
    <mergeCell ref="NTR1:NUF1"/>
    <mergeCell ref="X39:AB39"/>
    <mergeCell ref="CUR1:CVF1"/>
    <mergeCell ref="PDL1:PDZ1"/>
    <mergeCell ref="X32:AB32"/>
    <mergeCell ref="SQP1:SRD1"/>
    <mergeCell ref="BXP1:BYD1"/>
    <mergeCell ref="R34:S34"/>
    <mergeCell ref="A32:C32"/>
    <mergeCell ref="IYM1:IZA1"/>
    <mergeCell ref="GRQ1:GSE1"/>
    <mergeCell ref="X49:AB49"/>
    <mergeCell ref="U55:W55"/>
    <mergeCell ref="U38:W38"/>
    <mergeCell ref="AMR1:ANF1"/>
    <mergeCell ref="U40:W40"/>
    <mergeCell ref="UEZ1:UFN1"/>
    <mergeCell ref="DOH1:DOV1"/>
    <mergeCell ref="BHL1:BHZ1"/>
    <mergeCell ref="X50:AB50"/>
    <mergeCell ref="GZD1:GZR1"/>
    <mergeCell ref="D25:H25"/>
    <mergeCell ref="OAA1:OAO1"/>
    <mergeCell ref="LTE1:LTS1"/>
    <mergeCell ref="D54:H54"/>
    <mergeCell ref="A16:C16"/>
    <mergeCell ref="SHY1:SIM1"/>
    <mergeCell ref="DVU1:DWI1"/>
    <mergeCell ref="BOY1:BPM1"/>
    <mergeCell ref="QQC1:QQQ1"/>
    <mergeCell ref="A18:C18"/>
    <mergeCell ref="IPV1:IQJ1"/>
    <mergeCell ref="GIZ1:GJN1"/>
    <mergeCell ref="GLW1:GMK1"/>
    <mergeCell ref="MAR1:MBF1"/>
    <mergeCell ref="A47:C47"/>
    <mergeCell ref="PCH1:PCV1"/>
    <mergeCell ref="NKL1:NKZ1"/>
    <mergeCell ref="BWL1:BWZ1"/>
    <mergeCell ref="QXP1:QYD1"/>
    <mergeCell ref="TWI1:TWW1"/>
    <mergeCell ref="TZF1:TZT1"/>
    <mergeCell ref="RSJ1:RSX1"/>
    <mergeCell ref="GQM1:GRA1"/>
    <mergeCell ref="IAG1:IAU1"/>
    <mergeCell ref="LNK1:LNY1"/>
    <mergeCell ref="UDV1:UEJ1"/>
    <mergeCell ref="BVH1:BVV1"/>
    <mergeCell ref="OL1:OZ1"/>
    <mergeCell ref="TGT1:THH1"/>
    <mergeCell ref="WTX1:WUL1"/>
    <mergeCell ref="GDF1:GDT1"/>
    <mergeCell ref="NBU1:NCI1"/>
    <mergeCell ref="QOY1:QPM1"/>
    <mergeCell ref="VY1:WM1"/>
    <mergeCell ref="CXO1:CYC1"/>
    <mergeCell ref="HRP1:HSD1"/>
    <mergeCell ref="LET1:LFH1"/>
    <mergeCell ref="U9:W9"/>
    <mergeCell ref="ADL1:ADZ1"/>
    <mergeCell ref="SDI1:SDW1"/>
    <mergeCell ref="IR1:JF1"/>
    <mergeCell ref="VQM1:VRA1"/>
    <mergeCell ref="SYC1:SYQ1"/>
    <mergeCell ref="HZC1:HZQ1"/>
    <mergeCell ref="X48:AB48"/>
    <mergeCell ref="HCA1:HCO1"/>
    <mergeCell ref="MTD1:MTR1"/>
    <mergeCell ref="KPE1:KPS1"/>
    <mergeCell ref="D52:H52"/>
    <mergeCell ref="TFP1:TGD1"/>
    <mergeCell ref="G65:I65"/>
    <mergeCell ref="RNT1:ROH1"/>
    <mergeCell ref="AXB1:AXP1"/>
    <mergeCell ref="EKF1:EKT1"/>
    <mergeCell ref="A43:C43"/>
    <mergeCell ref="HJN1:HKB1"/>
    <mergeCell ref="NAQ1:NBE1"/>
    <mergeCell ref="D53:H53"/>
    <mergeCell ref="D47:H47"/>
    <mergeCell ref="MDO1:MEC1"/>
    <mergeCell ref="PQS1:PRG1"/>
    <mergeCell ref="FYP1:FZD1"/>
    <mergeCell ref="DRT1:DSH1"/>
    <mergeCell ref="A69:C69"/>
    <mergeCell ref="GTJ1:GTX1"/>
    <mergeCell ref="MLB1:MLP1"/>
    <mergeCell ref="RFC1:RFQ1"/>
    <mergeCell ref="AOK1:AOY1"/>
    <mergeCell ref="USG1:USU1"/>
    <mergeCell ref="HAW1:HBK1"/>
    <mergeCell ref="LUX1:LVL1"/>
    <mergeCell ref="RMP1:RND1"/>
    <mergeCell ref="AVX1:AWL1"/>
    <mergeCell ref="QRV1:QSJ1"/>
    <mergeCell ref="YV1:ZJ1"/>
    <mergeCell ref="WGQ1:WHE1"/>
    <mergeCell ref="UCR1:UDF1"/>
    <mergeCell ref="DLZ1:DMN1"/>
    <mergeCell ref="XEW1:XEZ1"/>
    <mergeCell ref="MCK1:MCY1"/>
    <mergeCell ref="X9:AB9"/>
    <mergeCell ref="X11:AB11"/>
    <mergeCell ref="QZI1:QZW1"/>
    <mergeCell ref="AGI1:AGW1"/>
    <mergeCell ref="WOD1:WOR1"/>
    <mergeCell ref="VTJ1:VTX1"/>
    <mergeCell ref="FAJ1:FAX1"/>
    <mergeCell ref="D21:H21"/>
    <mergeCell ref="INN1:IOB1"/>
    <mergeCell ref="LPD1:LPR1"/>
    <mergeCell ref="D16:H16"/>
    <mergeCell ref="QE1:QS1"/>
    <mergeCell ref="GZS1:HAG1"/>
    <mergeCell ref="WAW1:WBK1"/>
    <mergeCell ref="FHW1:FIK1"/>
    <mergeCell ref="D18:H18"/>
    <mergeCell ref="KBX1:KCL1"/>
    <mergeCell ref="NDN1:NEB1"/>
    <mergeCell ref="KWR1:KXF1"/>
    <mergeCell ref="QQR1:QRF1"/>
    <mergeCell ref="XR1:YF1"/>
    <mergeCell ref="ERS1:ESG1"/>
    <mergeCell ref="PYF1:PYT1"/>
    <mergeCell ref="HN1:IB1"/>
    <mergeCell ref="VSF1:VST1"/>
    <mergeCell ref="EZF1:EZT1"/>
    <mergeCell ref="UVD1:UVR1"/>
    <mergeCell ref="ECD1:ECR1"/>
    <mergeCell ref="JWD1:JWR1"/>
    <mergeCell ref="PA1:PO1"/>
    <mergeCell ref="U27:AI27"/>
    <mergeCell ref="PKY1:PLM1"/>
    <mergeCell ref="RPM1:RQA1"/>
    <mergeCell ref="AYU1:AZI1"/>
    <mergeCell ref="VCQ1:VDE1"/>
    <mergeCell ref="AD8:AH8"/>
    <mergeCell ref="JDR1:JEF1"/>
    <mergeCell ref="WN1:XB1"/>
    <mergeCell ref="OXR1:OYF1"/>
    <mergeCell ref="PSL1:PSZ1"/>
    <mergeCell ref="UMM1:UNA1"/>
    <mergeCell ref="GAI1:GAW1"/>
    <mergeCell ref="DTM1:DUA1"/>
    <mergeCell ref="LDA1:LDO1"/>
    <mergeCell ref="RGV1:RHJ1"/>
    <mergeCell ref="UTZ1:UUN1"/>
    <mergeCell ref="EAZ1:EBN1"/>
    <mergeCell ref="IVA1:IVO1"/>
    <mergeCell ref="NRY1:NSM1"/>
    <mergeCell ref="WIJ1:WIX1"/>
    <mergeCell ref="FRR1:FSF1"/>
    <mergeCell ref="DNS1:DOG1"/>
    <mergeCell ref="JCN1:JDB1"/>
    <mergeCell ref="KMH1:KMV1"/>
    <mergeCell ref="NZL1:NZZ1"/>
    <mergeCell ref="STM1:SUA1"/>
    <mergeCell ref="FCC1:FCQ1"/>
    <mergeCell ref="CVG1:CVU1"/>
    <mergeCell ref="IPG1:IPU1"/>
    <mergeCell ref="TAZ1:TBN1"/>
    <mergeCell ref="QIP1:QJD1"/>
    <mergeCell ref="WCP1:WDD1"/>
    <mergeCell ref="TVT1:TWH1"/>
    <mergeCell ref="HWU1:HXI1"/>
    <mergeCell ref="KDQ1:KEE1"/>
    <mergeCell ref="U39:W39"/>
    <mergeCell ref="NQU1:NRI1"/>
    <mergeCell ref="A20:C20"/>
    <mergeCell ref="MTS1:MUG1"/>
    <mergeCell ref="BRV1:BSJ1"/>
    <mergeCell ref="BUS1:BVG1"/>
    <mergeCell ref="VKD1:VKR1"/>
    <mergeCell ref="ETL1:ETZ1"/>
    <mergeCell ref="CMP1:CND1"/>
    <mergeCell ref="GOT1:GPH1"/>
    <mergeCell ref="PFE1:PFS1"/>
    <mergeCell ref="MYI1:MYW1"/>
    <mergeCell ref="NBF1:NBT1"/>
    <mergeCell ref="SSI1:SSW1"/>
    <mergeCell ref="BZI1:BZW1"/>
    <mergeCell ref="CUC1:CUQ1"/>
    <mergeCell ref="RVG1:RVU1"/>
    <mergeCell ref="EDW1:EEK1"/>
    <mergeCell ref="A33:C33"/>
    <mergeCell ref="HRA1:HRO1"/>
    <mergeCell ref="A35:C35"/>
    <mergeCell ref="OPP1:OQD1"/>
    <mergeCell ref="SCT1:SDH1"/>
    <mergeCell ref="VEJ1:VEX1"/>
    <mergeCell ref="SXN1:SYB1"/>
    <mergeCell ref="ELJ1:ELX1"/>
    <mergeCell ref="WWU1:WXI1"/>
    <mergeCell ref="JFK1:JFY1"/>
    <mergeCell ref="MSO1:MTC1"/>
    <mergeCell ref="TRD1:TRR1"/>
    <mergeCell ref="DAL1:DAZ1"/>
    <mergeCell ref="ATP1:AUD1"/>
    <mergeCell ref="U13:W13"/>
    <mergeCell ref="FQN1:FRB1"/>
    <mergeCell ref="X17:AB17"/>
    <mergeCell ref="OGY1:OHM1"/>
    <mergeCell ref="RUC1:RUQ1"/>
    <mergeCell ref="BBC1:BBQ1"/>
    <mergeCell ref="X19:AB19"/>
    <mergeCell ref="TDW1:TEK1"/>
    <mergeCell ref="IBZ1:ICN1"/>
    <mergeCell ref="FVD1:FVR1"/>
    <mergeCell ref="FYA1:FYO1"/>
    <mergeCell ref="U10:W10"/>
    <mergeCell ref="IWT1:IXH1"/>
    <mergeCell ref="MJX1:MKL1"/>
    <mergeCell ref="TIM1:TJA1"/>
    <mergeCell ref="TLJ1:TLX1"/>
    <mergeCell ref="REN1:RFB1"/>
    <mergeCell ref="ANV1:AOJ1"/>
    <mergeCell ref="JEG1:JEU1"/>
    <mergeCell ref="HMK1:HMY1"/>
    <mergeCell ref="IHE1:IHS1"/>
    <mergeCell ref="OBE1:OBS1"/>
    <mergeCell ref="LUI1:LUW1"/>
    <mergeCell ref="U21:W21"/>
    <mergeCell ref="CCF1:CCT1"/>
    <mergeCell ref="WGB1:WGP1"/>
    <mergeCell ref="D68:F68"/>
    <mergeCell ref="A29:C29"/>
    <mergeCell ref="FPJ1:FPX1"/>
    <mergeCell ref="D67:F67"/>
    <mergeCell ref="A31:C31"/>
    <mergeCell ref="D69:F69"/>
    <mergeCell ref="NIS1:NJG1"/>
    <mergeCell ref="A24:C24"/>
    <mergeCell ref="TCS1:TDG1"/>
    <mergeCell ref="QVW1:QWK1"/>
    <mergeCell ref="AFE1:AFS1"/>
    <mergeCell ref="HDT1:HEH1"/>
    <mergeCell ref="KQX1:KRL1"/>
    <mergeCell ref="WZR1:XAF1"/>
    <mergeCell ref="A50:C50"/>
    <mergeCell ref="SKG1:SKU1"/>
    <mergeCell ref="BTO1:BUC1"/>
    <mergeCell ref="A42:C42"/>
    <mergeCell ref="PP1:QD1"/>
    <mergeCell ref="VXK1:VXY1"/>
    <mergeCell ref="FGS1:FHG1"/>
    <mergeCell ref="IGA1:IGO1"/>
    <mergeCell ref="GOE1:GOS1"/>
    <mergeCell ref="MFH1:MFV1"/>
    <mergeCell ref="MIE1:MIS1"/>
    <mergeCell ref="KBI1:KBW1"/>
    <mergeCell ref="NAB1:NAP1"/>
    <mergeCell ref="X15:AB15"/>
    <mergeCell ref="CBB1:CBP1"/>
    <mergeCell ref="RWZ1:RXN1"/>
    <mergeCell ref="BDZ1:BEN1"/>
    <mergeCell ref="ERD1:ERR1"/>
    <mergeCell ref="X10:AB10"/>
    <mergeCell ref="WRA1:WRO1"/>
    <mergeCell ref="NHO1:NIC1"/>
    <mergeCell ref="D20:H20"/>
    <mergeCell ref="SEM1:SFA1"/>
    <mergeCell ref="BLM1:BMA1"/>
    <mergeCell ref="D22:H22"/>
    <mergeCell ref="WYN1:WZB1"/>
    <mergeCell ref="U24:W24"/>
    <mergeCell ref="GFN1:GGB1"/>
    <mergeCell ref="JSR1:JTF1"/>
    <mergeCell ref="X34:AB34"/>
    <mergeCell ref="D13:H13"/>
    <mergeCell ref="X30:AB30"/>
    <mergeCell ref="U19:W19"/>
    <mergeCell ref="ROI1:ROW1"/>
    <mergeCell ref="AVI1:AVW1"/>
    <mergeCell ref="X29:AB29"/>
    <mergeCell ref="PWM1:PXA1"/>
    <mergeCell ref="UZE1:UZS1"/>
    <mergeCell ref="GNA1:GNO1"/>
    <mergeCell ref="FSG1:FSU1"/>
    <mergeCell ref="LHB1:LHP1"/>
    <mergeCell ref="X54:AB54"/>
    <mergeCell ref="D65:F65"/>
    <mergeCell ref="D33:H33"/>
    <mergeCell ref="OUF1:OUT1"/>
    <mergeCell ref="RVV1:RWJ1"/>
    <mergeCell ref="BCV1:BDJ1"/>
    <mergeCell ref="X56:AB56"/>
    <mergeCell ref="D35:H35"/>
    <mergeCell ref="QDZ1:QEN1"/>
    <mergeCell ref="QYT1:QZH1"/>
    <mergeCell ref="U37:W37"/>
    <mergeCell ref="WPW1:WQK1"/>
    <mergeCell ref="FWW1:FXK1"/>
    <mergeCell ref="FZT1:GAH1"/>
    <mergeCell ref="U47:W47"/>
    <mergeCell ref="LOO1:LPC1"/>
    <mergeCell ref="KTU1:KUI1"/>
    <mergeCell ref="RGG1:RGU1"/>
    <mergeCell ref="WXJ1:WXX1"/>
    <mergeCell ref="GEJ1:GEX1"/>
    <mergeCell ref="WAH1:WAV1"/>
    <mergeCell ref="LBH1:LBV1"/>
    <mergeCell ref="PVI1:PVW1"/>
    <mergeCell ref="CI1:CW1"/>
    <mergeCell ref="CPM1:CQA1"/>
    <mergeCell ref="CDY1:CEM1"/>
    <mergeCell ref="XC1:XQ1"/>
    <mergeCell ref="WHU1:WII1"/>
    <mergeCell ref="A66:C66"/>
    <mergeCell ref="FRC1:FRQ1"/>
    <mergeCell ref="QCV1:QDJ1"/>
    <mergeCell ref="NVZ1:NWN1"/>
    <mergeCell ref="JV1:KJ1"/>
    <mergeCell ref="UWW1:UXK1"/>
    <mergeCell ref="VRQ1:VSE1"/>
    <mergeCell ref="EYQ1:EZE1"/>
    <mergeCell ref="TZU1:UAI1"/>
    <mergeCell ref="KSQ1:KTE1"/>
    <mergeCell ref="JVO1:JWC1"/>
    <mergeCell ref="SLZ1:SMN1"/>
    <mergeCell ref="VZD1:VZR1"/>
    <mergeCell ref="UHH1:UHV1"/>
    <mergeCell ref="VCB1:VCP1"/>
    <mergeCell ref="KAE1:KAS1"/>
    <mergeCell ref="KDB1:KDP1"/>
    <mergeCell ref="BE1:BS1"/>
    <mergeCell ref="X52:AB52"/>
    <mergeCell ref="D31:H31"/>
    <mergeCell ref="OXC1:OXQ1"/>
    <mergeCell ref="DYC1:DYQ1"/>
    <mergeCell ref="A22:C22"/>
    <mergeCell ref="VJO1:VKC1"/>
    <mergeCell ref="ESW1:ETK1"/>
    <mergeCell ref="X53:AB53"/>
    <mergeCell ref="D32:H32"/>
    <mergeCell ref="X47:AB47"/>
    <mergeCell ref="JMX1:JNL1"/>
    <mergeCell ref="X55:AB55"/>
    <mergeCell ref="X38:AB38"/>
    <mergeCell ref="PEP1:PFD1"/>
    <mergeCell ref="TYQ1:TZE1"/>
    <mergeCell ref="DFQ1:DGE1"/>
    <mergeCell ref="D42:H42"/>
    <mergeCell ref="GHG1:GHU1"/>
    <mergeCell ref="JUK1:JUY1"/>
    <mergeCell ref="D50:H50"/>
    <mergeCell ref="D44:H44"/>
    <mergeCell ref="OOL1:OOZ1"/>
    <mergeCell ref="UGD1:UGR1"/>
    <mergeCell ref="U56:W56"/>
    <mergeCell ref="D45:H45"/>
    <mergeCell ref="U7:AI7"/>
    <mergeCell ref="VAX1:VBL1"/>
    <mergeCell ref="CSJ1:CSX1"/>
    <mergeCell ref="LIU1:LJI1"/>
    <mergeCell ref="OVY1:OWM1"/>
    <mergeCell ref="A68:C68"/>
    <mergeCell ref="QFS1:QGG1"/>
    <mergeCell ref="NYW1:NZK1"/>
    <mergeCell ref="CZW1:DAK1"/>
    <mergeCell ref="JLT1:JMH1"/>
    <mergeCell ref="HTX1:HUL1"/>
    <mergeCell ref="QKI1:QKW1"/>
    <mergeCell ref="QNF1:QNT1"/>
    <mergeCell ref="OGJ1:OGX1"/>
    <mergeCell ref="VHG1:VHU1"/>
    <mergeCell ref="TAK1:TAY1"/>
    <mergeCell ref="IBK1:IBY1"/>
    <mergeCell ref="IWE1:IWS1"/>
    <mergeCell ref="AD28:AH28"/>
    <mergeCell ref="EB1:EP1"/>
    <mergeCell ref="THX1:TIL1"/>
    <mergeCell ref="CRF1:CRT1"/>
    <mergeCell ref="KKO1:KLC1"/>
    <mergeCell ref="QEO1:QFC1"/>
    <mergeCell ref="NXS1:NYG1"/>
    <mergeCell ref="EFP1:EGD1"/>
    <mergeCell ref="BYT1:BZH1"/>
    <mergeCell ref="HST1:HTH1"/>
    <mergeCell ref="UBN1:UCB1"/>
    <mergeCell ref="GVR1:GWF1"/>
    <mergeCell ref="PMC1:PMQ1"/>
    <mergeCell ref="VGC1:VGQ1"/>
    <mergeCell ref="D41:H41"/>
    <mergeCell ref="SZG1:SZU1"/>
    <mergeCell ref="UJA1:UJO1"/>
    <mergeCell ref="D43:H43"/>
    <mergeCell ref="DQA1:DQO1"/>
    <mergeCell ref="HDE1:HDS1"/>
    <mergeCell ref="LXF1:LXT1"/>
    <mergeCell ref="OYV1:OZJ1"/>
    <mergeCell ref="UQN1:URB1"/>
    <mergeCell ref="SJR1:SKF1"/>
    <mergeCell ref="BSZ1:BTN1"/>
    <mergeCell ref="G66:I66"/>
    <mergeCell ref="KJK1:KJY1"/>
    <mergeCell ref="XDS1:XEG1"/>
    <mergeCell ref="IRO1:ISC1"/>
    <mergeCell ref="MES1:MFG1"/>
    <mergeCell ref="G68:I68"/>
    <mergeCell ref="PGI1:PGW1"/>
    <mergeCell ref="MZM1:NAA1"/>
    <mergeCell ref="R7:S7"/>
    <mergeCell ref="UAJ1:UAX1"/>
    <mergeCell ref="DHJ1:DHX1"/>
    <mergeCell ref="GUN1:GVB1"/>
    <mergeCell ref="UHW1:UIK1"/>
    <mergeCell ref="SBA1:SBO1"/>
    <mergeCell ref="BKI1:BKW1"/>
    <mergeCell ref="SM1:TA1"/>
    <mergeCell ref="IIX1:IJL1"/>
    <mergeCell ref="J8:N8"/>
    <mergeCell ref="LWB1:LWP1"/>
    <mergeCell ref="A41:C41"/>
    <mergeCell ref="NFV1:NGJ1"/>
    <mergeCell ref="CYS1:CZG1"/>
    <mergeCell ref="RZW1:SAK1"/>
    <mergeCell ref="DBP1:DCD1"/>
    <mergeCell ref="XCO1:XDC1"/>
    <mergeCell ref="AUT1:AVH1"/>
    <mergeCell ref="SUQ1:SVE1"/>
    <mergeCell ref="NNI1:NNW1"/>
    <mergeCell ref="LGM1:LHA1"/>
    <mergeCell ref="OFF1:OFT1"/>
    <mergeCell ref="DGF1:DGT1"/>
    <mergeCell ref="SHJ1:SHX1"/>
    <mergeCell ref="QAN1:QBB1"/>
    <mergeCell ref="TCD1:TCR1"/>
    <mergeCell ref="CJD1:CJR1"/>
    <mergeCell ref="IDD1:IDR1"/>
    <mergeCell ref="FWH1:FWV1"/>
    <mergeCell ref="RI1:RW1"/>
    <mergeCell ref="TJQ1:TKE1"/>
    <mergeCell ref="HKR1:HLF1"/>
    <mergeCell ref="NER1:NFF1"/>
    <mergeCell ref="KXV1:KYJ1"/>
    <mergeCell ref="BFS1:BGG1"/>
    <mergeCell ref="BT1:CH1"/>
    <mergeCell ref="U35:W35"/>
    <mergeCell ref="CAM1:CBA1"/>
    <mergeCell ref="RBQ1:RCE1"/>
    <mergeCell ref="X45:AB45"/>
    <mergeCell ref="U34:W34"/>
    <mergeCell ref="GCQ1:GDE1"/>
    <mergeCell ref="GXK1:GXY1"/>
    <mergeCell ref="MMF1:MMT1"/>
    <mergeCell ref="U36:W36"/>
    <mergeCell ref="U30:W30"/>
    <mergeCell ref="SGF1:SGT1"/>
    <mergeCell ref="PZJ1:PZX1"/>
    <mergeCell ref="X46:AB46"/>
    <mergeCell ref="LRL1:LRZ1"/>
    <mergeCell ref="CHZ1:CIN1"/>
    <mergeCell ref="RJD1:RJR1"/>
    <mergeCell ref="A27:O27"/>
    <mergeCell ref="A12:C12"/>
    <mergeCell ref="WDE1:WDS1"/>
    <mergeCell ref="HEX1:HFL1"/>
    <mergeCell ref="A14:C14"/>
    <mergeCell ref="LYY1:LZM1"/>
    <mergeCell ref="U54:W54"/>
    <mergeCell ref="RQQ1:RRE1"/>
    <mergeCell ref="SLK1:SLY1"/>
    <mergeCell ref="QSZ1:QTN1"/>
    <mergeCell ref="MGL1:MGZ1"/>
    <mergeCell ref="JZP1:KAD1"/>
    <mergeCell ref="RAM1:RBA1"/>
    <mergeCell ref="AHM1:AIA1"/>
    <mergeCell ref="DUQ1:DVE1"/>
    <mergeCell ref="A25:C25"/>
    <mergeCell ref="VUN1:VVB1"/>
    <mergeCell ref="GWG1:GWU1"/>
    <mergeCell ref="FEK1:FEY1"/>
    <mergeCell ref="LQH1:LQV1"/>
    <mergeCell ref="JYL1:JYZ1"/>
    <mergeCell ref="RHZ1:RIN1"/>
    <mergeCell ref="PBD1:PBR1"/>
    <mergeCell ref="AOZ1:APN1"/>
    <mergeCell ref="QKX1:QLL1"/>
    <mergeCell ref="UF1:UT1"/>
    <mergeCell ref="WCA1:WCO1"/>
    <mergeCell ref="FJA1:FJO1"/>
    <mergeCell ref="FLX1:FML1"/>
    <mergeCell ref="DFB1:DFP1"/>
    <mergeCell ref="VEY1:VFM1"/>
    <mergeCell ref="LXU1:LYI1"/>
    <mergeCell ref="LAS1:LBG1"/>
    <mergeCell ref="QSK1:QSY1"/>
    <mergeCell ref="ABS1:ACG1"/>
    <mergeCell ref="WJN1:WKB1"/>
    <mergeCell ref="XEH1:XEV1"/>
    <mergeCell ref="VML1:VMZ1"/>
    <mergeCell ref="EVT1:EWH1"/>
    <mergeCell ref="WHF1:WHT1"/>
    <mergeCell ref="LIF1:LIT1"/>
    <mergeCell ref="QCG1:QCU1"/>
    <mergeCell ref="VTY1:VUM1"/>
    <mergeCell ref="FDG1:FDU1"/>
    <mergeCell ref="CWK1:CWY1"/>
    <mergeCell ref="D48:H48"/>
    <mergeCell ref="A10:C10"/>
    <mergeCell ref="JXH1:JXV1"/>
    <mergeCell ref="KSB1:KSP1"/>
    <mergeCell ref="JAF1:JAT1"/>
    <mergeCell ref="QJT1:QKH1"/>
    <mergeCell ref="A39:C39"/>
    <mergeCell ref="TB1:TP1"/>
    <mergeCell ref="VDU1:VEI1"/>
    <mergeCell ref="U45:W45"/>
    <mergeCell ref="KEU1:KFI1"/>
    <mergeCell ref="HXY1:HYM1"/>
    <mergeCell ref="D51:H51"/>
    <mergeCell ref="KZO1:LAC1"/>
    <mergeCell ref="JHS1:JIG1"/>
    <mergeCell ref="PTP1:PUD1"/>
    <mergeCell ref="D66:F66"/>
    <mergeCell ref="AP1:BD1"/>
    <mergeCell ref="A21:C21"/>
    <mergeCell ref="VLH1:VLV1"/>
    <mergeCell ref="EUP1:EVD1"/>
    <mergeCell ref="RDJ1:RDX1"/>
    <mergeCell ref="A23:C23"/>
    <mergeCell ref="WVB1:WVP1"/>
    <mergeCell ref="UOF1:UOT1"/>
    <mergeCell ref="DXN1:DYB1"/>
    <mergeCell ref="JPF1:JPT1"/>
    <mergeCell ref="MNY1:MOM1"/>
    <mergeCell ref="A52:C52"/>
    <mergeCell ref="QBC1:QBQ1"/>
    <mergeCell ref="RKW1:RLK1"/>
    <mergeCell ref="PEA1:PEO1"/>
    <mergeCell ref="EFA1:EFO1"/>
    <mergeCell ref="A49:C49"/>
    <mergeCell ref="WEX1:WFL1"/>
    <mergeCell ref="IZB1:IZP1"/>
    <mergeCell ref="X12:AB12"/>
    <mergeCell ref="PLN1:PMB1"/>
    <mergeCell ref="WMK1:WMY1"/>
    <mergeCell ref="UFO1:UGC1"/>
    <mergeCell ref="DOW1:DPK1"/>
    <mergeCell ref="X13:AB13"/>
    <mergeCell ref="JGO1:JHC1"/>
    <mergeCell ref="OAP1:OBD1"/>
    <mergeCell ref="D17:H17"/>
    <mergeCell ref="RCF1:RCT1"/>
    <mergeCell ref="AJF1:AJT1"/>
    <mergeCell ref="PKJ1:PKX1"/>
    <mergeCell ref="UNB1:UNP1"/>
    <mergeCell ref="DWJ1:DWX1"/>
    <mergeCell ref="IQK1:IQY1"/>
    <mergeCell ref="D12:H12"/>
    <mergeCell ref="OIC1:OIQ1"/>
    <mergeCell ref="X25:AB25"/>
    <mergeCell ref="RJS1:RKG1"/>
    <mergeCell ref="PCW1:PDK1"/>
    <mergeCell ref="D14:H14"/>
    <mergeCell ref="PRW1:PSK1"/>
    <mergeCell ref="NLA1:NLO1"/>
    <mergeCell ref="U16:W16"/>
    <mergeCell ref="WDT1:WEH1"/>
    <mergeCell ref="TWX1:TXL1"/>
    <mergeCell ref="FKT1:FLH1"/>
    <mergeCell ref="DGU1:DHI1"/>
    <mergeCell ref="IXX1:IYL1"/>
    <mergeCell ref="VGR1:VHF1"/>
    <mergeCell ref="KHR1:KIF1"/>
    <mergeCell ref="IAV1:IBJ1"/>
    <mergeCell ref="AAO1:ABC1"/>
    <mergeCell ref="WLG1:WLU1"/>
    <mergeCell ref="UEK1:UEY1"/>
    <mergeCell ref="BVW1:BWK1"/>
    <mergeCell ref="VOE1:VOS1"/>
    <mergeCell ref="THI1:THW1"/>
    <mergeCell ref="III1:IIW1"/>
    <mergeCell ref="PJF1:PJT1"/>
    <mergeCell ref="NCJ1:NCX1"/>
    <mergeCell ref="A1:O1"/>
    <mergeCell ref="KZ1:LN1"/>
    <mergeCell ref="VVR1:VWF1"/>
    <mergeCell ref="FEZ1:FFN1"/>
    <mergeCell ref="CYD1:CYR1"/>
    <mergeCell ref="UYA1:UYO1"/>
    <mergeCell ref="NJW1:NKK1"/>
    <mergeCell ref="QLM1:QMA1"/>
    <mergeCell ref="OEQ1:OFE1"/>
    <mergeCell ref="UKT1:ULH1"/>
    <mergeCell ref="SDX1:SEL1"/>
    <mergeCell ref="VFN1:VGB1"/>
    <mergeCell ref="EMN1:ENB1"/>
    <mergeCell ref="TNR1:TOF1"/>
    <mergeCell ref="KGN1:KHB1"/>
    <mergeCell ref="HZR1:IAF1"/>
    <mergeCell ref="ODM1:OEA1"/>
    <mergeCell ref="D15:H15"/>
    <mergeCell ref="VNA1:VNO1"/>
    <mergeCell ref="TGE1:TGS1"/>
    <mergeCell ref="AXQ1:AYE1"/>
    <mergeCell ref="UPY1:UQM1"/>
    <mergeCell ref="JOB1:JOP1"/>
    <mergeCell ref="JQY1:JRM1"/>
    <mergeCell ref="HKC1:HKQ1"/>
    <mergeCell ref="PIB1:PIP1"/>
    <mergeCell ref="D10:H10"/>
    <mergeCell ref="OKZ1:OLN1"/>
    <mergeCell ref="MED1:MER1"/>
    <mergeCell ref="BFD1:BFR1"/>
    <mergeCell ref="UXL1:UXZ1"/>
    <mergeCell ref="TFA1:TFO1"/>
    <mergeCell ref="EGT1:EHH1"/>
    <mergeCell ref="BZX1:CAL1"/>
    <mergeCell ref="JAU1:JBI1"/>
    <mergeCell ref="OSM1:OTA1"/>
    <mergeCell ref="MLQ1:MME1"/>
    <mergeCell ref="TMN1:TNB1"/>
    <mergeCell ref="RFR1:RGF1"/>
    <mergeCell ref="CTN1:CUB1"/>
    <mergeCell ref="D30:H30"/>
    <mergeCell ref="JIH1:JIV1"/>
    <mergeCell ref="D29:H29"/>
    <mergeCell ref="HBL1:HBZ1"/>
    <mergeCell ref="X44:AB44"/>
    <mergeCell ref="D23:H23"/>
    <mergeCell ref="OCI1:OCW1"/>
    <mergeCell ref="TUA1:TUO1"/>
    <mergeCell ref="RNE1:RNS1"/>
    <mergeCell ref="AWM1:AXA1"/>
    <mergeCell ref="NFG1:NFU1"/>
    <mergeCell ref="UOU1:UPI1"/>
    <mergeCell ref="CGG1:CGU1"/>
    <mergeCell ref="D49:H49"/>
    <mergeCell ref="OJV1:OKJ1"/>
    <mergeCell ref="MCZ1:MDN1"/>
    <mergeCell ref="NMT1:NNH1"/>
    <mergeCell ref="CKW1:CLK1"/>
    <mergeCell ref="CNT1:COH1"/>
    <mergeCell ref="AGX1:AHL1"/>
    <mergeCell ref="SGU1:SHI1"/>
    <mergeCell ref="IZQ1:JAE1"/>
    <mergeCell ref="GSU1:GTI1"/>
    <mergeCell ref="HHU1:HII1"/>
    <mergeCell ref="FAY1:FBM1"/>
    <mergeCell ref="ICO1:IDC1"/>
    <mergeCell ref="NUG1:NUU1"/>
    <mergeCell ref="MBV1:MCJ1"/>
    <mergeCell ref="MWP1:MXD1"/>
    <mergeCell ref="SOH1:SOV1"/>
    <mergeCell ref="HPH1:HPV1"/>
    <mergeCell ref="FIL1:FIZ1"/>
    <mergeCell ref="U53:W53"/>
    <mergeCell ref="IKB1:IKP1"/>
    <mergeCell ref="NEC1:NEQ1"/>
    <mergeCell ref="SVU1:SWI1"/>
    <mergeCell ref="CFC1:CFQ1"/>
    <mergeCell ref="YG1:YU1"/>
    <mergeCell ref="RYD1:RYR1"/>
    <mergeCell ref="GCB1:GCP1"/>
    <mergeCell ref="NLP1:NMD1"/>
    <mergeCell ref="SFQ1:SGE1"/>
    <mergeCell ref="BMQ1:BNE1"/>
    <mergeCell ref="HGQ1:HHE1"/>
    <mergeCell ref="EZU1:FAI1"/>
    <mergeCell ref="TPK1:TPY1"/>
    <mergeCell ref="RIO1:RJC1"/>
    <mergeCell ref="ARW1:ASK1"/>
    <mergeCell ref="GJO1:GKC1"/>
    <mergeCell ref="MVL1:MVZ1"/>
    <mergeCell ref="LDP1:LED1"/>
    <mergeCell ref="SND1:SNR1"/>
    <mergeCell ref="RQB1:RQP1"/>
    <mergeCell ref="AZJ1:AZX1"/>
    <mergeCell ref="GRB1:GRP1"/>
    <mergeCell ref="WKC1:WKQ1"/>
    <mergeCell ref="FTK1:FTY1"/>
    <mergeCell ref="NCY1:NDM1"/>
    <mergeCell ref="LLC1:LLQ1"/>
    <mergeCell ref="OMS1:ONG1"/>
    <mergeCell ref="MFW1:MGK1"/>
    <mergeCell ref="RXO1:RYC1"/>
    <mergeCell ref="BGW1:BHK1"/>
    <mergeCell ref="AA1:AO1"/>
    <mergeCell ref="WRP1:WSD1"/>
    <mergeCell ref="GAX1:GBL1"/>
    <mergeCell ref="J64:N64"/>
    <mergeCell ref="MNJ1:MNX1"/>
    <mergeCell ref="KUY1:KVM1"/>
    <mergeCell ref="TOG1:TOU1"/>
    <mergeCell ref="RHK1:RHY1"/>
    <mergeCell ref="AQS1:ARG1"/>
    <mergeCell ref="U18:W18"/>
    <mergeCell ref="WZC1:WZQ1"/>
    <mergeCell ref="GIK1:GIY1"/>
    <mergeCell ref="EBO1:ECC1"/>
    <mergeCell ref="WBL1:WBZ1"/>
    <mergeCell ref="U51:W51"/>
    <mergeCell ref="LCL1:LCZ1"/>
    <mergeCell ref="KFJ1:KFX1"/>
    <mergeCell ref="ROX1:RPL1"/>
    <mergeCell ref="AYF1:AYT1"/>
    <mergeCell ref="GJ1:GX1"/>
    <mergeCell ref="ABD1:ABR1"/>
    <mergeCell ref="WIY1:WJM1"/>
    <mergeCell ref="LJY1:LKM1"/>
    <mergeCell ref="JDC1:JDQ1"/>
    <mergeCell ref="VLW1:VMK1"/>
    <mergeCell ref="KMW1:KNK1"/>
    <mergeCell ref="PGX1:PHL1"/>
    <mergeCell ref="AIQ1:AJE1"/>
    <mergeCell ref="WQL1:WQZ1"/>
    <mergeCell ref="SIN1:SJB1"/>
    <mergeCell ref="FCR1:FDF1"/>
    <mergeCell ref="KUJ1:KUX1"/>
    <mergeCell ref="A38:C38"/>
    <mergeCell ref="NTC1:NTQ1"/>
    <mergeCell ref="POK1:POY1"/>
    <mergeCell ref="A40:C40"/>
    <mergeCell ref="A67:C67"/>
    <mergeCell ref="SQA1:SQO1"/>
    <mergeCell ref="QJE1:QJS1"/>
    <mergeCell ref="FKE1:FKS1"/>
    <mergeCell ref="KEF1:KET1"/>
    <mergeCell ref="FF1:FT1"/>
    <mergeCell ref="OYG1:OYU1"/>
    <mergeCell ref="ZZ1:AAN1"/>
    <mergeCell ref="DZG1:DZU1"/>
    <mergeCell ref="VKS1:VLG1"/>
    <mergeCell ref="EUA1:EUO1"/>
    <mergeCell ref="DCE1:DCS1"/>
    <mergeCell ref="KLS1:KMG1"/>
    <mergeCell ref="GDU1:GEI1"/>
    <mergeCell ref="PFT1:PGH1"/>
    <mergeCell ref="U20:W20"/>
    <mergeCell ref="U14:W14"/>
    <mergeCell ref="A63:O63"/>
    <mergeCell ref="BOJ1:BOX1"/>
    <mergeCell ref="X24:AB24"/>
    <mergeCell ref="QPN1:QQB1"/>
    <mergeCell ref="OIR1:OJF1"/>
    <mergeCell ref="FBN1:FCB1"/>
    <mergeCell ref="U22:W22"/>
    <mergeCell ref="XBK1:XBY1"/>
    <mergeCell ref="GLH1:GLV1"/>
    <mergeCell ref="EEL1:EEZ1"/>
    <mergeCell ref="U15:W15"/>
    <mergeCell ref="PNG1:PNU1"/>
    <mergeCell ref="LFI1:LFW1"/>
    <mergeCell ref="SOW1:SPK1"/>
    <mergeCell ref="QIA1:QIO1"/>
    <mergeCell ref="QXA1:QXO1"/>
    <mergeCell ref="OQE1:OQS1"/>
    <mergeCell ref="RRU1:RSI1"/>
    <mergeCell ref="GPX1:GQL1"/>
    <mergeCell ref="VRB1:VRP1"/>
    <mergeCell ref="TKF1:TKT1"/>
    <mergeCell ref="ELY1:EMM1"/>
    <mergeCell ref="WLV1:WMJ1"/>
    <mergeCell ref="LMV1:LNJ1"/>
    <mergeCell ref="JFZ1:JGN1"/>
    <mergeCell ref="U33:W33"/>
    <mergeCell ref="X37:AB37"/>
    <mergeCell ref="RZH1:RZV1"/>
    <mergeCell ref="QGW1:QHK1"/>
    <mergeCell ref="DBA1:DBO1"/>
    <mergeCell ref="WTI1:WTW1"/>
    <mergeCell ref="A9:C9"/>
    <mergeCell ref="JNM1:JOA1"/>
    <mergeCell ref="HVB1:HVP1"/>
    <mergeCell ref="A36:C36"/>
    <mergeCell ref="A11:C11"/>
    <mergeCell ref="QOJ1:QOX1"/>
    <mergeCell ref="OHN1:OIB1"/>
    <mergeCell ref="DIN1:DJB1"/>
    <mergeCell ref="A65:C65"/>
    <mergeCell ref="VIK1:VIY1"/>
    <mergeCell ref="XAV1:XBJ1"/>
    <mergeCell ref="GKD1:GKR1"/>
    <mergeCell ref="EDH1:EDV1"/>
    <mergeCell ref="CLL1:CLZ1"/>
    <mergeCell ref="LEE1:LES1"/>
    <mergeCell ref="IXI1:IXW1"/>
    <mergeCell ref="OPA1:OPO1"/>
    <mergeCell ref="KHC1:KHQ1"/>
    <mergeCell ref="IC1:IQ1"/>
    <mergeCell ref="VPX1:VQL1"/>
    <mergeCell ref="TJB1:TJP1"/>
    <mergeCell ref="CSY1:CTM1"/>
    <mergeCell ref="WKR1:WLF1"/>
    <mergeCell ref="USV1:UTJ1"/>
    <mergeCell ref="LLR1:LMF1"/>
    <mergeCell ref="JEV1:JFJ1"/>
    <mergeCell ref="KOP1:KPD1"/>
    <mergeCell ref="IHT1:IIH1"/>
    <mergeCell ref="MS1:NG1"/>
    <mergeCell ref="TQO1:TRC1"/>
    <mergeCell ref="PIQ1:PJE1"/>
    <mergeCell ref="WSE1:WSS1"/>
    <mergeCell ref="CCU1:CDI1"/>
    <mergeCell ref="VAI1:VAW1"/>
    <mergeCell ref="X22:AB22"/>
    <mergeCell ref="EJQ1:EKE1"/>
    <mergeCell ref="VVC1:VVQ1"/>
    <mergeCell ref="KWC1:KWQ1"/>
    <mergeCell ref="PQD1:PQR1"/>
    <mergeCell ref="NJH1:NJV1"/>
    <mergeCell ref="CKH1:CKV1"/>
    <mergeCell ref="UKE1:UKS1"/>
    <mergeCell ref="JLE1:JLS1"/>
    <mergeCell ref="HEI1:HEW1"/>
    <mergeCell ref="KFY1:KGM1"/>
    <mergeCell ref="X33:AB33"/>
    <mergeCell ref="PXQ1:PYE1"/>
    <mergeCell ref="GY1:HM1"/>
    <mergeCell ref="OZZ1:PAN1"/>
    <mergeCell ref="X41:AB41"/>
    <mergeCell ref="X35:AB35"/>
    <mergeCell ref="URR1:USF1"/>
    <mergeCell ref="SKV1:SLJ1"/>
    <mergeCell ref="BUD1:BUR1"/>
    <mergeCell ref="X51:AB51"/>
    <mergeCell ref="HLV1:HMJ1"/>
    <mergeCell ref="DDX1:DEL1"/>
    <mergeCell ref="KNL1:KNZ1"/>
    <mergeCell ref="IGP1:IHD1"/>
    <mergeCell ref="IVP1:IWD1"/>
    <mergeCell ref="X36:AB36"/>
    <mergeCell ref="PHM1:PIA1"/>
    <mergeCell ref="EIM1:EJA1"/>
    <mergeCell ref="CBQ1:CCE1"/>
    <mergeCell ref="D46:H46"/>
    <mergeCell ref="QRG1:QRU1"/>
    <mergeCell ref="D40:H40"/>
    <mergeCell ref="OKK1:OKY1"/>
    <mergeCell ref="UCC1:UCQ1"/>
    <mergeCell ref="DLK1:DLY1"/>
    <mergeCell ref="BEO1:BFC1"/>
    <mergeCell ref="U52:W52"/>
    <mergeCell ref="IFL1:IFZ1"/>
    <mergeCell ref="POZ1:PPN1"/>
    <mergeCell ref="NID1:NIR1"/>
    <mergeCell ref="ORX1:OSL1"/>
    <mergeCell ref="DSX1:DTL1"/>
    <mergeCell ref="BMB1:BMP1"/>
    <mergeCell ref="VSU1:VTI1"/>
    <mergeCell ref="TLY1:TMM1"/>
    <mergeCell ref="IMY1:INM1"/>
    <mergeCell ref="GGC1:GGQ1"/>
    <mergeCell ref="OZK1:OZY1"/>
    <mergeCell ref="NGZ1:NHN1"/>
    <mergeCell ref="OBT1:OCH1"/>
    <mergeCell ref="TTL1:TTZ1"/>
    <mergeCell ref="DCT1:DDH1"/>
    <mergeCell ref="IUL1:IUZ1"/>
    <mergeCell ref="GNP1:GOD1"/>
    <mergeCell ref="NOM1:NPA1"/>
    <mergeCell ref="LHQ1:LIE1"/>
    <mergeCell ref="OJG1:OJU1"/>
    <mergeCell ref="MRK1:MRY1"/>
    <mergeCell ref="UAY1:UBM1"/>
    <mergeCell ref="DKG1:DKU1"/>
    <mergeCell ref="BDK1:BDY1"/>
    <mergeCell ref="TDH1:TDV1"/>
    <mergeCell ref="IEH1:IEV1"/>
    <mergeCell ref="HHF1:HHT1"/>
    <mergeCell ref="OQT1:ORH1"/>
    <mergeCell ref="TKU1:TLI1"/>
  </mergeCells>
  <pageMargins left="0.7" right="0.7" top="0.75" bottom="0.75" header="0.3" footer="0.3"/>
  <pageSetup orientation="landscape" scale="10" fitToHeight="0" verticalDpi="1200"/>
  <colBreaks count="1" manualBreakCount="1">
    <brk id="15" min="0" max="1048575" man="1"/>
  </colBreaks>
</worksheet>
</file>

<file path=xl/worksheets/sheet6.xml><?xml version="1.0" encoding="utf-8"?>
<worksheet xmlns="http://schemas.openxmlformats.org/spreadsheetml/2006/main">
  <sheetPr>
    <outlinePr summaryBelow="1" summaryRight="1"/>
    <pageSetUpPr fitToPage="1"/>
  </sheetPr>
  <dimension ref="A1:Z48"/>
  <sheetViews>
    <sheetView tabSelected="1" topLeftCell="A9" zoomScale="70" zoomScaleNormal="70" workbookViewId="0">
      <selection activeCell="E49" sqref="E49"/>
    </sheetView>
  </sheetViews>
  <sheetFormatPr baseColWidth="8" defaultRowHeight="15"/>
  <cols>
    <col width="14.85546875" bestFit="1" customWidth="1" min="1" max="1"/>
    <col width="15" customWidth="1" min="3" max="3"/>
    <col width="19.85546875" bestFit="1" customWidth="1" min="4" max="4"/>
    <col width="9.28515625" customWidth="1" min="5" max="5"/>
    <col width="11.28515625" bestFit="1" customWidth="1" min="9" max="9"/>
    <col width="17.7109375" customWidth="1" min="10" max="10"/>
    <col width="13.7109375" customWidth="1" min="11" max="11"/>
    <col width="19.5703125" customWidth="1" min="12" max="12"/>
    <col width="24.140625" customWidth="1" min="13" max="13"/>
    <col width="14.85546875" bestFit="1" customWidth="1" min="16" max="17"/>
    <col width="9.7109375" customWidth="1" min="18" max="18"/>
    <col width="14.7109375" bestFit="1" customWidth="1" min="19" max="19"/>
    <col width="16.7109375" customWidth="1" min="20" max="20"/>
    <col width="16.42578125" customWidth="1" min="22" max="22"/>
    <col width="17.85546875" customWidth="1" min="23" max="23"/>
    <col width="8" customWidth="1" min="24" max="24"/>
  </cols>
  <sheetData>
    <row r="1" ht="15.75" customHeight="1" thickBot="1">
      <c r="A1" s="222" t="inlineStr">
        <is>
          <t>Canister</t>
        </is>
      </c>
      <c r="B1" s="224" t="inlineStr">
        <is>
          <t>Dilution ratio</t>
        </is>
      </c>
      <c r="C1" s="223" t="inlineStr">
        <is>
          <t>propane conc (ppmV)</t>
        </is>
      </c>
      <c r="D1" s="224" t="inlineStr">
        <is>
          <t>toluene conc (ppmV)</t>
        </is>
      </c>
      <c r="J1" s="224" t="inlineStr">
        <is>
          <t>Canister</t>
        </is>
      </c>
      <c r="K1" s="224" t="inlineStr">
        <is>
          <t>Dilution ratio</t>
        </is>
      </c>
      <c r="L1" s="224" t="inlineStr">
        <is>
          <t>propane conc (ppmV)</t>
        </is>
      </c>
      <c r="M1" s="224" t="inlineStr">
        <is>
          <t>toluene conc (ppmV)</t>
        </is>
      </c>
    </row>
    <row r="2">
      <c r="A2" s="237" t="inlineStr">
        <is>
          <t>CC524930-0626</t>
        </is>
      </c>
      <c r="B2" s="232" t="n">
        <v>0.00148</v>
      </c>
      <c r="C2" t="n">
        <v>0.34</v>
      </c>
      <c r="D2" s="209" t="n">
        <v>0.146</v>
      </c>
      <c r="E2" s="233" t="n"/>
      <c r="I2" s="233" t="n"/>
      <c r="J2" s="209" t="inlineStr">
        <is>
          <t>CC177206-1226</t>
        </is>
      </c>
      <c r="K2" s="232" t="n">
        <v>0.005</v>
      </c>
      <c r="L2" s="209" t="n">
        <v>0.36</v>
      </c>
      <c r="M2" s="209" t="n">
        <v>0.1526</v>
      </c>
    </row>
    <row r="3" ht="15.75" customHeight="1" thickBot="1">
      <c r="A3" s="237" t="n"/>
      <c r="B3" s="232" t="n"/>
      <c r="D3" s="209" t="n"/>
      <c r="I3" s="233" t="n"/>
      <c r="J3" s="236" t="n"/>
      <c r="K3" s="235" t="n"/>
      <c r="L3" s="205" t="n"/>
      <c r="M3" s="235" t="n"/>
      <c r="Q3" s="234" t="n"/>
      <c r="R3" s="233" t="n"/>
    </row>
    <row r="4" ht="15.75" customHeight="1" thickBot="1">
      <c r="A4" s="365" t="inlineStr">
        <is>
          <t>CVS</t>
        </is>
      </c>
      <c r="B4" s="223" t="n"/>
      <c r="C4" s="223" t="n"/>
      <c r="D4" s="223" t="n"/>
      <c r="E4" s="223" t="n"/>
      <c r="F4" s="223" t="n"/>
      <c r="G4" s="221" t="n"/>
      <c r="J4" s="366" t="inlineStr">
        <is>
          <t>LCS</t>
        </is>
      </c>
      <c r="K4" s="223" t="n"/>
      <c r="L4" s="223" t="n"/>
      <c r="M4" s="223" t="n"/>
      <c r="N4" s="221" t="n"/>
    </row>
    <row r="5" ht="15.75" customHeight="1" thickBot="1">
      <c r="A5" s="222" t="inlineStr">
        <is>
          <t>DATE TIME</t>
        </is>
      </c>
      <c r="B5" s="222" t="inlineStr">
        <is>
          <t>PROPANE PPBC</t>
        </is>
      </c>
      <c r="C5" s="223" t="inlineStr">
        <is>
          <t>Dist</t>
        </is>
      </c>
      <c r="D5" s="221" t="inlineStr">
        <is>
          <t>% Recovery Propane</t>
        </is>
      </c>
      <c r="E5" s="223" t="inlineStr">
        <is>
          <t>TOLUENE PPBC</t>
        </is>
      </c>
      <c r="F5" s="221" t="inlineStr">
        <is>
          <t>Dist</t>
        </is>
      </c>
      <c r="G5" s="221" t="inlineStr">
        <is>
          <t>% Recovery Toluene</t>
        </is>
      </c>
      <c r="J5" s="222" t="inlineStr">
        <is>
          <t>DATE/TIME</t>
        </is>
      </c>
      <c r="K5" s="222" t="inlineStr">
        <is>
          <t>PROPANE (ppbC)</t>
        </is>
      </c>
      <c r="L5" s="221" t="inlineStr">
        <is>
          <t>% Recovery Propane</t>
        </is>
      </c>
      <c r="M5" s="222" t="inlineStr">
        <is>
          <t>TOLUENE ppbC</t>
        </is>
      </c>
      <c r="N5" s="221" t="inlineStr">
        <is>
          <t>% Recovery Toluene</t>
        </is>
      </c>
    </row>
    <row r="6">
      <c r="A6" s="200" t="n">
        <v>45901.08333333334</v>
      </c>
      <c r="B6" t="n">
        <v>2.0144</v>
      </c>
      <c r="C6">
        <f>_xlfn.NORM.DIST(B6,$B$45,$B$48,FALSE)</f>
        <v/>
      </c>
      <c r="D6" s="195">
        <f>B6/$B$46*100</f>
        <v/>
      </c>
      <c r="E6" t="n">
        <v>2.0695</v>
      </c>
      <c r="F6">
        <f>_xlfn.NORM.DIST(E6,$E$45,$E$48,FALSE)</f>
        <v/>
      </c>
      <c r="G6" s="195">
        <f>E6/$E$46*100</f>
        <v/>
      </c>
      <c r="J6" s="220" t="n">
        <v>45906.875</v>
      </c>
      <c r="K6" s="196" t="n">
        <v>6.0031</v>
      </c>
      <c r="L6" s="195">
        <f>K6/K$16*100</f>
        <v/>
      </c>
      <c r="M6" t="n">
        <v>6.1556</v>
      </c>
      <c r="N6" s="195">
        <f>M6/M$16*100</f>
        <v/>
      </c>
    </row>
    <row r="7">
      <c r="A7" s="200" t="n">
        <v>45902</v>
      </c>
      <c r="B7" t="n">
        <v>2.1283</v>
      </c>
      <c r="C7">
        <f>_xlfn.NORM.DIST(B7,$B$45,$B$48,FALSE)</f>
        <v/>
      </c>
      <c r="D7" s="195">
        <f>B7/$B$46*100</f>
        <v/>
      </c>
      <c r="E7" t="n">
        <v>2.0515</v>
      </c>
      <c r="F7">
        <f>_xlfn.NORM.DIST(E7,$E$45,$E$48,FALSE)</f>
        <v/>
      </c>
      <c r="G7" s="195">
        <f>E7/$E$46*100</f>
        <v/>
      </c>
      <c r="J7" s="216" t="n">
        <v>45913.875</v>
      </c>
      <c r="K7" s="196" t="n">
        <v>6.637</v>
      </c>
      <c r="L7" s="195">
        <f>K7/K$16*100</f>
        <v/>
      </c>
      <c r="M7" t="n">
        <v>6.424</v>
      </c>
      <c r="N7" s="195">
        <f>M7/M$16*100</f>
        <v/>
      </c>
    </row>
    <row r="8">
      <c r="A8" s="200" t="n">
        <v>45903.08333333334</v>
      </c>
      <c r="B8" t="n">
        <v>2.0188</v>
      </c>
      <c r="C8">
        <f>_xlfn.NORM.DIST(B8,$B$45,$B$48,FALSE)</f>
        <v/>
      </c>
      <c r="D8" s="195">
        <f>B8/$B$46*100</f>
        <v/>
      </c>
      <c r="E8" t="n">
        <v>2.0539</v>
      </c>
      <c r="F8">
        <f>_xlfn.NORM.DIST(E8,$E$45,$E$48,FALSE)</f>
        <v/>
      </c>
      <c r="G8" s="195">
        <f>E8/$E$46*100</f>
        <v/>
      </c>
      <c r="J8" s="216" t="n">
        <v>45920.875</v>
      </c>
      <c r="K8" s="196" t="n">
        <v>6.379</v>
      </c>
      <c r="L8" s="195">
        <f>K8/K$16*100</f>
        <v/>
      </c>
      <c r="M8" t="n">
        <v>6.4225</v>
      </c>
      <c r="N8" s="195">
        <f>M8/M$16*100</f>
        <v/>
      </c>
    </row>
    <row r="9">
      <c r="A9" s="200" t="n">
        <v>45904</v>
      </c>
      <c r="B9" t="n">
        <v>2.091</v>
      </c>
      <c r="C9">
        <f>_xlfn.NORM.DIST(B9,$B$45,$B$48,FALSE)</f>
        <v/>
      </c>
      <c r="D9" s="195">
        <f>B9/$B$46*100</f>
        <v/>
      </c>
      <c r="E9" t="n">
        <v>2.1645</v>
      </c>
      <c r="F9">
        <f>_xlfn.NORM.DIST(E9,$E$45,$E$48,FALSE)</f>
        <v/>
      </c>
      <c r="G9" s="195">
        <f>E9/$E$46*100</f>
        <v/>
      </c>
      <c r="J9" s="216" t="n">
        <v>45927.875</v>
      </c>
      <c r="K9" s="196" t="n">
        <v>6.3006</v>
      </c>
      <c r="L9" s="195">
        <f>K9/K$16*100</f>
        <v/>
      </c>
      <c r="M9" t="n">
        <v>6.463</v>
      </c>
      <c r="N9" s="195">
        <f>M9/M$16*100</f>
        <v/>
      </c>
    </row>
    <row r="10">
      <c r="A10" s="200" t="n">
        <v>45905.08333333334</v>
      </c>
      <c r="B10" t="n">
        <v>2.1541</v>
      </c>
      <c r="C10">
        <f>_xlfn.NORM.DIST(B10,$B$45,$B$48,FALSE)</f>
        <v/>
      </c>
      <c r="D10" s="195">
        <f>B10/$B$46*100</f>
        <v/>
      </c>
      <c r="E10" t="n">
        <v>2.1149</v>
      </c>
      <c r="F10">
        <f>_xlfn.NORM.DIST(E10,$E$45,$E$48,FALSE)</f>
        <v/>
      </c>
      <c r="G10" s="195">
        <f>E10/$E$46*100</f>
        <v/>
      </c>
      <c r="J10" s="216" t="n"/>
      <c r="K10" s="196" t="n"/>
      <c r="L10" s="195" t="n"/>
      <c r="N10" s="195" t="n"/>
      <c r="Z10" s="218" t="n"/>
    </row>
    <row r="11">
      <c r="A11" s="200" t="n">
        <v>45906</v>
      </c>
      <c r="B11" t="n">
        <v>1.9671</v>
      </c>
      <c r="C11">
        <f>_xlfn.NORM.DIST(B11,$B$45,$B$48,FALSE)</f>
        <v/>
      </c>
      <c r="D11" s="195">
        <f>B11/$B$46*100</f>
        <v/>
      </c>
      <c r="E11" t="n">
        <v>2.0402</v>
      </c>
      <c r="F11">
        <f>_xlfn.NORM.DIST(E11,$E$45,$E$48,FALSE)</f>
        <v/>
      </c>
      <c r="G11" s="195">
        <f>E11/$E$46*100</f>
        <v/>
      </c>
      <c r="J11" s="216" t="n"/>
      <c r="K11" s="196" t="n"/>
      <c r="L11" s="195" t="n"/>
      <c r="N11" s="195" t="n"/>
    </row>
    <row r="12">
      <c r="A12" s="200" t="n">
        <v>45907.08333333334</v>
      </c>
      <c r="B12" t="n">
        <v>2.1497</v>
      </c>
      <c r="C12">
        <f>_xlfn.NORM.DIST(B12,$B$45,$B$48,FALSE)</f>
        <v/>
      </c>
      <c r="D12" s="195">
        <f>B12/$B$46*100</f>
        <v/>
      </c>
      <c r="E12" t="n">
        <v>2.0813</v>
      </c>
      <c r="F12">
        <f>_xlfn.NORM.DIST(E12,$E$45,$E$48,FALSE)</f>
        <v/>
      </c>
      <c r="G12" s="195">
        <f>E12/$E$46*100</f>
        <v/>
      </c>
      <c r="J12" s="216" t="n"/>
      <c r="K12" s="196" t="n"/>
      <c r="L12" s="195" t="n"/>
      <c r="N12" s="195" t="n"/>
    </row>
    <row r="13">
      <c r="A13" s="200" t="n">
        <v>45907.125</v>
      </c>
      <c r="B13" t="n">
        <v>2.0226</v>
      </c>
      <c r="C13">
        <f>_xlfn.NORM.DIST(B13,$B$45,$B$48,FALSE)</f>
        <v/>
      </c>
      <c r="D13" s="195">
        <f>B13/$B$46*100</f>
        <v/>
      </c>
      <c r="E13" t="n">
        <v>2.1304</v>
      </c>
      <c r="F13">
        <f>_xlfn.NORM.DIST(E13,$E$45,$E$48,FALSE)</f>
        <v/>
      </c>
      <c r="G13" s="195">
        <f>E13/$E$46*100</f>
        <v/>
      </c>
      <c r="J13" s="209" t="n"/>
      <c r="K13" s="196" t="n"/>
      <c r="L13" s="195" t="n"/>
      <c r="M13" s="196" t="n"/>
      <c r="N13" s="195" t="n"/>
    </row>
    <row r="14" ht="15.75" customHeight="1" thickBot="1">
      <c r="A14" s="200" t="n">
        <v>45908</v>
      </c>
      <c r="B14" t="n">
        <v>1.9328</v>
      </c>
      <c r="C14">
        <f>_xlfn.NORM.DIST(B14,$B$45,$B$48,FALSE)</f>
        <v/>
      </c>
      <c r="D14" s="195">
        <f>B14/$B$46*100</f>
        <v/>
      </c>
      <c r="E14" t="n">
        <v>2.0256</v>
      </c>
      <c r="F14">
        <f>_xlfn.NORM.DIST(E14,$E$45,$E$48,FALSE)</f>
        <v/>
      </c>
      <c r="G14" s="195">
        <f>E14/$E$46*100</f>
        <v/>
      </c>
      <c r="J14" s="205" t="n"/>
      <c r="K14" s="194" t="n"/>
      <c r="L14" s="192" t="n"/>
      <c r="M14" s="194" t="n"/>
      <c r="N14" s="192" t="n"/>
    </row>
    <row r="15">
      <c r="A15" s="200" t="n">
        <v>45909.08333333334</v>
      </c>
      <c r="B15" t="n">
        <v>1.9188</v>
      </c>
      <c r="C15">
        <f>_xlfn.NORM.DIST(B15,$B$45,$B$48,FALSE)</f>
        <v/>
      </c>
      <c r="D15" s="195">
        <f>B15/$B$46*100</f>
        <v/>
      </c>
      <c r="E15" t="n">
        <v>1.9698</v>
      </c>
      <c r="F15">
        <f>_xlfn.NORM.DIST(E15,$E$45,$E$48,FALSE)</f>
        <v/>
      </c>
      <c r="G15" s="195">
        <f>E15/$E$46*100</f>
        <v/>
      </c>
      <c r="J15" s="215" t="inlineStr">
        <is>
          <t>Std Dev</t>
        </is>
      </c>
      <c r="K15" s="214">
        <f>_xlfn.STDEV.P(K6:K14)</f>
        <v/>
      </c>
      <c r="L15" s="213">
        <f>_xlfn.STDEV.P(L6:L14)</f>
        <v/>
      </c>
      <c r="M15" s="214">
        <f>_xlfn.STDEV.P(M6:M14)</f>
        <v/>
      </c>
      <c r="N15" s="213">
        <f>_xlfn.STDEV.P(N6:N14)</f>
        <v/>
      </c>
    </row>
    <row r="16">
      <c r="A16" s="200" t="n">
        <v>45910</v>
      </c>
      <c r="B16" t="n">
        <v>1.8739</v>
      </c>
      <c r="C16">
        <f>_xlfn.NORM.DIST(B16,$B$45,$B$48,FALSE)</f>
        <v/>
      </c>
      <c r="D16" s="195">
        <f>B16/$B$46*100</f>
        <v/>
      </c>
      <c r="E16" t="n">
        <v>1.9276</v>
      </c>
      <c r="F16">
        <f>_xlfn.NORM.DIST(E16,$E$45,$E$48,FALSE)</f>
        <v/>
      </c>
      <c r="G16" s="195">
        <f>E16/$E$46*100</f>
        <v/>
      </c>
      <c r="J16" s="209" t="inlineStr">
        <is>
          <t>Target</t>
        </is>
      </c>
      <c r="K16" s="196">
        <f>K2*L2*1000*3</f>
        <v/>
      </c>
      <c r="L16" s="195" t="n"/>
      <c r="M16" s="196">
        <f>K2*M2*1000*7</f>
        <v/>
      </c>
      <c r="N16" s="195" t="n"/>
    </row>
    <row r="17">
      <c r="A17" s="200" t="n">
        <v>45911</v>
      </c>
      <c r="B17" t="n">
        <v>2.1568</v>
      </c>
      <c r="C17">
        <f>_xlfn.NORM.DIST(B17,$B$45,$B$48,FALSE)</f>
        <v/>
      </c>
      <c r="D17" s="195">
        <f>B17/$B$46*100</f>
        <v/>
      </c>
      <c r="E17" t="n">
        <v>2.1984</v>
      </c>
      <c r="F17">
        <f>_xlfn.NORM.DIST(E17,$E$45,$E$48,FALSE)</f>
        <v/>
      </c>
      <c r="G17" s="195">
        <f>E17/$E$46*100</f>
        <v/>
      </c>
      <c r="J17" s="209" t="n"/>
      <c r="K17" s="196" t="n"/>
      <c r="L17" s="195" t="n"/>
      <c r="M17" s="196" t="n"/>
      <c r="N17" s="195" t="n"/>
    </row>
    <row r="18" ht="15.75" customHeight="1" thickBot="1">
      <c r="A18" s="200" t="n">
        <v>45912.125</v>
      </c>
      <c r="B18" t="n">
        <v>2.1067</v>
      </c>
      <c r="C18">
        <f>_xlfn.NORM.DIST(B18,$B$45,$B$48,FALSE)</f>
        <v/>
      </c>
      <c r="D18" s="195">
        <f>B18/$B$46*100</f>
        <v/>
      </c>
      <c r="E18" t="n">
        <v>2.1807</v>
      </c>
      <c r="F18">
        <f>_xlfn.NORM.DIST(E18,$E$45,$E$48,FALSE)</f>
        <v/>
      </c>
      <c r="G18" s="195">
        <f>E18/$E$46*100</f>
        <v/>
      </c>
      <c r="J18" s="205" t="inlineStr">
        <is>
          <t>Average</t>
        </is>
      </c>
      <c r="K18" s="212">
        <f>AVERAGE(K6:K14)</f>
        <v/>
      </c>
      <c r="L18" s="211">
        <f>AVERAGE(L6:L14)</f>
        <v/>
      </c>
      <c r="M18" s="212">
        <f>AVERAGE(M6:M14)</f>
        <v/>
      </c>
      <c r="N18" s="211">
        <f>AVERAGE(N6:N14)</f>
        <v/>
      </c>
    </row>
    <row r="19">
      <c r="A19" s="200" t="n">
        <v>45913.04166666666</v>
      </c>
      <c r="B19" t="n">
        <v>2.1754</v>
      </c>
      <c r="C19">
        <f>_xlfn.NORM.DIST(B19,$B$45,$B$48,FALSE)</f>
        <v/>
      </c>
      <c r="D19" s="195">
        <f>B19/$B$46*100</f>
        <v/>
      </c>
      <c r="E19" t="n">
        <v>2.1628</v>
      </c>
      <c r="F19">
        <f>_xlfn.NORM.DIST(E19,$E$45,$E$48,FALSE)</f>
        <v/>
      </c>
      <c r="G19" s="195">
        <f>E19/$E$46*100</f>
        <v/>
      </c>
    </row>
    <row r="20">
      <c r="A20" s="200" t="n">
        <v>45913.41666666666</v>
      </c>
      <c r="B20" t="n">
        <v>2.1224</v>
      </c>
      <c r="C20">
        <f>_xlfn.NORM.DIST(B20,$B$45,$B$48,FALSE)</f>
        <v/>
      </c>
      <c r="D20" s="195">
        <f>B20/$B$46*100</f>
        <v/>
      </c>
      <c r="E20" t="n">
        <v>2.1974</v>
      </c>
      <c r="F20">
        <f>_xlfn.NORM.DIST(E20,$E$45,$E$48,FALSE)</f>
        <v/>
      </c>
      <c r="G20" s="195">
        <f>E20/$E$46*100</f>
        <v/>
      </c>
    </row>
    <row r="21" ht="15.75" customHeight="1" thickBot="1">
      <c r="A21" s="200" t="n">
        <v>45914.54166666666</v>
      </c>
      <c r="B21" t="n">
        <v>2.343</v>
      </c>
      <c r="C21">
        <f>_xlfn.NORM.DIST(B21,$B$45,$B$48,FALSE)</f>
        <v/>
      </c>
      <c r="D21" s="195">
        <f>B21/$B$46*100</f>
        <v/>
      </c>
      <c r="E21" t="n">
        <v>2.2249</v>
      </c>
      <c r="F21">
        <f>_xlfn.NORM.DIST(E21,$E$45,$E$48,FALSE)</f>
        <v/>
      </c>
      <c r="G21" s="195">
        <f>E21/$E$46*100</f>
        <v/>
      </c>
    </row>
    <row r="22" ht="15.75" customHeight="1" thickBot="1">
      <c r="A22" s="200" t="n">
        <v>45914.58333333334</v>
      </c>
      <c r="B22" t="n">
        <v>2.2293</v>
      </c>
      <c r="C22">
        <f>_xlfn.NORM.DIST(B22,$B$45,$B$48,FALSE)</f>
        <v/>
      </c>
      <c r="D22" s="195">
        <f>B22/$B$46*100</f>
        <v/>
      </c>
      <c r="E22" t="n">
        <v>2.2461</v>
      </c>
      <c r="F22">
        <f>_xlfn.NORM.DIST(E22,$E$45,$E$48,FALSE)</f>
        <v/>
      </c>
      <c r="G22" s="195">
        <f>E22/$E$46*100</f>
        <v/>
      </c>
      <c r="J22" s="224" t="inlineStr">
        <is>
          <t>Canister</t>
        </is>
      </c>
      <c r="K22" s="224" t="inlineStr">
        <is>
          <t>Dilution ratio</t>
        </is>
      </c>
      <c r="L22" s="224" t="inlineStr">
        <is>
          <t>Propane conc (ppbC)</t>
        </is>
      </c>
      <c r="M22" s="224" t="inlineStr">
        <is>
          <t>toluene conc (ppbC)</t>
        </is>
      </c>
    </row>
    <row r="23">
      <c r="A23" s="200" t="n">
        <v>45915</v>
      </c>
      <c r="B23" t="n">
        <v>2.1932</v>
      </c>
      <c r="C23">
        <f>_xlfn.NORM.DIST(B23,$B$45,$B$48,FALSE)</f>
        <v/>
      </c>
      <c r="D23" s="195">
        <f>B23/$B$46*100</f>
        <v/>
      </c>
      <c r="E23" t="n">
        <v>2.183</v>
      </c>
      <c r="F23">
        <f>_xlfn.NORM.DIST(E23,$E$45,$E$48,FALSE)</f>
        <v/>
      </c>
      <c r="G23" s="195">
        <f>E23/$E$46*100</f>
        <v/>
      </c>
      <c r="J23" s="209" t="inlineStr">
        <is>
          <t>CC731198-0126</t>
        </is>
      </c>
      <c r="K23" s="232" t="n">
        <v>0.00135</v>
      </c>
      <c r="L23" s="209" t="n">
        <v>1040</v>
      </c>
      <c r="M23" s="209" t="n">
        <v>1080</v>
      </c>
    </row>
    <row r="24" ht="15.75" customHeight="1" thickBot="1">
      <c r="A24" s="200" t="n">
        <v>45916.08333333334</v>
      </c>
      <c r="B24" t="n">
        <v>2.2566</v>
      </c>
      <c r="C24">
        <f>_xlfn.NORM.DIST(B24,$B$45,$B$48,FALSE)</f>
        <v/>
      </c>
      <c r="D24" s="195">
        <f>B24/$B$46*100</f>
        <v/>
      </c>
      <c r="E24" t="n">
        <v>2.204</v>
      </c>
      <c r="F24">
        <f>_xlfn.NORM.DIST(E24,$E$45,$E$48,FALSE)</f>
        <v/>
      </c>
      <c r="G24" s="195">
        <f>E24/$E$46*100</f>
        <v/>
      </c>
      <c r="H24" t="n">
        <v>0</v>
      </c>
      <c r="I24">
        <f>$E$46</f>
        <v/>
      </c>
      <c r="J24" s="232" t="n"/>
      <c r="K24" s="231" t="n"/>
      <c r="L24" s="209" t="n"/>
      <c r="M24" s="231" t="n"/>
    </row>
    <row r="25" ht="15.75" customHeight="1" thickBot="1">
      <c r="A25" s="200" t="n">
        <v>45917</v>
      </c>
      <c r="B25" t="n">
        <v>2.1553</v>
      </c>
      <c r="C25">
        <f>_xlfn.NORM.DIST(B25,$B$45,$B$48,FALSE)</f>
        <v/>
      </c>
      <c r="D25" s="195">
        <f>B25/$B$46*100</f>
        <v/>
      </c>
      <c r="E25" t="n">
        <v>2.2609</v>
      </c>
      <c r="F25">
        <f>_xlfn.NORM.DIST(E25,$E$45,$E$48,FALSE)</f>
        <v/>
      </c>
      <c r="G25" s="195">
        <f>E25/$E$46*100</f>
        <v/>
      </c>
      <c r="H25" t="n">
        <v>1</v>
      </c>
      <c r="I25">
        <f>$E$46</f>
        <v/>
      </c>
      <c r="J25" s="367" t="inlineStr">
        <is>
          <t>RTS</t>
        </is>
      </c>
      <c r="K25" s="223" t="n"/>
      <c r="L25" s="223" t="n"/>
      <c r="M25" s="223" t="n"/>
      <c r="N25" s="221" t="n"/>
    </row>
    <row r="26" ht="15.75" customHeight="1" thickBot="1">
      <c r="A26" s="200" t="n">
        <v>45918.08333333334</v>
      </c>
      <c r="B26" t="n">
        <v>2.1735</v>
      </c>
      <c r="C26">
        <f>_xlfn.NORM.DIST(B26,$B$45,$B$48,FALSE)</f>
        <v/>
      </c>
      <c r="D26" s="195">
        <f>B26/$B$46*100</f>
        <v/>
      </c>
      <c r="E26" t="n">
        <v>2.2693</v>
      </c>
      <c r="F26">
        <f>_xlfn.NORM.DIST(E26,$E$45,$E$48,FALSE)</f>
        <v/>
      </c>
      <c r="G26" s="195">
        <f>E26/$E$46*100</f>
        <v/>
      </c>
      <c r="H26" t="n">
        <v>2</v>
      </c>
      <c r="I26">
        <f>$E$46</f>
        <v/>
      </c>
      <c r="J26" s="224" t="inlineStr">
        <is>
          <t>DATE TIME</t>
        </is>
      </c>
      <c r="K26" s="223" t="inlineStr">
        <is>
          <t>PROPANE (ppbC)</t>
        </is>
      </c>
      <c r="L26" s="223" t="inlineStr">
        <is>
          <t>% Recovery Propane</t>
        </is>
      </c>
      <c r="M26" s="222" t="inlineStr">
        <is>
          <t>TOLUENE ppbC</t>
        </is>
      </c>
      <c r="N26" s="221" t="inlineStr">
        <is>
          <t>% Recovery Toluene</t>
        </is>
      </c>
    </row>
    <row r="27">
      <c r="A27" s="200" t="n">
        <v>45919</v>
      </c>
      <c r="B27" t="n">
        <v>2.2039</v>
      </c>
      <c r="C27">
        <f>_xlfn.NORM.DIST(B27,$B$45,$B$48,FALSE)</f>
        <v/>
      </c>
      <c r="D27" s="195">
        <f>B27/$B$46*100</f>
        <v/>
      </c>
      <c r="E27" t="n">
        <v>2.1519</v>
      </c>
      <c r="F27">
        <f>_xlfn.NORM.DIST(E27,$E$45,$E$48,FALSE)</f>
        <v/>
      </c>
      <c r="G27" s="195">
        <f>E27/$E$46*100</f>
        <v/>
      </c>
      <c r="H27" t="n">
        <v>3</v>
      </c>
      <c r="I27">
        <f>$E$46</f>
        <v/>
      </c>
      <c r="J27" s="220" t="n">
        <v>45906.91666666666</v>
      </c>
      <c r="K27" t="n">
        <v>1.2459</v>
      </c>
      <c r="L27" s="195">
        <f>K27/K$33*100</f>
        <v/>
      </c>
      <c r="M27" s="196" t="n">
        <v>1.3608</v>
      </c>
      <c r="N27" s="195">
        <f>M27/M$33*100</f>
        <v/>
      </c>
    </row>
    <row r="28">
      <c r="A28" s="200" t="n">
        <v>45920.08333333334</v>
      </c>
      <c r="B28" t="n">
        <v>2.0459</v>
      </c>
      <c r="C28">
        <f>_xlfn.NORM.DIST(B28,$B$45,$B$48,FALSE)</f>
        <v/>
      </c>
      <c r="D28" s="195">
        <f>B28/$B$46*100</f>
        <v/>
      </c>
      <c r="E28" t="n">
        <v>2.114</v>
      </c>
      <c r="F28">
        <f>_xlfn.NORM.DIST(E28,$E$45,$E$48,FALSE)</f>
        <v/>
      </c>
      <c r="G28" s="195">
        <f>E28/$E$46*100</f>
        <v/>
      </c>
      <c r="H28" t="n">
        <v>4</v>
      </c>
      <c r="I28">
        <f>$E$46</f>
        <v/>
      </c>
      <c r="J28" s="216" t="n"/>
      <c r="L28" s="195">
        <f>K28/K$33*100</f>
        <v/>
      </c>
      <c r="M28" s="196" t="n"/>
      <c r="N28" s="195">
        <f>M28/M$33*100</f>
        <v/>
      </c>
    </row>
    <row r="29">
      <c r="A29" s="200" t="n">
        <v>45921</v>
      </c>
      <c r="B29" t="n">
        <v>2.1267</v>
      </c>
      <c r="C29">
        <f>_xlfn.NORM.DIST(B29,$B$45,$B$48,FALSE)</f>
        <v/>
      </c>
      <c r="D29" s="195">
        <f>B29/$B$46*100</f>
        <v/>
      </c>
      <c r="E29" t="n">
        <v>2.1467</v>
      </c>
      <c r="F29">
        <f>_xlfn.NORM.DIST(E29,$E$45,$E$48,FALSE)</f>
        <v/>
      </c>
      <c r="G29" s="195">
        <f>E29/$E$46*100</f>
        <v/>
      </c>
      <c r="H29" t="n">
        <v>5</v>
      </c>
      <c r="I29">
        <f>$E$46</f>
        <v/>
      </c>
      <c r="J29" s="216" t="n">
        <v>45920.91666666666</v>
      </c>
      <c r="K29" t="n">
        <v>1.2813</v>
      </c>
      <c r="L29" s="195">
        <f>K29/K$33*100</f>
        <v/>
      </c>
      <c r="M29" s="196" t="n">
        <v>1.4195</v>
      </c>
      <c r="N29" s="195">
        <f>M29/M$33*100</f>
        <v/>
      </c>
    </row>
    <row r="30">
      <c r="A30" s="200" t="n">
        <v>45921.04166666666</v>
      </c>
      <c r="B30" t="n">
        <v>2.1321</v>
      </c>
      <c r="C30">
        <f>_xlfn.NORM.DIST(B30,$B$45,$B$48,FALSE)</f>
        <v/>
      </c>
      <c r="D30" s="195">
        <f>B30/$B$46*100</f>
        <v/>
      </c>
      <c r="E30" t="n">
        <v>2.1533</v>
      </c>
      <c r="F30">
        <f>_xlfn.NORM.DIST(E30,$E$45,$E$48,FALSE)</f>
        <v/>
      </c>
      <c r="G30" s="195">
        <f>E30/$E$46*100</f>
        <v/>
      </c>
      <c r="H30" t="n">
        <v>6</v>
      </c>
      <c r="I30">
        <f>$E$46</f>
        <v/>
      </c>
      <c r="J30" s="216" t="n">
        <v>45927.91666666666</v>
      </c>
      <c r="K30" t="n">
        <v>1.2836</v>
      </c>
      <c r="L30" s="195">
        <f>K30/K$33*100</f>
        <v/>
      </c>
      <c r="M30" s="196" t="n">
        <v>1.3953</v>
      </c>
      <c r="N30" s="195">
        <f>M30/M$33*100</f>
        <v/>
      </c>
    </row>
    <row r="31" ht="15.75" customHeight="1" thickBot="1">
      <c r="A31" s="200" t="n">
        <v>45922.08333333334</v>
      </c>
      <c r="B31" t="n">
        <v>2.1191</v>
      </c>
      <c r="C31">
        <f>_xlfn.NORM.DIST(B31,$B$45,$B$48,FALSE)</f>
        <v/>
      </c>
      <c r="D31" s="195">
        <f>B31/$B$46*100</f>
        <v/>
      </c>
      <c r="E31" t="n">
        <v>2.1598</v>
      </c>
      <c r="F31">
        <f>_xlfn.NORM.DIST(E31,$E$45,$E$48,FALSE)</f>
        <v/>
      </c>
      <c r="G31" s="195">
        <f>E31/$E$46*100</f>
        <v/>
      </c>
      <c r="H31" t="n">
        <v>7</v>
      </c>
      <c r="I31">
        <f>$E$46</f>
        <v/>
      </c>
      <c r="J31" s="219" t="n"/>
      <c r="L31" s="195">
        <f>K31/K$33*100</f>
        <v/>
      </c>
      <c r="M31" s="196" t="n"/>
      <c r="N31" s="195">
        <f>M31/M$33*100</f>
        <v/>
      </c>
    </row>
    <row r="32">
      <c r="A32" s="200" t="n">
        <v>45923</v>
      </c>
      <c r="B32" t="n">
        <v>2.1813</v>
      </c>
      <c r="C32">
        <f>_xlfn.NORM.DIST(B32,$B$45,$B$48,FALSE)</f>
        <v/>
      </c>
      <c r="D32" s="195">
        <f>B32/$B$46*100</f>
        <v/>
      </c>
      <c r="E32" t="n">
        <v>2.1712</v>
      </c>
      <c r="F32">
        <f>_xlfn.NORM.DIST(E32,$E$45,$E$48,FALSE)</f>
        <v/>
      </c>
      <c r="G32" s="195">
        <f>E32/$E$46*100</f>
        <v/>
      </c>
      <c r="H32" t="n">
        <v>8</v>
      </c>
      <c r="I32">
        <f>$E$46</f>
        <v/>
      </c>
      <c r="J32" s="199" t="inlineStr">
        <is>
          <t>Std Dev</t>
        </is>
      </c>
      <c r="K32" s="214">
        <f>_xlfn.STDEV.P(K27:K31)</f>
        <v/>
      </c>
      <c r="L32" s="217">
        <f>_xlfn.STDEV.P(L27:L31)</f>
        <v/>
      </c>
      <c r="M32" s="214">
        <f>_xlfn.STDEV.P(M27:M30)</f>
        <v/>
      </c>
      <c r="N32" s="213">
        <f>_xlfn.STDEV.P(N27:N30)</f>
        <v/>
      </c>
    </row>
    <row r="33">
      <c r="A33" s="200" t="n">
        <v>45924.08333333334</v>
      </c>
      <c r="B33" t="n">
        <v>2.1973</v>
      </c>
      <c r="C33">
        <f>_xlfn.NORM.DIST(B33,$B$45,$B$48,FALSE)</f>
        <v/>
      </c>
      <c r="D33" s="195">
        <f>B33/$B$46*100</f>
        <v/>
      </c>
      <c r="E33" t="n">
        <v>2.163</v>
      </c>
      <c r="F33">
        <f>_xlfn.NORM.DIST(E33,$E$45,$E$48,FALSE)</f>
        <v/>
      </c>
      <c r="G33" s="195">
        <f>E33/$E$46*100</f>
        <v/>
      </c>
      <c r="H33" t="n">
        <v>9</v>
      </c>
      <c r="I33">
        <f>$E$46</f>
        <v/>
      </c>
      <c r="J33" s="196" t="inlineStr">
        <is>
          <t>Target</t>
        </is>
      </c>
      <c r="K33" s="196">
        <f>$L$23*K23</f>
        <v/>
      </c>
      <c r="M33" s="196">
        <f>$M$23*$K$23</f>
        <v/>
      </c>
      <c r="N33" s="195" t="n"/>
    </row>
    <row r="34" ht="15.75" customHeight="1" thickBot="1">
      <c r="A34" s="200" t="n">
        <v>45925</v>
      </c>
      <c r="B34" t="n">
        <v>2.0223</v>
      </c>
      <c r="C34">
        <f>_xlfn.NORM.DIST(B34,$B$45,$B$48,FALSE)</f>
        <v/>
      </c>
      <c r="D34" s="195">
        <f>B34/$B$46*100</f>
        <v/>
      </c>
      <c r="E34" t="n">
        <v>2.1953</v>
      </c>
      <c r="F34">
        <f>_xlfn.NORM.DIST(E34,$E$45,$E$48,FALSE)</f>
        <v/>
      </c>
      <c r="G34" s="195">
        <f>E34/$E$46*100</f>
        <v/>
      </c>
      <c r="H34" t="n">
        <v>10</v>
      </c>
      <c r="I34">
        <f>$E$46</f>
        <v/>
      </c>
      <c r="J34" s="194" t="inlineStr">
        <is>
          <t>Average</t>
        </is>
      </c>
      <c r="K34" s="212">
        <f>AVERAGE(K27:K31)</f>
        <v/>
      </c>
      <c r="L34" s="201">
        <f>AVERAGE(L27:L31)</f>
        <v/>
      </c>
      <c r="M34" s="212">
        <f>AVERAGE(M27:M30)</f>
        <v/>
      </c>
      <c r="N34" s="211">
        <f>AVERAGE(N27:N30)</f>
        <v/>
      </c>
    </row>
    <row r="35">
      <c r="A35" s="200" t="n">
        <v>45926.08333333334</v>
      </c>
      <c r="B35" t="n">
        <v>2.1021</v>
      </c>
      <c r="C35">
        <f>_xlfn.NORM.DIST(B35,$B$45,$B$48,FALSE)</f>
        <v/>
      </c>
      <c r="D35" s="195">
        <f>B35/$B$46*100</f>
        <v/>
      </c>
      <c r="E35" t="n">
        <v>2.1075</v>
      </c>
      <c r="F35">
        <f>_xlfn.NORM.DIST(E35,$E$45,$E$48,FALSE)</f>
        <v/>
      </c>
      <c r="G35" s="195">
        <f>E35/$E$46*100</f>
        <v/>
      </c>
      <c r="H35" t="n">
        <v>11</v>
      </c>
      <c r="I35">
        <f>$E$46</f>
        <v/>
      </c>
    </row>
    <row r="36">
      <c r="A36" s="200" t="n">
        <v>45927</v>
      </c>
      <c r="B36" t="n">
        <v>2.1092</v>
      </c>
      <c r="C36">
        <f>_xlfn.NORM.DIST(B36,$B$45,$B$48,FALSE)</f>
        <v/>
      </c>
      <c r="D36" s="195">
        <f>B36/$B$46*100</f>
        <v/>
      </c>
      <c r="E36" t="n">
        <v>2.1561</v>
      </c>
      <c r="F36">
        <f>_xlfn.NORM.DIST(E36,$E$45,$E$48,FALSE)</f>
        <v/>
      </c>
      <c r="G36" s="195">
        <f>E36/$E$46*100</f>
        <v/>
      </c>
      <c r="H36" t="n">
        <v>12</v>
      </c>
      <c r="I36">
        <f>$E$46</f>
        <v/>
      </c>
    </row>
    <row r="37">
      <c r="A37" s="200" t="n">
        <v>45928.08333333334</v>
      </c>
      <c r="B37" t="n">
        <v>2.1027</v>
      </c>
      <c r="C37">
        <f>_xlfn.NORM.DIST(B37,$B$45,$B$48,FALSE)</f>
        <v/>
      </c>
      <c r="D37" s="195">
        <f>B37/$B$46*100</f>
        <v/>
      </c>
      <c r="E37" t="n">
        <v>2.177</v>
      </c>
      <c r="F37">
        <f>_xlfn.NORM.DIST(E37,$E$45,$E$48,FALSE)</f>
        <v/>
      </c>
      <c r="G37" s="195">
        <f>E37/$E$46*100</f>
        <v/>
      </c>
      <c r="H37" t="n">
        <v>13</v>
      </c>
      <c r="I37">
        <f>$E$46</f>
        <v/>
      </c>
    </row>
    <row r="38">
      <c r="A38" s="200" t="n">
        <v>45928.125</v>
      </c>
      <c r="B38" t="n">
        <v>2.1146</v>
      </c>
      <c r="C38">
        <f>_xlfn.NORM.DIST(B38,$B$45,$B$48,FALSE)</f>
        <v/>
      </c>
      <c r="D38" s="195">
        <f>B38/$B$46*100</f>
        <v/>
      </c>
      <c r="E38" t="n">
        <v>2.2147</v>
      </c>
      <c r="F38">
        <f>_xlfn.NORM.DIST(E38,$E$45,$E$48,FALSE)</f>
        <v/>
      </c>
      <c r="G38" s="195">
        <f>E38/$E$46*100</f>
        <v/>
      </c>
      <c r="H38" t="n">
        <v>14</v>
      </c>
      <c r="I38">
        <f>$E$46</f>
        <v/>
      </c>
    </row>
    <row r="39">
      <c r="A39" s="200" t="n">
        <v>45929</v>
      </c>
      <c r="B39" t="n">
        <v>2.1549</v>
      </c>
      <c r="C39">
        <f>_xlfn.NORM.DIST(B39,$B$45,$B$48,FALSE)</f>
        <v/>
      </c>
      <c r="D39" s="195">
        <f>B39/$B$46*100</f>
        <v/>
      </c>
      <c r="E39" t="n">
        <v>2.1702</v>
      </c>
      <c r="F39">
        <f>_xlfn.NORM.DIST(E39,$E$45,$E$48,FALSE)</f>
        <v/>
      </c>
      <c r="G39" s="195">
        <f>E39/$E$46*100</f>
        <v/>
      </c>
      <c r="H39" t="n">
        <v>15</v>
      </c>
      <c r="I39">
        <f>$E$46</f>
        <v/>
      </c>
    </row>
    <row r="40" ht="15.75" customHeight="1" thickBot="1">
      <c r="A40" s="200" t="n">
        <v>45930.08333333334</v>
      </c>
      <c r="B40" t="n">
        <v>2.1511</v>
      </c>
      <c r="C40">
        <f>_xlfn.NORM.DIST(B40,$B$45,$B$48,FALSE)</f>
        <v/>
      </c>
      <c r="D40" s="195">
        <f>B40/$B$46*100</f>
        <v/>
      </c>
      <c r="E40" t="n">
        <v>2.1837</v>
      </c>
      <c r="F40">
        <f>_xlfn.NORM.DIST(E40,$E$45,$E$48,FALSE)</f>
        <v/>
      </c>
      <c r="G40" s="195">
        <f>E40/$E$46*100</f>
        <v/>
      </c>
      <c r="H40" t="n">
        <v>16</v>
      </c>
      <c r="I40">
        <f>$E$46</f>
        <v/>
      </c>
    </row>
    <row r="41" ht="15.75" customHeight="1" thickBot="1">
      <c r="C41">
        <f>_xlfn.NORM.DIST(B41,$B$45,$B$48,FALSE)</f>
        <v/>
      </c>
      <c r="D41" s="195">
        <f>B41/$B$46*100</f>
        <v/>
      </c>
      <c r="F41">
        <f>_xlfn.NORM.DIST(E41,$E$45,$E$48,FALSE)</f>
        <v/>
      </c>
      <c r="G41" s="195">
        <f>E41/$E$46*100</f>
        <v/>
      </c>
      <c r="H41" t="n">
        <v>17</v>
      </c>
      <c r="I41">
        <f>$E$46</f>
        <v/>
      </c>
      <c r="K41" s="239" t="inlineStr">
        <is>
          <t>CVS</t>
        </is>
      </c>
      <c r="L41" s="241" t="n"/>
      <c r="M41" s="242" t="inlineStr">
        <is>
          <t>LCS</t>
        </is>
      </c>
      <c r="N41" s="244" t="n"/>
      <c r="O41" s="245" t="inlineStr">
        <is>
          <t>RTS</t>
        </is>
      </c>
      <c r="P41" s="247" t="n"/>
    </row>
    <row r="42">
      <c r="C42">
        <f>_xlfn.NORM.DIST(B42,$B$45,$B$48,FALSE)</f>
        <v/>
      </c>
      <c r="D42" s="195">
        <f>B42/$B$46*100</f>
        <v/>
      </c>
      <c r="F42">
        <f>_xlfn.NORM.DIST(E42,$E$45,$E$48,FALSE)</f>
        <v/>
      </c>
      <c r="G42" s="195">
        <f>E42/$E$46*100</f>
        <v/>
      </c>
      <c r="H42" t="n">
        <v>18</v>
      </c>
      <c r="I42">
        <f>$E$46</f>
        <v/>
      </c>
      <c r="J42" s="210" t="inlineStr">
        <is>
          <t xml:space="preserve">   </t>
        </is>
      </c>
      <c r="K42" s="199" t="inlineStr">
        <is>
          <t>% Bias</t>
        </is>
      </c>
      <c r="L42" s="197" t="inlineStr">
        <is>
          <t>% Error</t>
        </is>
      </c>
      <c r="M42" s="199" t="inlineStr">
        <is>
          <t>% Bias</t>
        </is>
      </c>
      <c r="N42" s="197" t="inlineStr">
        <is>
          <t>% Error</t>
        </is>
      </c>
      <c r="O42" s="198" t="inlineStr">
        <is>
          <t>% Bias</t>
        </is>
      </c>
      <c r="P42" s="197" t="inlineStr">
        <is>
          <t>% Error</t>
        </is>
      </c>
    </row>
    <row r="43">
      <c r="C43">
        <f>_xlfn.NORM.DIST(B43,$B$45,$B$48,FALSE)</f>
        <v/>
      </c>
      <c r="D43" s="195">
        <f>B43/$B$46*100</f>
        <v/>
      </c>
      <c r="F43">
        <f>_xlfn.NORM.DIST(E43,$E$45,$E$48,FALSE)</f>
        <v/>
      </c>
      <c r="G43" s="195">
        <f>E43/$E$46*100</f>
        <v/>
      </c>
      <c r="H43" t="n">
        <v>19</v>
      </c>
      <c r="I43">
        <f>$E$46</f>
        <v/>
      </c>
      <c r="J43" s="209" t="inlineStr">
        <is>
          <t>Propane</t>
        </is>
      </c>
      <c r="K43" s="208">
        <f>B45/B46</f>
        <v/>
      </c>
      <c r="L43" s="206">
        <f>B48/B45</f>
        <v/>
      </c>
      <c r="M43" s="208">
        <f>K18/K16</f>
        <v/>
      </c>
      <c r="N43" s="206">
        <f>K15/K18</f>
        <v/>
      </c>
      <c r="O43" s="207">
        <f>K34/K33</f>
        <v/>
      </c>
      <c r="P43" s="206">
        <f>K32/K34</f>
        <v/>
      </c>
    </row>
    <row r="44" ht="15.75" customHeight="1" thickBot="1">
      <c r="C44">
        <f>_xlfn.NORM.DIST(B44,$B$45,$B$48,FALSE)</f>
        <v/>
      </c>
      <c r="D44" s="195">
        <f>B44/$B$46*100</f>
        <v/>
      </c>
      <c r="F44">
        <f>_xlfn.NORM.DIST(E44,$E$45,$E$48,FALSE)</f>
        <v/>
      </c>
      <c r="G44" s="195">
        <f>E44/$E$46*100</f>
        <v/>
      </c>
      <c r="H44" t="n">
        <v>20</v>
      </c>
      <c r="I44">
        <f>$E$46</f>
        <v/>
      </c>
      <c r="J44" s="205" t="inlineStr">
        <is>
          <t>Toluene</t>
        </is>
      </c>
      <c r="K44" s="204">
        <f>E45/E46</f>
        <v/>
      </c>
      <c r="L44" s="202">
        <f>E48/E45</f>
        <v/>
      </c>
      <c r="M44" s="204">
        <f>M18/M16</f>
        <v/>
      </c>
      <c r="N44" s="202">
        <f>M15/M18</f>
        <v/>
      </c>
      <c r="O44" s="203">
        <f>M34/M33</f>
        <v/>
      </c>
      <c r="P44" s="202">
        <f>M32/M34</f>
        <v/>
      </c>
    </row>
    <row r="45">
      <c r="A45" s="199" t="inlineStr">
        <is>
          <t>Average</t>
        </is>
      </c>
      <c r="B45" s="199">
        <f>AVERAGE(B6:B44)</f>
        <v/>
      </c>
      <c r="C45" s="198" t="n"/>
      <c r="D45" s="198" t="n"/>
      <c r="E45" s="199">
        <f>AVERAGE(E6:E44)</f>
        <v/>
      </c>
      <c r="F45" s="198" t="n"/>
      <c r="G45" s="197" t="n"/>
      <c r="H45" t="n">
        <v>21</v>
      </c>
      <c r="I45">
        <f>$E$46</f>
        <v/>
      </c>
    </row>
    <row r="46">
      <c r="A46" s="196" t="inlineStr">
        <is>
          <t>Target 1</t>
        </is>
      </c>
      <c r="B46" s="196">
        <f>B2*C2*1000*3</f>
        <v/>
      </c>
      <c r="E46" s="196">
        <f>B2*D2*1000*7</f>
        <v/>
      </c>
      <c r="G46" s="195" t="n"/>
    </row>
    <row r="47">
      <c r="A47" t="inlineStr">
        <is>
          <t>Target 2</t>
        </is>
      </c>
      <c r="B47" s="196">
        <f>B3*C3*1000*3</f>
        <v/>
      </c>
      <c r="E47" s="196">
        <f>B3*D3*1000*7</f>
        <v/>
      </c>
      <c r="G47" s="195" t="n"/>
    </row>
    <row r="48" ht="15.75" customHeight="1" thickBot="1">
      <c r="A48" s="194" t="inlineStr">
        <is>
          <t>Std Dev</t>
        </is>
      </c>
      <c r="B48" s="194">
        <f>_xlfn.STDEV.P(B6:B44)</f>
        <v/>
      </c>
      <c r="C48" s="193" t="n"/>
      <c r="D48" s="193" t="n"/>
      <c r="E48" s="194">
        <f>_xlfn.STDEV.P(E6:E44)</f>
        <v/>
      </c>
      <c r="F48" s="193" t="n"/>
      <c r="G48" s="192" t="n"/>
    </row>
  </sheetData>
  <mergeCells count="3">
    <mergeCell ref="J4:N4"/>
    <mergeCell ref="J25:N25"/>
    <mergeCell ref="A4:G4"/>
  </mergeCells>
  <pageMargins left="0.7" right="0.7" top="0.75" bottom="0.75" header="0.3" footer="0.3"/>
  <pageSetup orientation="landscape" scale="54" fitToHeight="0"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sighi</dc:creator>
  <dcterms:created xmlns:dcterms="http://purl.org/dc/terms/" xmlns:xsi="http://www.w3.org/2001/XMLSchema-instance" xsi:type="dcterms:W3CDTF">2019-09-27T22:33:13Z</dcterms:created>
  <dcterms:modified xmlns:dcterms="http://purl.org/dc/terms/" xmlns:xsi="http://www.w3.org/2001/XMLSchema-instance" xsi:type="dcterms:W3CDTF">2026-04-20T15:19:30Z</dcterms:modified>
  <cp:lastModifiedBy>Alex Engstrom</cp:lastModifiedBy>
  <cp:lastPrinted>2023-04-04T21:02:08Z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0x010100920676F4B55C644F923E04FD4B4BD4C4</vt:lpwstr>
  </property>
</Properties>
</file>