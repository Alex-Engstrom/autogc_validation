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autogc_validation\templates\mdvr\"/>
    </mc:Choice>
  </mc:AlternateContent>
  <xr:revisionPtr revIDLastSave="0" documentId="13_ncr:1_{071CA4AE-D5C3-4850-A03A-A12D3A994900}" xr6:coauthVersionLast="47" xr6:coauthVersionMax="47" xr10:uidLastSave="{00000000-0000-0000-0000-000000000000}"/>
  <bookViews>
    <workbookView xWindow="-28920" yWindow="-120" windowWidth="29040" windowHeight="15720" tabRatio="728" activeTab="6" xr2:uid="{E37DDDF8-73F6-4E92-BA4E-6EA5ABD1E492}"/>
  </bookViews>
  <sheets>
    <sheet name="Validator Notes" sheetId="16" r:id="rId1"/>
    <sheet name="QC Review" sheetId="10" r:id="rId2"/>
    <sheet name="Reprocessed Data" sheetId="2" r:id="rId3"/>
    <sheet name="Reprocess Plan" sheetId="3" r:id="rId4"/>
    <sheet name="QUALIFIERS_NULL " sheetId="11" r:id="rId5"/>
    <sheet name="Reference Info" sheetId="14" r:id="rId6"/>
    <sheet name="Calculations" sheetId="15" r:id="rId7"/>
  </sheets>
  <definedNames>
    <definedName name="_xlnm.Print_Area" localSheetId="1">'QC Review'!$A$1:$G$119</definedName>
    <definedName name="_xlnm.Print_Area" localSheetId="4">'QUALIFIERS_NULL '!$A$1:$XEZ$52</definedName>
    <definedName name="_xlnm.Print_Area" localSheetId="3">'Reprocess Plan'!$C$1:$BH$188</definedName>
    <definedName name="_xlnm.Print_Area" localSheetId="2">'Reprocessed Data'!$A$1:$L$88</definedName>
    <definedName name="_xlnm.Print_Area" localSheetId="0">'Validator Notes'!$A$1:$M$95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7" i="15" l="1"/>
  <c r="L20" i="15"/>
  <c r="L21" i="15"/>
  <c r="L22" i="15"/>
  <c r="L23" i="15"/>
  <c r="L24" i="15"/>
  <c r="L25" i="15"/>
  <c r="L26" i="15"/>
  <c r="J20" i="15"/>
  <c r="J21" i="15"/>
  <c r="J22" i="15"/>
  <c r="J23" i="15"/>
  <c r="J24" i="15"/>
  <c r="J25" i="15"/>
  <c r="J26" i="15"/>
  <c r="J27" i="15"/>
  <c r="L19" i="15"/>
  <c r="J19" i="15"/>
  <c r="B4" i="11"/>
  <c r="B5" i="11"/>
  <c r="B3" i="11"/>
  <c r="Z2" i="3"/>
  <c r="P2" i="3"/>
  <c r="B5" i="2"/>
  <c r="B4" i="2"/>
  <c r="B3" i="2"/>
  <c r="E3" i="10"/>
  <c r="B4" i="10"/>
  <c r="B3" i="10"/>
  <c r="B51" i="16"/>
  <c r="B93" i="16"/>
  <c r="C93" i="16" s="1"/>
  <c r="D93" i="16"/>
  <c r="E93" i="16"/>
  <c r="P43" i="11" l="1"/>
  <c r="P44" i="11"/>
  <c r="P45" i="11"/>
  <c r="P46" i="11"/>
  <c r="P47" i="11"/>
  <c r="P48" i="11"/>
  <c r="P49" i="11"/>
  <c r="P50" i="11"/>
  <c r="P51" i="11"/>
  <c r="P52" i="11"/>
  <c r="P53" i="11"/>
  <c r="P54" i="11"/>
  <c r="P55" i="11"/>
  <c r="P56" i="11"/>
  <c r="P42" i="11"/>
  <c r="P41" i="11"/>
  <c r="P40" i="11"/>
  <c r="P39" i="11"/>
  <c r="P38" i="11"/>
  <c r="P37" i="11"/>
  <c r="P36" i="11"/>
  <c r="P35" i="11"/>
  <c r="P34" i="11"/>
  <c r="P33" i="11"/>
  <c r="P32" i="11"/>
  <c r="P31" i="11"/>
  <c r="P30" i="11"/>
  <c r="P25" i="11"/>
  <c r="P24" i="11"/>
  <c r="P23" i="11"/>
  <c r="P22" i="11"/>
  <c r="P21" i="11"/>
  <c r="P20" i="11"/>
  <c r="P19" i="11"/>
  <c r="P18" i="11"/>
  <c r="P17" i="11"/>
  <c r="P16" i="11"/>
  <c r="P15" i="11"/>
  <c r="P14" i="11"/>
  <c r="P13" i="11"/>
  <c r="P12" i="11"/>
  <c r="P11" i="11"/>
  <c r="P10" i="11"/>
  <c r="C4" i="15"/>
  <c r="F4" i="15"/>
  <c r="C5" i="15"/>
  <c r="F5" i="15"/>
  <c r="C6" i="15"/>
  <c r="F6" i="15"/>
  <c r="C7" i="15"/>
  <c r="F7" i="15"/>
  <c r="C8" i="15"/>
  <c r="F8" i="15"/>
  <c r="C9" i="15"/>
  <c r="F9" i="15"/>
  <c r="C10" i="15"/>
  <c r="D10" i="15"/>
  <c r="F10" i="15"/>
  <c r="C11" i="15"/>
  <c r="F11" i="15"/>
  <c r="C12" i="15"/>
  <c r="F12" i="15"/>
  <c r="C13" i="15"/>
  <c r="F13" i="15"/>
  <c r="C14" i="15"/>
  <c r="F14" i="15"/>
  <c r="C15" i="15"/>
  <c r="F15" i="15"/>
  <c r="C16" i="15"/>
  <c r="F16" i="15"/>
  <c r="C17" i="15"/>
  <c r="D17" i="15"/>
  <c r="F17" i="15"/>
  <c r="C18" i="15"/>
  <c r="F18" i="15"/>
  <c r="C19" i="15"/>
  <c r="F19" i="15"/>
  <c r="C20" i="15"/>
  <c r="F20" i="15"/>
  <c r="C21" i="15"/>
  <c r="F21" i="15"/>
  <c r="C22" i="15"/>
  <c r="F22" i="15"/>
  <c r="C23" i="15"/>
  <c r="F23" i="15"/>
  <c r="C24" i="15"/>
  <c r="D24" i="15"/>
  <c r="F24" i="15"/>
  <c r="C25" i="15"/>
  <c r="F25" i="15"/>
  <c r="C26" i="15"/>
  <c r="F26" i="15"/>
  <c r="C27" i="15"/>
  <c r="F27" i="15"/>
  <c r="C28" i="15"/>
  <c r="F28" i="15"/>
  <c r="C29" i="15"/>
  <c r="F29" i="15"/>
  <c r="C30" i="15"/>
  <c r="F30" i="15"/>
  <c r="C31" i="15"/>
  <c r="D31" i="15"/>
  <c r="F31" i="15"/>
  <c r="C32" i="15"/>
  <c r="F32" i="15"/>
  <c r="C33" i="15"/>
  <c r="F33" i="15"/>
  <c r="C34" i="15"/>
  <c r="F34" i="15"/>
  <c r="C35" i="15"/>
  <c r="F35" i="15"/>
  <c r="C36" i="15"/>
  <c r="F36" i="15"/>
  <c r="C37" i="15"/>
  <c r="F37" i="15"/>
  <c r="C38" i="15"/>
  <c r="D38" i="15"/>
  <c r="F38" i="15"/>
  <c r="C39" i="15"/>
  <c r="F39" i="15"/>
  <c r="C40" i="15"/>
  <c r="F40" i="15"/>
  <c r="C41" i="15"/>
  <c r="F41" i="15"/>
  <c r="C42" i="15"/>
  <c r="F42" i="15"/>
  <c r="C43" i="15"/>
  <c r="F43" i="15"/>
  <c r="C44" i="15"/>
  <c r="F44" i="15"/>
  <c r="C45" i="15"/>
  <c r="D45" i="15"/>
  <c r="F45" i="15"/>
  <c r="B53" i="15"/>
  <c r="C53" i="15"/>
  <c r="D53" i="15"/>
  <c r="D58" i="15" s="1"/>
  <c r="D60" i="15" s="1"/>
  <c r="E53" i="15"/>
  <c r="E58" i="15" s="1"/>
  <c r="E60" i="15" s="1"/>
  <c r="F53" i="15"/>
  <c r="F58" i="15" s="1"/>
  <c r="F60" i="15" s="1"/>
  <c r="G53" i="15"/>
  <c r="G58" i="15" s="1"/>
  <c r="G60" i="15" s="1"/>
  <c r="H53" i="15"/>
  <c r="H58" i="15" s="1"/>
  <c r="H60" i="15" s="1"/>
  <c r="I53" i="15"/>
  <c r="I58" i="15" s="1"/>
  <c r="I60" i="15" s="1"/>
  <c r="J53" i="15"/>
  <c r="J58" i="15" s="1"/>
  <c r="J60" i="15" s="1"/>
  <c r="K53" i="15"/>
  <c r="K58" i="15" s="1"/>
  <c r="K60" i="15" s="1"/>
  <c r="L53" i="15"/>
  <c r="L58" i="15" s="1"/>
  <c r="L60" i="15" s="1"/>
  <c r="M53" i="15"/>
  <c r="M58" i="15" s="1"/>
  <c r="M60" i="15" s="1"/>
  <c r="N53" i="15"/>
  <c r="N58" i="15" s="1"/>
  <c r="N60" i="15" s="1"/>
  <c r="O53" i="15"/>
  <c r="O58" i="15" s="1"/>
  <c r="O60" i="15" s="1"/>
  <c r="P53" i="15"/>
  <c r="P58" i="15" s="1"/>
  <c r="P60" i="15" s="1"/>
  <c r="Q53" i="15"/>
  <c r="R53" i="15"/>
  <c r="R58" i="15" s="1"/>
  <c r="R60" i="15" s="1"/>
  <c r="S53" i="15"/>
  <c r="S58" i="15" s="1"/>
  <c r="S60" i="15" s="1"/>
  <c r="T53" i="15"/>
  <c r="U53" i="15"/>
  <c r="U58" i="15" s="1"/>
  <c r="U60" i="15" s="1"/>
  <c r="V53" i="15"/>
  <c r="V58" i="15" s="1"/>
  <c r="V60" i="15" s="1"/>
  <c r="W53" i="15"/>
  <c r="X53" i="15"/>
  <c r="X58" i="15" s="1"/>
  <c r="X60" i="15" s="1"/>
  <c r="Y53" i="15"/>
  <c r="Y58" i="15" s="1"/>
  <c r="Y60" i="15" s="1"/>
  <c r="Z53" i="15"/>
  <c r="Z58" i="15" s="1"/>
  <c r="Z60" i="15" s="1"/>
  <c r="AA53" i="15"/>
  <c r="AA58" i="15" s="1"/>
  <c r="AA60" i="15" s="1"/>
  <c r="AB53" i="15"/>
  <c r="AB58" i="15" s="1"/>
  <c r="AB60" i="15" s="1"/>
  <c r="AC53" i="15"/>
  <c r="AC58" i="15" s="1"/>
  <c r="AC60" i="15" s="1"/>
  <c r="AD53" i="15"/>
  <c r="AD58" i="15" s="1"/>
  <c r="AD60" i="15" s="1"/>
  <c r="AE53" i="15"/>
  <c r="AE58" i="15" s="1"/>
  <c r="AE60" i="15" s="1"/>
  <c r="AF53" i="15"/>
  <c r="AF58" i="15" s="1"/>
  <c r="AF60" i="15" s="1"/>
  <c r="AG53" i="15"/>
  <c r="AG58" i="15" s="1"/>
  <c r="AG60" i="15" s="1"/>
  <c r="AH53" i="15"/>
  <c r="AH58" i="15" s="1"/>
  <c r="AH60" i="15" s="1"/>
  <c r="AI53" i="15"/>
  <c r="AI58" i="15" s="1"/>
  <c r="AI60" i="15" s="1"/>
  <c r="AJ53" i="15"/>
  <c r="AJ58" i="15" s="1"/>
  <c r="AJ60" i="15" s="1"/>
  <c r="AK53" i="15"/>
  <c r="AK58" i="15" s="1"/>
  <c r="AK60" i="15" s="1"/>
  <c r="AL53" i="15"/>
  <c r="AL58" i="15" s="1"/>
  <c r="AL60" i="15" s="1"/>
  <c r="AM53" i="15"/>
  <c r="AM58" i="15" s="1"/>
  <c r="AM60" i="15" s="1"/>
  <c r="AN53" i="15"/>
  <c r="AN58" i="15" s="1"/>
  <c r="AN60" i="15" s="1"/>
  <c r="AO53" i="15"/>
  <c r="AO58" i="15" s="1"/>
  <c r="AO60" i="15" s="1"/>
  <c r="AP53" i="15"/>
  <c r="AP58" i="15" s="1"/>
  <c r="AP60" i="15" s="1"/>
  <c r="AQ53" i="15"/>
  <c r="AQ58" i="15" s="1"/>
  <c r="AQ60" i="15" s="1"/>
  <c r="AR53" i="15"/>
  <c r="AS53" i="15"/>
  <c r="AT53" i="15"/>
  <c r="AU53" i="15"/>
  <c r="AV53" i="15"/>
  <c r="AW53" i="15"/>
  <c r="AX53" i="15"/>
  <c r="AX58" i="15" s="1"/>
  <c r="AX60" i="15" s="1"/>
  <c r="AY53" i="15"/>
  <c r="AY58" i="15" s="1"/>
  <c r="AY60" i="15" s="1"/>
  <c r="AZ53" i="15"/>
  <c r="AZ58" i="15" s="1"/>
  <c r="AZ60" i="15" s="1"/>
  <c r="BA53" i="15"/>
  <c r="BA58" i="15" s="1"/>
  <c r="BA60" i="15" s="1"/>
  <c r="BB53" i="15"/>
  <c r="BB58" i="15" s="1"/>
  <c r="BB60" i="15" s="1"/>
  <c r="BC53" i="15"/>
  <c r="BC58" i="15" s="1"/>
  <c r="BC60" i="15" s="1"/>
  <c r="BD53" i="15"/>
  <c r="BD58" i="15" s="1"/>
  <c r="BD60" i="15" s="1"/>
  <c r="BE53" i="15"/>
  <c r="BE58" i="15" s="1"/>
  <c r="BE60" i="15" s="1"/>
  <c r="BF53" i="15"/>
  <c r="BF58" i="15" s="1"/>
  <c r="BF60" i="15" s="1"/>
  <c r="BG53" i="15"/>
  <c r="BG58" i="15" s="1"/>
  <c r="BG60" i="15" s="1"/>
  <c r="BH53" i="15"/>
  <c r="BH58" i="15" s="1"/>
  <c r="BH60" i="15" s="1"/>
  <c r="BI53" i="15"/>
  <c r="BI58" i="15" s="1"/>
  <c r="BI60" i="15" s="1"/>
  <c r="BJ53" i="15"/>
  <c r="BJ58" i="15" s="1"/>
  <c r="BJ60" i="15" s="1"/>
  <c r="BK53" i="15"/>
  <c r="BK58" i="15" s="1"/>
  <c r="BK60" i="15" s="1"/>
  <c r="B58" i="15"/>
  <c r="B60" i="15" s="1"/>
  <c r="C58" i="15"/>
  <c r="C60" i="15" s="1"/>
  <c r="Q58" i="15"/>
  <c r="T58" i="15"/>
  <c r="T60" i="15" s="1"/>
  <c r="W58" i="15"/>
  <c r="W60" i="15" s="1"/>
  <c r="AR58" i="15"/>
  <c r="AR60" i="15" s="1"/>
  <c r="AS58" i="15"/>
  <c r="AS60" i="15" s="1"/>
  <c r="AT58" i="15"/>
  <c r="AT60" i="15" s="1"/>
  <c r="AU58" i="15"/>
  <c r="AU60" i="15" s="1"/>
  <c r="AV58" i="15"/>
  <c r="AV60" i="15" s="1"/>
  <c r="AW58" i="15"/>
  <c r="AW60" i="15" s="1"/>
  <c r="Q60" i="15"/>
  <c r="C1" i="14"/>
  <c r="G1" i="14"/>
  <c r="C2" i="14"/>
  <c r="D4" i="15"/>
  <c r="G45" i="15"/>
  <c r="G38" i="15" l="1"/>
  <c r="G24" i="15"/>
  <c r="G4" i="15"/>
  <c r="G11" i="15"/>
  <c r="G18" i="15"/>
  <c r="G25" i="15"/>
  <c r="G32" i="15"/>
  <c r="G39" i="15"/>
  <c r="G5" i="15"/>
  <c r="G12" i="15"/>
  <c r="G19" i="15"/>
  <c r="G26" i="15"/>
  <c r="G33" i="15"/>
  <c r="G40" i="15"/>
  <c r="G6" i="15"/>
  <c r="G13" i="15"/>
  <c r="G20" i="15"/>
  <c r="G27" i="15"/>
  <c r="G34" i="15"/>
  <c r="G41" i="15"/>
  <c r="G9" i="15"/>
  <c r="G23" i="15"/>
  <c r="G30" i="15"/>
  <c r="G37" i="15"/>
  <c r="G44" i="15"/>
  <c r="G7" i="15"/>
  <c r="G14" i="15"/>
  <c r="G21" i="15"/>
  <c r="G28" i="15"/>
  <c r="G35" i="15"/>
  <c r="G42" i="15"/>
  <c r="G8" i="15"/>
  <c r="G15" i="15"/>
  <c r="G22" i="15"/>
  <c r="G29" i="15"/>
  <c r="G36" i="15"/>
  <c r="G43" i="15"/>
  <c r="G10" i="15"/>
  <c r="G31" i="15"/>
  <c r="G17" i="15"/>
  <c r="G16" i="15"/>
  <c r="D44" i="15"/>
  <c r="D37" i="15"/>
  <c r="D30" i="15"/>
  <c r="D23" i="15"/>
  <c r="D16" i="15"/>
  <c r="D9" i="15"/>
  <c r="D43" i="15"/>
  <c r="D36" i="15"/>
  <c r="D29" i="15"/>
  <c r="D22" i="15"/>
  <c r="D15" i="15"/>
  <c r="D8" i="15"/>
  <c r="D42" i="15"/>
  <c r="D35" i="15"/>
  <c r="D28" i="15"/>
  <c r="D21" i="15"/>
  <c r="D14" i="15"/>
  <c r="D7" i="15"/>
  <c r="D41" i="15"/>
  <c r="D34" i="15"/>
  <c r="D27" i="15"/>
  <c r="D20" i="15"/>
  <c r="D13" i="15"/>
  <c r="D6" i="15"/>
  <c r="D40" i="15"/>
  <c r="D33" i="15"/>
  <c r="D26" i="15"/>
  <c r="D19" i="15"/>
  <c r="D12" i="15"/>
  <c r="D5" i="15"/>
  <c r="D39" i="15"/>
  <c r="D32" i="15"/>
  <c r="D25" i="15"/>
  <c r="D18" i="15"/>
  <c r="D11" i="15"/>
  <c r="Z49" i="3" l="1"/>
  <c r="P49" i="3"/>
  <c r="P143" i="3" l="1"/>
  <c r="P96" i="3"/>
  <c r="Z96" i="3"/>
  <c r="Z143" i="3"/>
</calcChain>
</file>

<file path=xl/sharedStrings.xml><?xml version="1.0" encoding="utf-8"?>
<sst xmlns="http://schemas.openxmlformats.org/spreadsheetml/2006/main" count="1509" uniqueCount="330">
  <si>
    <t>Site</t>
  </si>
  <si>
    <t>Month/Year</t>
  </si>
  <si>
    <t>Validator</t>
  </si>
  <si>
    <t>Batch</t>
  </si>
  <si>
    <t>single file rpo</t>
  </si>
  <si>
    <t>Data Range</t>
  </si>
  <si>
    <t>Date</t>
  </si>
  <si>
    <t>Column</t>
  </si>
  <si>
    <t>Corrections Made</t>
  </si>
  <si>
    <t>data file</t>
  </si>
  <si>
    <t>Hour</t>
  </si>
  <si>
    <t>-</t>
  </si>
  <si>
    <t>RPO</t>
  </si>
  <si>
    <t>Reprocess Plan</t>
  </si>
  <si>
    <t>Site:</t>
  </si>
  <si>
    <t>Month/Year:</t>
  </si>
  <si>
    <t>Pg.</t>
  </si>
  <si>
    <t>A</t>
  </si>
  <si>
    <t>B</t>
  </si>
  <si>
    <t>C</t>
  </si>
  <si>
    <t>D</t>
  </si>
  <si>
    <t>E</t>
  </si>
  <si>
    <t>F</t>
  </si>
  <si>
    <t>G</t>
  </si>
  <si>
    <t>H</t>
  </si>
  <si>
    <t>I</t>
  </si>
  <si>
    <t>J</t>
  </si>
  <si>
    <t>K</t>
  </si>
  <si>
    <t>L</t>
  </si>
  <si>
    <t>M</t>
  </si>
  <si>
    <t>N</t>
  </si>
  <si>
    <t>O</t>
  </si>
  <si>
    <t>P</t>
  </si>
  <si>
    <t>Q</t>
  </si>
  <si>
    <t>R</t>
  </si>
  <si>
    <t>S</t>
  </si>
  <si>
    <t>T</t>
  </si>
  <si>
    <t>U</t>
  </si>
  <si>
    <t>V</t>
  </si>
  <si>
    <t>W</t>
  </si>
  <si>
    <t>X</t>
  </si>
  <si>
    <t>Checked PLOT</t>
  </si>
  <si>
    <t>RPO PLOT</t>
  </si>
  <si>
    <t>Checked BP</t>
  </si>
  <si>
    <t>RPO BP</t>
  </si>
  <si>
    <t>Invalid PLOT</t>
  </si>
  <si>
    <t>Invalid BP</t>
  </si>
  <si>
    <t>Notes:</t>
  </si>
  <si>
    <t>Validator Notes</t>
  </si>
  <si>
    <t>Validation Prep:</t>
  </si>
  <si>
    <t>Review Quicklooks:</t>
  </si>
  <si>
    <t>Review Oplog:</t>
  </si>
  <si>
    <t>Dates (1-31) Hours (A-X)</t>
  </si>
  <si>
    <t>Invalidate missing hours</t>
  </si>
  <si>
    <t>Invalidate data collection errors</t>
  </si>
  <si>
    <t>Review Chromatography:</t>
  </si>
  <si>
    <t>Review Reprocess Plan:</t>
  </si>
  <si>
    <t>All highlighted hours have been viewed</t>
  </si>
  <si>
    <t>Validation:</t>
  </si>
  <si>
    <t>CVS</t>
  </si>
  <si>
    <t>Blank</t>
  </si>
  <si>
    <t>LCS</t>
  </si>
  <si>
    <t>RTS</t>
  </si>
  <si>
    <t>Missing Data</t>
  </si>
  <si>
    <t>Invalidate</t>
  </si>
  <si>
    <t>Op Log</t>
  </si>
  <si>
    <t>All QC samples have been viewed</t>
  </si>
  <si>
    <t>Total # of Records</t>
  </si>
  <si>
    <t>Date data recovery</t>
  </si>
  <si>
    <t>Hours in Time Period</t>
  </si>
  <si>
    <t>% Data Return adjusted for QC</t>
  </si>
  <si>
    <t>Reprocessed Data matches Reprocess Plan</t>
  </si>
  <si>
    <t>AQS File Date</t>
  </si>
  <si>
    <t>Applied Validation Lock</t>
  </si>
  <si>
    <t>Zip data folder (including raw, rst, tx0, mtd, seq)</t>
  </si>
  <si>
    <t>Invalidate TMNHC/TC if invalidating 8+ compounds</t>
  </si>
  <si>
    <t>Reprocessed file</t>
  </si>
  <si>
    <t>RP</t>
  </si>
  <si>
    <t>Total Valid Ambient Hours</t>
  </si>
  <si>
    <t>Total Invalid Hours</t>
  </si>
  <si>
    <t>Valid Ambient Recovery (%)</t>
  </si>
  <si>
    <t>Check this Hour</t>
  </si>
  <si>
    <t>OK</t>
  </si>
  <si>
    <t>Hour reviewed and correct</t>
  </si>
  <si>
    <t>Month Notes</t>
  </si>
  <si>
    <t>method</t>
  </si>
  <si>
    <t>Sequence</t>
  </si>
  <si>
    <t>Totl Valid Ambient Plus QC</t>
  </si>
  <si>
    <t>Date File Archived</t>
  </si>
  <si>
    <t>QC Type</t>
  </si>
  <si>
    <t>CVS Precision</t>
  </si>
  <si>
    <t>Audit</t>
  </si>
  <si>
    <t>Plot Column Notes</t>
  </si>
  <si>
    <t>BP  Notes</t>
  </si>
  <si>
    <t>Filename</t>
  </si>
  <si>
    <t>Actions</t>
  </si>
  <si>
    <t>Date/Time</t>
  </si>
  <si>
    <t xml:space="preserve">Qulaifier Flag, MD, was applied to all paramaters and hours that measured below the MDL; Qulaifier Flag, ND, was applied to all paramaters and hours that where not detected; Qulaifier Flag, EH, was applied to Isoprene, 2-METHYL-1-PENTENE, 1-Hexene, and n-Dodecane - due to questions about the accuracy of the measurments at the end of the column; Qualif Flag, QX, was applied to ACETYLENE for whole month due to low CVS recovery; Qualif Flag, QX, was applied to BETA-PINENE from 5-1 to 5-16 due to high blank value; </t>
  </si>
  <si>
    <t>View hours before &amp; after invalidations</t>
  </si>
  <si>
    <t>Final QC report reviewed for addition invalidations</t>
  </si>
  <si>
    <t>Review new Quicklooks &amp; compare with Reprocess Plan</t>
  </si>
  <si>
    <t>Flag invalid hours, components</t>
  </si>
  <si>
    <t>QC (CVS, CVS Precision, LCS, RTS, BLANK, Audit) Review</t>
  </si>
  <si>
    <t xml:space="preserve">Verify all Daily-ZIP folders are downloaded into U:\PLAN\AMC\GC-Agilent+Markes\Data\ORIGINAL\{YYYY}\{YYYYMM} </t>
  </si>
  <si>
    <t>Verify Operator Reprocessed zip folders are downloaded into U:\PLAN\AMC\GC-Agilent+Markes\Data\ORIGINAL\{YYYY}\{YYYYMM}</t>
  </si>
  <si>
    <t xml:space="preserve">Verify all data has been extracted to C:\Users\{Username}\Documents\AutoGC Data\{SiteID}\{YYYY}\{YYYYMM} </t>
  </si>
  <si>
    <t>Ensure dates, times, and site names/numbers in files match up and are continuous. document any missing files on the Validation Notes.</t>
  </si>
  <si>
    <t xml:space="preserve">View and Print the Operator Log Book (Desktop), Op Log backup (D:\EZ\HW-meth), and Operator Checklist (Desktop) from the HW-GC computer with 72 hours on either side of the month.  Review and highlight major events in the operator log book such as optimizations, cylinder changes, major events (calibrations), major malfunctions (power failures, trap, oven door failures), etc.  Highlight hours for review during or around major events as necessary per operator log book. </t>
  </si>
  <si>
    <t>Number of tx1s matches Reprocess Data</t>
  </si>
  <si>
    <t>Validate &amp; Lock data in MAX</t>
  </si>
  <si>
    <t>Load and Decode new TX1 files in MAX</t>
  </si>
  <si>
    <t>*Report is based on the sample name in the tx0 or tx1 file.</t>
  </si>
  <si>
    <t>File Archive and AQS Upload</t>
  </si>
  <si>
    <t>All hourly invalidations recorded</t>
  </si>
  <si>
    <t>All QC failures listed as Invalidations or Qualified</t>
  </si>
  <si>
    <t>Move Xyymmdd.zip to U:\PLAN\AMC\GC-Agilent+Markes\Data\FINAL</t>
  </si>
  <si>
    <t>Calculate and store recoveries below</t>
  </si>
  <si>
    <t>Create AQS file (targets!)  ( Include QA/QC, Include X Run, Do not  Include TNMTC (43000) or Show amount if nulled data)</t>
  </si>
  <si>
    <t>Create AQS Blank file</t>
  </si>
  <si>
    <t>Multipoint</t>
  </si>
  <si>
    <t>Experimental/ Test</t>
  </si>
  <si>
    <t>Detection Limit</t>
  </si>
  <si>
    <t>Exp. Or Test Sample</t>
  </si>
  <si>
    <t>SB</t>
  </si>
  <si>
    <t>See Below</t>
  </si>
  <si>
    <t>Download Crosstab into MDVR folder pre changes</t>
  </si>
  <si>
    <t>Download Crosstab into MDVR folder post changes</t>
  </si>
  <si>
    <t xml:space="preserve">QUALIFIERS / NULL </t>
  </si>
  <si>
    <t>Null</t>
  </si>
  <si>
    <t>DATE/TIME RANGE</t>
  </si>
  <si>
    <t>Code</t>
  </si>
  <si>
    <t>Description</t>
  </si>
  <si>
    <t>Paramater (s)</t>
  </si>
  <si>
    <t>COMPOUND(S) or WHOLE HOUR(S) - REASON</t>
  </si>
  <si>
    <t>CODE</t>
  </si>
  <si>
    <t>Justification</t>
  </si>
  <si>
    <t>AF</t>
  </si>
  <si>
    <t>Scheduled but not Collected (Lost)</t>
  </si>
  <si>
    <t>BA</t>
  </si>
  <si>
    <t>AG</t>
  </si>
  <si>
    <t>Sample Time Out of Limits</t>
  </si>
  <si>
    <t>AH</t>
  </si>
  <si>
    <t>Sample Flow Rate out of Limits</t>
  </si>
  <si>
    <t>Experimental Data</t>
  </si>
  <si>
    <t>XX</t>
  </si>
  <si>
    <t>AI</t>
  </si>
  <si>
    <t>Insufficient Data (Invalid Sample Time)</t>
  </si>
  <si>
    <t>AM</t>
  </si>
  <si>
    <t>Misc. Void</t>
  </si>
  <si>
    <t>Collection Error</t>
  </si>
  <si>
    <t>AQ</t>
  </si>
  <si>
    <t>AN</t>
  </si>
  <si>
    <t>Machine Malfunction</t>
  </si>
  <si>
    <t>AS</t>
  </si>
  <si>
    <t>Poor QA results</t>
  </si>
  <si>
    <t>AT</t>
  </si>
  <si>
    <t>Calibration</t>
  </si>
  <si>
    <t>AV</t>
  </si>
  <si>
    <t>Power Failure</t>
  </si>
  <si>
    <t>Site Computer, Data Logger Down</t>
  </si>
  <si>
    <t>BK</t>
  </si>
  <si>
    <t>AX</t>
  </si>
  <si>
    <t>Precision Check</t>
  </si>
  <si>
    <t>Interference, Co-elution, Misid</t>
  </si>
  <si>
    <t>BH</t>
  </si>
  <si>
    <t>AY</t>
  </si>
  <si>
    <t>QC Control Points, Zero/Span</t>
  </si>
  <si>
    <t>AZ</t>
  </si>
  <si>
    <t xml:space="preserve">QC Audit (Audit Sample) </t>
  </si>
  <si>
    <t>Maintenances / Routine Repairs</t>
  </si>
  <si>
    <t>BJ</t>
  </si>
  <si>
    <t>Operator Error</t>
  </si>
  <si>
    <t>DA</t>
  </si>
  <si>
    <t>Aberrant Data, Corrupt Files, Spikes, Shifts</t>
  </si>
  <si>
    <t>QUALIFIERS</t>
  </si>
  <si>
    <t>DL</t>
  </si>
  <si>
    <t>TC</t>
  </si>
  <si>
    <t>Component Check &amp; RTS (RTS)</t>
  </si>
  <si>
    <t>QX</t>
  </si>
  <si>
    <t>LJ</t>
  </si>
  <si>
    <t>ID acceptable; Value is Estimate</t>
  </si>
  <si>
    <t>LL</t>
  </si>
  <si>
    <t>ID; Value Biased Low</t>
  </si>
  <si>
    <t>LK</t>
  </si>
  <si>
    <t>ID; Value Biased High</t>
  </si>
  <si>
    <t>Does not Meet QC Criteria</t>
  </si>
  <si>
    <t>EH</t>
  </si>
  <si>
    <t>Estimated; Exceeds Upper Range</t>
  </si>
  <si>
    <t>ND</t>
  </si>
  <si>
    <t>No Value Detected; Non Detect</t>
  </si>
  <si>
    <t>MD</t>
  </si>
  <si>
    <t>Value Less Than MDL (&lt;MDL)</t>
  </si>
  <si>
    <t>SQ</t>
  </si>
  <si>
    <t>Value b/t SQL and MDL (&gt;= MDL and &lt; SQL)</t>
  </si>
  <si>
    <t>SAMPLE TYPE CHANGES</t>
  </si>
  <si>
    <t>Outlier</t>
  </si>
  <si>
    <t>Validated Value</t>
  </si>
  <si>
    <t>FILE NAME</t>
  </si>
  <si>
    <t>OLD TYPE</t>
  </si>
  <si>
    <t>NEW TYPE</t>
  </si>
  <si>
    <t>DATE APPLIED</t>
  </si>
  <si>
    <t>Common Null Flags</t>
  </si>
  <si>
    <t>Common Qualifier Flag</t>
  </si>
  <si>
    <t>Target</t>
  </si>
  <si>
    <t>Average</t>
  </si>
  <si>
    <t>Toluene</t>
  </si>
  <si>
    <t>Propane</t>
  </si>
  <si>
    <t>% Error</t>
  </si>
  <si>
    <t>% Bias</t>
  </si>
  <si>
    <t>DATE/TIME</t>
  </si>
  <si>
    <t>Aengstrom</t>
  </si>
  <si>
    <t>Verify all Original TX1 files loaded into MAX</t>
  </si>
  <si>
    <t>PLOT</t>
  </si>
  <si>
    <t>Reference File:</t>
  </si>
  <si>
    <t>BP (ppbC)</t>
  </si>
  <si>
    <t>PLOT (ppbC)</t>
  </si>
  <si>
    <t>BP</t>
  </si>
  <si>
    <t>EH (Calibration Range)</t>
  </si>
  <si>
    <t>RSD</t>
  </si>
  <si>
    <t>RF</t>
  </si>
  <si>
    <t>Average (ppbC)</t>
  </si>
  <si>
    <t>Std Ave (ppbC)</t>
  </si>
  <si>
    <t>Std Dev (ppbC)</t>
  </si>
  <si>
    <t>Start Date</t>
  </si>
  <si>
    <t>Blend Ratio</t>
  </si>
  <si>
    <t>Canister Lot#</t>
  </si>
  <si>
    <t>Standard</t>
  </si>
  <si>
    <t>Calibrant Target</t>
  </si>
  <si>
    <t>Standards and References:</t>
  </si>
  <si>
    <t>*See Validation SOP for calculations.</t>
  </si>
  <si>
    <t>Miscellaneous Calculations and Verifications</t>
  </si>
  <si>
    <t>*Add explanation of additional calculations in Case Narrative.</t>
  </si>
  <si>
    <t>% Recovery</t>
  </si>
  <si>
    <t>Abs. Recovery</t>
  </si>
  <si>
    <t>TNMTC</t>
  </si>
  <si>
    <t>TNMHC</t>
  </si>
  <si>
    <t>N-dodecane</t>
  </si>
  <si>
    <t>N-undecane</t>
  </si>
  <si>
    <t>P-diethylbenzene</t>
  </si>
  <si>
    <t>M-diethylbenzene</t>
  </si>
  <si>
    <t>1,2,3-tri-m-benzene</t>
  </si>
  <si>
    <t>N-decane</t>
  </si>
  <si>
    <t>1,2,4-tri-m-benzene</t>
  </si>
  <si>
    <t>Beta-pinene</t>
  </si>
  <si>
    <t>O-ethyltoluene</t>
  </si>
  <si>
    <t>1,3,5-tri-m-benzene</t>
  </si>
  <si>
    <t>P-ethyltoluene</t>
  </si>
  <si>
    <t>M-ethyltoluene</t>
  </si>
  <si>
    <t>N-propylbenzene</t>
  </si>
  <si>
    <t>Alpha-pinene</t>
  </si>
  <si>
    <t>Iso-propylbenzene</t>
  </si>
  <si>
    <t>N-nonane</t>
  </si>
  <si>
    <t>O-xylene</t>
  </si>
  <si>
    <t>Styrene</t>
  </si>
  <si>
    <t>M&amp;p-xylene</t>
  </si>
  <si>
    <t>Ethylbenzene</t>
  </si>
  <si>
    <t>N-octane</t>
  </si>
  <si>
    <t>3-methylheptane</t>
  </si>
  <si>
    <t>2-methylheptane</t>
  </si>
  <si>
    <t>2,3,4-trimethylpentane</t>
  </si>
  <si>
    <t>Methylcyclohexane</t>
  </si>
  <si>
    <t>N-heptane</t>
  </si>
  <si>
    <t>2,2,4-trimethylpentane</t>
  </si>
  <si>
    <t>3-methylhexane</t>
  </si>
  <si>
    <t>2,3-dimethylpentane</t>
  </si>
  <si>
    <t>2-methylhexane</t>
  </si>
  <si>
    <t>Cyclohexane</t>
  </si>
  <si>
    <t>Benzene</t>
  </si>
  <si>
    <t>2,4-dimethylpentane</t>
  </si>
  <si>
    <t>Methylcyclopentane</t>
  </si>
  <si>
    <t>N-hexane</t>
  </si>
  <si>
    <t>1-hexene</t>
  </si>
  <si>
    <t>2-methyl-1-pentene</t>
  </si>
  <si>
    <t>Isoprene</t>
  </si>
  <si>
    <t>3-methylpentane</t>
  </si>
  <si>
    <t>2-methylpentane</t>
  </si>
  <si>
    <t>2,3-dimethylbutane</t>
  </si>
  <si>
    <t>2,2-dimethylbutane</t>
  </si>
  <si>
    <t>Cis-2-pentene</t>
  </si>
  <si>
    <t>1-pentene</t>
  </si>
  <si>
    <t>Trans-2-pentene</t>
  </si>
  <si>
    <t>1,3-butadiene</t>
  </si>
  <si>
    <t>N-pentane</t>
  </si>
  <si>
    <t>Iso-pentane</t>
  </si>
  <si>
    <t>Cyclopentane</t>
  </si>
  <si>
    <t>Cis-2-butene</t>
  </si>
  <si>
    <t>1-butene</t>
  </si>
  <si>
    <t>Trans-2-butene</t>
  </si>
  <si>
    <t>Acetylene</t>
  </si>
  <si>
    <t>N-butane</t>
  </si>
  <si>
    <t>Iso-butane</t>
  </si>
  <si>
    <t>Propylene</t>
  </si>
  <si>
    <t>Ethylene</t>
  </si>
  <si>
    <t>Ethane</t>
  </si>
  <si>
    <t>Ambient Air Spiked Hour</t>
  </si>
  <si>
    <t>Ambient Air Hours (Pre and post 1 hour if possible)</t>
  </si>
  <si>
    <t>Ambient Air Spike Evaluation</t>
  </si>
  <si>
    <t>X Axis</t>
  </si>
  <si>
    <t>Y Axis</t>
  </si>
  <si>
    <t>Target Line</t>
  </si>
  <si>
    <t>RTS Results</t>
  </si>
  <si>
    <t>LCS Results</t>
  </si>
  <si>
    <t>CVS Results</t>
  </si>
  <si>
    <t>Hours</t>
  </si>
  <si>
    <t>Total Null Flagged QC Hrs</t>
  </si>
  <si>
    <t>Data Completeness Report from Orsat MAX</t>
  </si>
  <si>
    <t>Archive File Name (Hwyyyymmv#.zip)</t>
  </si>
  <si>
    <r>
      <t>AQS File Name</t>
    </r>
    <r>
      <rPr>
        <sz val="11"/>
        <rFont val="Calibri"/>
        <family val="2"/>
        <scheme val="minor"/>
      </rPr>
      <t xml:space="preserve"> </t>
    </r>
  </si>
  <si>
    <t>Post Monthly Case Narrative to the Google Drive Validation folder.</t>
  </si>
  <si>
    <t>Generate Monthly Case Narrative</t>
  </si>
  <si>
    <t>Download/Print a copy of the Error Report from AQS into MDVR</t>
  </si>
  <si>
    <t>Upload data to AQS File and correct any issues. (Email to Bart or submit through Exchange)</t>
  </si>
  <si>
    <t>Send necessary emails and save a copy in the MDVR folder for general issues, 336-hr data losses, and ambient over-ranges.</t>
  </si>
  <si>
    <t>If invalidating &gt;336 hour or 14-days, of data loss; Generate memo of data loss.</t>
  </si>
  <si>
    <t>If invalidating more than 75% of analytes in a column, invalidate all analytes in the column.</t>
  </si>
  <si>
    <t>View hours before &amp; after validation method modifications (including peak shifting)</t>
  </si>
  <si>
    <t>If reprocessed, view reprocessed QC</t>
  </si>
  <si>
    <t>Highlight at least 3 hours to review daily on each column’s hourly grid page.  Ideally one hour will be reviewed for each of the following time span; Morning Commute (05-10), Afternoon (11-18); Night (0-4, or 19-23). Try not to exceed 10 hours between checked hours.</t>
  </si>
  <si>
    <t>Pick hours to view (1st/last month, surrounding invalidations, etc.)</t>
  </si>
  <si>
    <t>Samples over calibration range - make sure it is flagged as over the calibration range.</t>
  </si>
  <si>
    <t>Was there a new calibration Curve - Calculated RPD?  (Include Spreadsheet in MDVR)</t>
  </si>
  <si>
    <t>Was Annual PM performed this month?</t>
  </si>
  <si>
    <t>Was an MDL performed?  (Include Spreadsheet from Operations)</t>
  </si>
  <si>
    <t>Were EPA PT samples included in this month?</t>
  </si>
  <si>
    <t>Note Stock Cylinder Changes, Verify in MAX, and document in Reference Info Tab</t>
  </si>
  <si>
    <t>Check CVS, Blanks, and LCS Reports  and noting failures</t>
  </si>
  <si>
    <t>Transfer all documented communications with operator(s) to MDVR folder.</t>
  </si>
  <si>
    <t>Set up folder for validation with four folders in it (AQS, Final, MDVR, Original) name for the folder follows the format of two digit site ID, YYYYMM, version# (HW202604v1)</t>
  </si>
  <si>
    <t>Recovery</t>
  </si>
  <si>
    <t>Normal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</si>
</sst>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_(* #,##0.0000_);_(* \(#,##0.0000\);_(* &quot;-&quot;??_);_(@_)"/>
    <numFmt numFmtId="166" formatCode="0.0%"/>
  </numFmts>
  <fonts count="21" x14ac:knownFonts="1">
    <font>
      <sz val="11"/>
      <color theme="1"/>
      <name val="Calibri"/>
      <family val="2"/>
      <scheme val="minor"/>
    </font>
    <font>
      <sz val="10"/>
      <name val="Arial"/>
      <family val="2"/>
    </font>
    <font>
      <b/>
      <sz val="11"/>
      <color theme="1"/>
      <name val="Calibri"/>
      <family val="2"/>
      <scheme val="minor"/>
    </font>
    <font>
      <sz val="10"/>
      <name val="Calibri"/>
      <family val="2"/>
      <scheme val="minor"/>
    </font>
    <font>
      <b/>
      <sz val="14"/>
      <name val="Calibri"/>
      <family val="2"/>
      <scheme val="minor"/>
    </font>
    <font>
      <sz val="11"/>
      <name val="Calibri"/>
      <family val="2"/>
      <scheme val="minor"/>
    </font>
    <font>
      <b/>
      <sz val="10"/>
      <name val="Calibri"/>
      <family val="2"/>
      <scheme val="minor"/>
    </font>
    <font>
      <b/>
      <sz val="11"/>
      <name val="Calibri"/>
      <family val="2"/>
      <scheme val="minor"/>
    </font>
    <font>
      <b/>
      <sz val="16"/>
      <name val="Calibri"/>
      <family val="2"/>
      <scheme val="minor"/>
    </font>
    <font>
      <sz val="12"/>
      <color theme="1"/>
      <name val="Calibri"/>
      <family val="2"/>
      <scheme val="minor"/>
    </font>
    <font>
      <b/>
      <sz val="18"/>
      <name val="Calibri"/>
      <family val="2"/>
      <scheme val="minor"/>
    </font>
    <font>
      <b/>
      <sz val="12"/>
      <name val="Calibri"/>
      <family val="2"/>
      <scheme val="minor"/>
    </font>
    <font>
      <sz val="12"/>
      <name val="Calibri"/>
      <family val="2"/>
      <scheme val="minor"/>
    </font>
    <font>
      <b/>
      <sz val="14"/>
      <color indexed="22"/>
      <name val="Calibri"/>
      <family val="2"/>
      <scheme val="minor"/>
    </font>
    <font>
      <sz val="14"/>
      <name val="Calibri"/>
      <family val="2"/>
      <scheme val="minor"/>
    </font>
    <font>
      <sz val="10"/>
      <color theme="1"/>
      <name val="Calibri"/>
      <family val="2"/>
    </font>
    <font>
      <sz val="10"/>
      <color theme="1"/>
      <name val="Calibri"/>
      <family val="2"/>
      <scheme val="minor"/>
    </font>
    <font>
      <sz val="11"/>
      <color theme="1"/>
      <name val="Calibri"/>
      <family val="2"/>
      <scheme val="minor"/>
    </font>
    <font>
      <sz val="9"/>
      <color rgb="FF000000"/>
      <name val="Arial"/>
      <family val="2"/>
    </font>
    <font>
      <sz val="10"/>
      <name val="Arial"/>
      <family val="2"/>
    </font>
    <font>
      <sz val="18"/>
      <name val="Calibri"/>
      <family val="2"/>
      <scheme val="minor"/>
    </font>
  </fonts>
  <fills count="22">
    <fill>
      <patternFill patternType="none"/>
    </fill>
    <fill>
      <patternFill patternType="gray125"/>
    </fill>
    <fill>
      <patternFill patternType="solid">
        <fgColor indexed="2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B0F0"/>
        <bgColor indexed="64"/>
      </patternFill>
    </fill>
    <fill>
      <patternFill patternType="solid">
        <fgColor rgb="FF00B050"/>
        <bgColor indexed="64"/>
      </patternFill>
    </fill>
    <fill>
      <patternFill patternType="solid">
        <fgColor rgb="FFA568D2"/>
        <bgColor indexed="64"/>
      </patternFill>
    </fill>
    <fill>
      <patternFill patternType="solid">
        <fgColor rgb="FFFF0000"/>
        <bgColor indexed="64"/>
      </patternFill>
    </fill>
    <fill>
      <patternFill patternType="solid">
        <fgColor rgb="FFFF99FF"/>
        <bgColor indexed="64"/>
      </patternFill>
    </fill>
    <fill>
      <patternFill patternType="solid">
        <fgColor theme="9" tint="0.59999389629810485"/>
        <bgColor indexed="64"/>
      </patternFill>
    </fill>
    <fill>
      <patternFill patternType="solid">
        <fgColor rgb="FF00FFFF"/>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rgb="FFBFBFBF"/>
        <bgColor indexed="64"/>
      </patternFill>
    </fill>
    <fill>
      <patternFill patternType="solid">
        <fgColor theme="1"/>
        <bgColor indexed="64"/>
      </patternFill>
    </fill>
    <fill>
      <patternFill patternType="solid">
        <fgColor rgb="FF338583"/>
        <bgColor indexed="64"/>
      </patternFill>
    </fill>
    <fill>
      <patternFill patternType="solid">
        <fgColor rgb="FFFFCC99"/>
        <bgColor indexed="64"/>
      </patternFill>
    </fill>
    <fill>
      <patternFill patternType="solid">
        <fgColor theme="2" tint="-9.9978637043366805E-2"/>
        <bgColor indexed="64"/>
      </patternFill>
    </fill>
    <fill>
      <patternFill patternType="solid">
        <fgColor theme="6" tint="0.39997558519241921"/>
        <bgColor indexed="64"/>
      </patternFill>
    </fill>
  </fills>
  <borders count="64">
    <border>
      <left/>
      <right/>
      <top/>
      <bottom/>
      <diagonal/>
    </border>
    <border>
      <left/>
      <right/>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auto="1"/>
      </left>
      <right style="thin">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medium">
        <color indexed="64"/>
      </bottom>
      <diagonal/>
    </border>
    <border>
      <left style="thin">
        <color indexed="64"/>
      </left>
      <right style="medium">
        <color indexed="64"/>
      </right>
      <top/>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style="thin">
        <color auto="1"/>
      </left>
      <right style="medium">
        <color auto="1"/>
      </right>
      <top/>
      <bottom style="medium">
        <color auto="1"/>
      </bottom>
      <diagonal/>
    </border>
    <border>
      <left style="thin">
        <color auto="1"/>
      </left>
      <right style="thin">
        <color auto="1"/>
      </right>
      <top/>
      <bottom style="medium">
        <color indexed="64"/>
      </bottom>
      <diagonal/>
    </border>
    <border>
      <left style="thin">
        <color indexed="64"/>
      </left>
      <right/>
      <top style="medium">
        <color indexed="64"/>
      </top>
      <bottom/>
      <diagonal/>
    </border>
    <border>
      <left style="thin">
        <color auto="1"/>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s>
  <cellStyleXfs count="8">
    <xf numFmtId="0" fontId="0" fillId="0" borderId="0"/>
    <xf numFmtId="0" fontId="1" fillId="0" borderId="0"/>
    <xf numFmtId="3" fontId="1" fillId="0" borderId="0"/>
    <xf numFmtId="43" fontId="17" fillId="0" borderId="0" applyFont="0" applyFill="0" applyBorder="0" applyAlignment="0" applyProtection="0"/>
    <xf numFmtId="0" fontId="19" fillId="0" borderId="0"/>
    <xf numFmtId="0" fontId="1" fillId="0" borderId="0"/>
    <xf numFmtId="9" fontId="1" fillId="0" borderId="0" applyFont="0" applyFill="0" applyBorder="0" applyAlignment="0" applyProtection="0"/>
    <xf numFmtId="9" fontId="17" fillId="0" borderId="0" applyFont="0" applyFill="0" applyBorder="0" applyAlignment="0" applyProtection="0"/>
  </cellStyleXfs>
  <cellXfs count="366">
    <xf numFmtId="0" fontId="0" fillId="0" borderId="0" xfId="0"/>
    <xf numFmtId="0" fontId="0" fillId="0" borderId="8" xfId="0" applyBorder="1" applyAlignment="1">
      <alignment horizontal="center"/>
    </xf>
    <xf numFmtId="0" fontId="0" fillId="0" borderId="8" xfId="0" applyBorder="1" applyAlignment="1" applyProtection="1">
      <alignment horizontal="center"/>
      <protection locked="0"/>
    </xf>
    <xf numFmtId="0" fontId="0" fillId="0" borderId="8" xfId="0" applyBorder="1"/>
    <xf numFmtId="0" fontId="6" fillId="0" borderId="0" xfId="1" applyFont="1" applyAlignment="1">
      <alignment horizontal="right"/>
    </xf>
    <xf numFmtId="0" fontId="9" fillId="0" borderId="0" xfId="0" applyFont="1" applyAlignment="1">
      <alignment vertical="center" wrapText="1"/>
    </xf>
    <xf numFmtId="0" fontId="0" fillId="0" borderId="13" xfId="0" applyBorder="1"/>
    <xf numFmtId="0" fontId="3" fillId="0" borderId="0" xfId="1" applyFont="1"/>
    <xf numFmtId="0" fontId="3" fillId="0" borderId="0" xfId="1" applyFont="1" applyProtection="1">
      <protection locked="0"/>
    </xf>
    <xf numFmtId="0" fontId="11" fillId="0" borderId="0" xfId="1" applyFont="1"/>
    <xf numFmtId="0" fontId="12" fillId="0" borderId="0" xfId="1" applyFont="1"/>
    <xf numFmtId="0" fontId="12" fillId="0" borderId="0" xfId="1" applyFont="1" applyAlignment="1" applyProtection="1">
      <alignment horizontal="left"/>
      <protection locked="0"/>
    </xf>
    <xf numFmtId="0" fontId="4" fillId="0" borderId="0" xfId="1" applyFont="1"/>
    <xf numFmtId="0" fontId="4" fillId="2" borderId="0" xfId="1" applyFont="1" applyFill="1"/>
    <xf numFmtId="0" fontId="13" fillId="2" borderId="0" xfId="1" applyFont="1" applyFill="1"/>
    <xf numFmtId="0" fontId="4" fillId="0" borderId="0" xfId="1" applyFont="1" applyProtection="1">
      <protection locked="0"/>
    </xf>
    <xf numFmtId="1" fontId="6" fillId="0" borderId="0" xfId="1" applyNumberFormat="1" applyFont="1" applyAlignment="1">
      <alignment horizontal="center"/>
    </xf>
    <xf numFmtId="1" fontId="6" fillId="0" borderId="0" xfId="1" applyNumberFormat="1" applyFont="1" applyAlignment="1" applyProtection="1">
      <alignment horizontal="center"/>
      <protection locked="0"/>
    </xf>
    <xf numFmtId="0" fontId="3" fillId="0" borderId="0" xfId="1" applyFont="1" applyAlignment="1">
      <alignment horizontal="center" vertical="center" readingOrder="1"/>
    </xf>
    <xf numFmtId="0" fontId="3" fillId="0" borderId="0" xfId="1" applyFont="1" applyAlignment="1" applyProtection="1">
      <alignment horizontal="center" vertical="center" readingOrder="1"/>
      <protection locked="0"/>
    </xf>
    <xf numFmtId="0" fontId="12" fillId="0" borderId="0" xfId="1" applyFont="1" applyAlignment="1">
      <alignment horizontal="right"/>
    </xf>
    <xf numFmtId="0" fontId="12" fillId="0" borderId="0" xfId="1" applyFont="1" applyAlignment="1">
      <alignment horizontal="right" vertical="top"/>
    </xf>
    <xf numFmtId="0" fontId="12" fillId="0" borderId="0" xfId="1" applyFont="1" applyAlignment="1">
      <alignment horizontal="center" textRotation="45"/>
    </xf>
    <xf numFmtId="0" fontId="12" fillId="0" borderId="0" xfId="1" applyFont="1" applyAlignment="1" applyProtection="1">
      <alignment horizontal="center" textRotation="45"/>
      <protection locked="0"/>
    </xf>
    <xf numFmtId="0" fontId="12" fillId="0" borderId="0" xfId="1" applyFont="1" applyAlignment="1">
      <alignment horizontal="center"/>
    </xf>
    <xf numFmtId="0" fontId="3" fillId="5" borderId="8" xfId="1" applyFont="1" applyFill="1" applyBorder="1" applyAlignment="1" applyProtection="1">
      <alignment horizontal="center" vertical="center" readingOrder="1"/>
      <protection locked="0"/>
    </xf>
    <xf numFmtId="0" fontId="11" fillId="0" borderId="0" xfId="1" applyFont="1" applyAlignment="1" applyProtection="1">
      <alignment horizontal="left"/>
      <protection locked="0"/>
    </xf>
    <xf numFmtId="1" fontId="11" fillId="0" borderId="0" xfId="1" applyNumberFormat="1" applyFont="1" applyAlignment="1" applyProtection="1">
      <alignment horizontal="left"/>
      <protection locked="0"/>
    </xf>
    <xf numFmtId="0" fontId="12" fillId="0" borderId="0" xfId="1" applyFont="1" applyAlignment="1" applyProtection="1">
      <alignment horizontal="left" vertical="center" readingOrder="1"/>
      <protection locked="0"/>
    </xf>
    <xf numFmtId="0" fontId="3" fillId="0" borderId="0" xfId="1" applyFont="1" applyAlignment="1" applyProtection="1">
      <alignment horizontal="left" vertical="top" wrapText="1"/>
      <protection locked="0"/>
    </xf>
    <xf numFmtId="0" fontId="12" fillId="0" borderId="0" xfId="1" applyFont="1" applyAlignment="1">
      <alignment horizontal="left"/>
    </xf>
    <xf numFmtId="0" fontId="3" fillId="0" borderId="1" xfId="1" applyFont="1" applyBorder="1" applyAlignment="1">
      <alignment horizontal="center"/>
    </xf>
    <xf numFmtId="0" fontId="3" fillId="0" borderId="0" xfId="1" applyFont="1" applyAlignment="1">
      <alignment wrapText="1"/>
    </xf>
    <xf numFmtId="0" fontId="3" fillId="0" borderId="2" xfId="1" applyFont="1" applyBorder="1" applyAlignment="1">
      <alignment horizontal="center"/>
    </xf>
    <xf numFmtId="0" fontId="0" fillId="0" borderId="0" xfId="0" applyAlignment="1">
      <alignment horizontal="center"/>
    </xf>
    <xf numFmtId="0" fontId="3" fillId="0" borderId="0" xfId="1" applyFont="1" applyAlignment="1" applyProtection="1">
      <alignment vertical="top" wrapText="1"/>
      <protection locked="0"/>
    </xf>
    <xf numFmtId="1" fontId="6" fillId="13" borderId="0" xfId="1" applyNumberFormat="1" applyFont="1" applyFill="1" applyAlignment="1">
      <alignment horizontal="center"/>
    </xf>
    <xf numFmtId="0" fontId="6" fillId="13" borderId="0" xfId="1" applyFont="1" applyFill="1" applyAlignment="1">
      <alignment horizontal="center" vertical="center" readingOrder="1"/>
    </xf>
    <xf numFmtId="0" fontId="3" fillId="0" borderId="0" xfId="1" applyFont="1" applyAlignment="1" applyProtection="1">
      <alignment horizontal="center" vertical="center"/>
      <protection locked="0"/>
    </xf>
    <xf numFmtId="0" fontId="3" fillId="0" borderId="0" xfId="1" applyFont="1" applyAlignment="1" applyProtection="1">
      <alignment vertical="center"/>
      <protection locked="0"/>
    </xf>
    <xf numFmtId="0" fontId="3" fillId="0" borderId="0" xfId="1" applyFont="1" applyAlignment="1" applyProtection="1">
      <alignment horizontal="center" vertical="center" wrapText="1"/>
      <protection locked="0"/>
    </xf>
    <xf numFmtId="0" fontId="4" fillId="0" borderId="0" xfId="1" applyFont="1" applyAlignment="1">
      <alignment horizontal="center"/>
    </xf>
    <xf numFmtId="0" fontId="3" fillId="10" borderId="11" xfId="1" applyFont="1" applyFill="1" applyBorder="1" applyAlignment="1" applyProtection="1">
      <alignment horizontal="center"/>
      <protection locked="0"/>
    </xf>
    <xf numFmtId="49" fontId="3" fillId="10" borderId="7" xfId="1" applyNumberFormat="1" applyFont="1" applyFill="1" applyBorder="1" applyAlignment="1" applyProtection="1">
      <alignment horizontal="center"/>
      <protection locked="0"/>
    </xf>
    <xf numFmtId="0" fontId="3" fillId="10" borderId="7" xfId="1" applyFont="1" applyFill="1" applyBorder="1" applyAlignment="1" applyProtection="1">
      <alignment horizontal="center"/>
      <protection locked="0"/>
    </xf>
    <xf numFmtId="0" fontId="3" fillId="0" borderId="8" xfId="1" applyFont="1" applyBorder="1" applyAlignment="1" applyProtection="1">
      <alignment horizontal="center" vertical="center" wrapText="1"/>
      <protection locked="0"/>
    </xf>
    <xf numFmtId="0" fontId="3" fillId="0" borderId="8" xfId="1" applyFont="1" applyBorder="1" applyAlignment="1" applyProtection="1">
      <alignment vertical="center" wrapText="1"/>
      <protection locked="0"/>
    </xf>
    <xf numFmtId="0" fontId="3" fillId="0" borderId="8" xfId="1" applyFont="1" applyBorder="1" applyAlignment="1" applyProtection="1">
      <alignment horizontal="center" vertical="center"/>
      <protection locked="0"/>
    </xf>
    <xf numFmtId="14" fontId="3" fillId="0" borderId="8" xfId="1" applyNumberFormat="1" applyFont="1" applyBorder="1" applyAlignment="1" applyProtection="1">
      <alignment horizontal="center" vertical="center"/>
      <protection locked="0"/>
    </xf>
    <xf numFmtId="20" fontId="3" fillId="0" borderId="8" xfId="1" applyNumberFormat="1" applyFont="1" applyBorder="1" applyAlignment="1" applyProtection="1">
      <alignment horizontal="center" vertical="center"/>
      <protection locked="0"/>
    </xf>
    <xf numFmtId="0" fontId="3" fillId="2" borderId="8" xfId="1" applyFont="1" applyFill="1" applyBorder="1" applyAlignment="1">
      <alignment horizontal="center" vertical="center"/>
    </xf>
    <xf numFmtId="0" fontId="6" fillId="2" borderId="3" xfId="1" applyFont="1" applyFill="1" applyBorder="1" applyAlignment="1">
      <alignment horizontal="center"/>
    </xf>
    <xf numFmtId="0" fontId="3" fillId="0" borderId="0" xfId="1" applyFont="1" applyAlignment="1">
      <alignment horizontal="center"/>
    </xf>
    <xf numFmtId="0" fontId="16" fillId="0" borderId="21" xfId="0" applyFont="1" applyBorder="1" applyAlignment="1">
      <alignment vertical="center" wrapText="1"/>
    </xf>
    <xf numFmtId="0" fontId="16" fillId="0" borderId="23" xfId="0" applyFont="1" applyBorder="1" applyAlignment="1">
      <alignment vertical="center" wrapText="1"/>
    </xf>
    <xf numFmtId="0" fontId="16" fillId="0" borderId="25" xfId="0" applyFont="1" applyBorder="1" applyAlignment="1">
      <alignment vertical="center" wrapText="1"/>
    </xf>
    <xf numFmtId="0" fontId="16" fillId="0" borderId="28" xfId="0" applyFont="1" applyBorder="1" applyAlignment="1">
      <alignment vertical="center" wrapText="1"/>
    </xf>
    <xf numFmtId="14" fontId="16" fillId="0" borderId="19" xfId="0" applyNumberFormat="1" applyFont="1" applyBorder="1" applyAlignment="1">
      <alignment horizontal="center" vertical="center" wrapText="1"/>
    </xf>
    <xf numFmtId="14" fontId="16" fillId="0" borderId="22" xfId="0" applyNumberFormat="1" applyFont="1" applyBorder="1" applyAlignment="1">
      <alignment horizontal="center" vertical="center" wrapText="1"/>
    </xf>
    <xf numFmtId="0" fontId="3" fillId="0" borderId="0" xfId="1" applyFont="1" applyAlignment="1">
      <alignment horizontal="center" vertical="center"/>
    </xf>
    <xf numFmtId="20" fontId="16" fillId="0" borderId="20" xfId="0" applyNumberFormat="1" applyFont="1" applyBorder="1" applyAlignment="1">
      <alignment horizontal="center" vertical="center" wrapText="1"/>
    </xf>
    <xf numFmtId="20" fontId="16" fillId="0" borderId="9" xfId="0" applyNumberFormat="1" applyFont="1" applyBorder="1" applyAlignment="1">
      <alignment horizontal="center" vertical="center" wrapText="1"/>
    </xf>
    <xf numFmtId="20" fontId="16" fillId="0" borderId="24" xfId="0" applyNumberFormat="1" applyFont="1" applyBorder="1" applyAlignment="1">
      <alignment horizontal="center" vertical="center" wrapText="1"/>
    </xf>
    <xf numFmtId="0" fontId="9" fillId="0" borderId="0" xfId="0" applyFont="1" applyAlignment="1">
      <alignment horizontal="center" vertical="center" wrapText="1"/>
    </xf>
    <xf numFmtId="0" fontId="12" fillId="0" borderId="0" xfId="1" applyFont="1" applyProtection="1">
      <protection locked="0"/>
    </xf>
    <xf numFmtId="0" fontId="11" fillId="0" borderId="0" xfId="1" applyFont="1" applyProtection="1">
      <protection locked="0"/>
    </xf>
    <xf numFmtId="0" fontId="8" fillId="0" borderId="0" xfId="0" applyFont="1" applyAlignment="1">
      <alignment horizontal="left"/>
    </xf>
    <xf numFmtId="0" fontId="0" fillId="0" borderId="0" xfId="0" applyAlignment="1">
      <alignment horizontal="left"/>
    </xf>
    <xf numFmtId="0" fontId="3" fillId="2" borderId="19" xfId="1" applyFont="1" applyFill="1" applyBorder="1"/>
    <xf numFmtId="0" fontId="3" fillId="2" borderId="20" xfId="1" applyFont="1" applyFill="1" applyBorder="1"/>
    <xf numFmtId="0" fontId="6" fillId="2" borderId="20" xfId="1" applyFont="1" applyFill="1" applyBorder="1" applyAlignment="1">
      <alignment horizontal="center" vertical="center"/>
    </xf>
    <xf numFmtId="0" fontId="6" fillId="2" borderId="21" xfId="1" applyFont="1" applyFill="1" applyBorder="1" applyAlignment="1">
      <alignment horizontal="center" vertical="center"/>
    </xf>
    <xf numFmtId="0" fontId="6" fillId="2" borderId="3" xfId="1" applyFont="1" applyFill="1" applyBorder="1" applyAlignment="1">
      <alignment horizontal="center" vertical="center"/>
    </xf>
    <xf numFmtId="0" fontId="3" fillId="2" borderId="3" xfId="1" applyFont="1" applyFill="1" applyBorder="1" applyAlignment="1">
      <alignment horizontal="center" vertical="center"/>
    </xf>
    <xf numFmtId="0" fontId="6" fillId="2" borderId="29" xfId="1" applyFont="1" applyFill="1" applyBorder="1" applyAlignment="1">
      <alignment horizontal="center" vertical="center"/>
    </xf>
    <xf numFmtId="0" fontId="0" fillId="0" borderId="0" xfId="0" applyAlignment="1">
      <alignment horizontal="left" wrapText="1"/>
    </xf>
    <xf numFmtId="0" fontId="0" fillId="0" borderId="17" xfId="0" applyBorder="1" applyAlignment="1">
      <alignment horizontal="center"/>
    </xf>
    <xf numFmtId="0" fontId="0" fillId="0" borderId="8" xfId="0" applyBorder="1" applyAlignment="1">
      <alignment vertical="center"/>
    </xf>
    <xf numFmtId="0" fontId="7" fillId="2" borderId="8" xfId="1" applyFont="1" applyFill="1" applyBorder="1"/>
    <xf numFmtId="0" fontId="7" fillId="2" borderId="8" xfId="1" applyFont="1" applyFill="1" applyBorder="1" applyAlignment="1">
      <alignment wrapText="1"/>
    </xf>
    <xf numFmtId="14" fontId="5" fillId="0" borderId="8" xfId="1" applyNumberFormat="1" applyFont="1" applyBorder="1" applyAlignment="1">
      <alignment vertical="center"/>
    </xf>
    <xf numFmtId="0" fontId="5" fillId="0" borderId="8" xfId="1" applyFont="1" applyBorder="1" applyAlignment="1">
      <alignment vertical="center"/>
    </xf>
    <xf numFmtId="0" fontId="2" fillId="15" borderId="8" xfId="0" applyFont="1" applyFill="1" applyBorder="1"/>
    <xf numFmtId="10" fontId="4" fillId="0" borderId="8" xfId="1" applyNumberFormat="1" applyFont="1" applyBorder="1" applyAlignment="1">
      <alignment vertical="center"/>
    </xf>
    <xf numFmtId="0" fontId="5" fillId="0" borderId="8" xfId="1" quotePrefix="1" applyFont="1" applyBorder="1" applyAlignment="1">
      <alignment vertical="center"/>
    </xf>
    <xf numFmtId="10" fontId="5" fillId="0" borderId="8" xfId="1" applyNumberFormat="1" applyFont="1" applyBorder="1" applyAlignment="1">
      <alignment vertical="center"/>
    </xf>
    <xf numFmtId="0" fontId="8" fillId="17" borderId="0" xfId="0" applyFont="1" applyFill="1"/>
    <xf numFmtId="0" fontId="0" fillId="17" borderId="0" xfId="0" applyFill="1"/>
    <xf numFmtId="0" fontId="16" fillId="0" borderId="31" xfId="0" applyFont="1" applyBorder="1" applyAlignment="1">
      <alignment vertical="center" wrapText="1"/>
    </xf>
    <xf numFmtId="20" fontId="16" fillId="0" borderId="8" xfId="0" applyNumberFormat="1" applyFont="1" applyBorder="1" applyAlignment="1">
      <alignment horizontal="center" vertical="center" wrapText="1"/>
    </xf>
    <xf numFmtId="14" fontId="16" fillId="0" borderId="37" xfId="0" applyNumberFormat="1" applyFont="1" applyBorder="1" applyAlignment="1">
      <alignment horizontal="center" vertical="center" wrapText="1"/>
    </xf>
    <xf numFmtId="0" fontId="16" fillId="0" borderId="25" xfId="0" applyFont="1" applyBorder="1" applyAlignment="1">
      <alignment horizontal="center" vertical="center" wrapText="1"/>
    </xf>
    <xf numFmtId="14" fontId="16" fillId="0" borderId="38" xfId="0" applyNumberFormat="1" applyFont="1" applyBorder="1" applyAlignment="1">
      <alignment horizontal="center" vertical="center" wrapText="1"/>
    </xf>
    <xf numFmtId="0" fontId="3" fillId="11" borderId="8" xfId="1" applyFont="1" applyFill="1" applyBorder="1" applyAlignment="1">
      <alignment horizontal="center" vertical="center"/>
    </xf>
    <xf numFmtId="0" fontId="6" fillId="2" borderId="36" xfId="1" applyFont="1" applyFill="1" applyBorder="1" applyAlignment="1">
      <alignment horizontal="center" vertical="center"/>
    </xf>
    <xf numFmtId="0" fontId="18" fillId="0" borderId="0" xfId="0" applyFont="1"/>
    <xf numFmtId="14" fontId="3" fillId="13" borderId="19" xfId="1" applyNumberFormat="1" applyFont="1" applyFill="1" applyBorder="1" applyAlignment="1" applyProtection="1">
      <alignment horizontal="center" vertical="center" wrapText="1"/>
      <protection locked="0"/>
    </xf>
    <xf numFmtId="20" fontId="16" fillId="13" borderId="20" xfId="0" applyNumberFormat="1" applyFont="1" applyFill="1" applyBorder="1" applyAlignment="1">
      <alignment horizontal="center" vertical="center" wrapText="1"/>
    </xf>
    <xf numFmtId="14" fontId="3" fillId="13" borderId="22" xfId="1" applyNumberFormat="1" applyFont="1" applyFill="1" applyBorder="1" applyAlignment="1" applyProtection="1">
      <alignment horizontal="center" vertical="center" wrapText="1"/>
      <protection locked="0"/>
    </xf>
    <xf numFmtId="20" fontId="16" fillId="13" borderId="8" xfId="0" applyNumberFormat="1" applyFont="1" applyFill="1" applyBorder="1" applyAlignment="1">
      <alignment horizontal="center" vertical="center" wrapText="1"/>
    </xf>
    <xf numFmtId="0" fontId="3" fillId="13" borderId="0" xfId="1" applyFont="1" applyFill="1" applyAlignment="1" applyProtection="1">
      <alignment horizontal="left" vertical="top" wrapText="1"/>
      <protection locked="0"/>
    </xf>
    <xf numFmtId="20" fontId="16" fillId="0" borderId="23" xfId="0" applyNumberFormat="1" applyFont="1" applyBorder="1" applyAlignment="1">
      <alignment vertical="center" wrapText="1"/>
    </xf>
    <xf numFmtId="14" fontId="3" fillId="0" borderId="37" xfId="1" applyNumberFormat="1" applyFont="1" applyBorder="1" applyAlignment="1" applyProtection="1">
      <alignment horizontal="center" vertical="center" wrapText="1"/>
      <protection locked="0"/>
    </xf>
    <xf numFmtId="20" fontId="16" fillId="0" borderId="21" xfId="0" applyNumberFormat="1" applyFont="1" applyBorder="1" applyAlignment="1">
      <alignment vertical="center" wrapText="1"/>
    </xf>
    <xf numFmtId="0" fontId="16" fillId="13" borderId="5" xfId="0" applyFont="1" applyFill="1" applyBorder="1" applyAlignment="1">
      <alignment vertical="center" wrapText="1"/>
    </xf>
    <xf numFmtId="0" fontId="16" fillId="0" borderId="42" xfId="0" applyFont="1" applyBorder="1" applyAlignment="1">
      <alignment vertical="center" wrapText="1"/>
    </xf>
    <xf numFmtId="20" fontId="16" fillId="0" borderId="28" xfId="0" applyNumberFormat="1" applyFont="1" applyBorder="1" applyAlignment="1">
      <alignment vertical="center" wrapText="1"/>
    </xf>
    <xf numFmtId="14" fontId="3" fillId="0" borderId="40" xfId="1" applyNumberFormat="1" applyFont="1" applyBorder="1" applyAlignment="1" applyProtection="1">
      <alignment horizontal="center" vertical="center" wrapText="1"/>
      <protection locked="0"/>
    </xf>
    <xf numFmtId="0" fontId="0" fillId="0" borderId="0" xfId="0" applyAlignment="1" applyProtection="1">
      <alignment horizontal="center"/>
      <protection locked="0"/>
    </xf>
    <xf numFmtId="0" fontId="3" fillId="6" borderId="8" xfId="1" applyFont="1" applyFill="1" applyBorder="1" applyAlignment="1" applyProtection="1">
      <alignment horizontal="center" vertical="center"/>
      <protection locked="0"/>
    </xf>
    <xf numFmtId="0" fontId="3" fillId="7" borderId="8" xfId="1" applyFont="1" applyFill="1" applyBorder="1" applyAlignment="1" applyProtection="1">
      <alignment horizontal="center" vertical="center"/>
      <protection locked="0"/>
    </xf>
    <xf numFmtId="0" fontId="3" fillId="8" borderId="8" xfId="1" applyFont="1" applyFill="1" applyBorder="1" applyAlignment="1" applyProtection="1">
      <alignment horizontal="center" vertical="center"/>
      <protection locked="0"/>
    </xf>
    <xf numFmtId="0" fontId="3" fillId="14" borderId="8" xfId="1" applyFont="1" applyFill="1" applyBorder="1" applyAlignment="1" applyProtection="1">
      <alignment horizontal="center" vertical="center"/>
      <protection locked="0"/>
    </xf>
    <xf numFmtId="0" fontId="12" fillId="0" borderId="0" xfId="1" applyFont="1" applyAlignment="1" applyProtection="1">
      <alignment horizontal="center" vertical="center"/>
      <protection locked="0"/>
    </xf>
    <xf numFmtId="1" fontId="3" fillId="4" borderId="8" xfId="1" applyNumberFormat="1" applyFont="1" applyFill="1" applyBorder="1" applyAlignment="1" applyProtection="1">
      <alignment horizontal="center" vertical="center"/>
      <protection locked="0"/>
    </xf>
    <xf numFmtId="0" fontId="3" fillId="9" borderId="8" xfId="1" applyFont="1" applyFill="1" applyBorder="1" applyAlignment="1" applyProtection="1">
      <alignment horizontal="center" vertical="center"/>
      <protection locked="0"/>
    </xf>
    <xf numFmtId="0" fontId="12" fillId="12" borderId="8" xfId="1" applyFont="1" applyFill="1" applyBorder="1" applyAlignment="1" applyProtection="1">
      <alignment horizontal="center" vertical="center"/>
      <protection locked="0"/>
    </xf>
    <xf numFmtId="0" fontId="12" fillId="0" borderId="8" xfId="1" applyFont="1" applyBorder="1" applyAlignment="1" applyProtection="1">
      <alignment horizontal="center" vertical="center"/>
      <protection locked="0"/>
    </xf>
    <xf numFmtId="0" fontId="3" fillId="18" borderId="8" xfId="1" applyFont="1" applyFill="1" applyBorder="1" applyAlignment="1" applyProtection="1">
      <alignment horizontal="center" vertical="center"/>
      <protection locked="0"/>
    </xf>
    <xf numFmtId="0" fontId="12" fillId="19" borderId="8" xfId="1" applyFont="1" applyFill="1" applyBorder="1" applyAlignment="1" applyProtection="1">
      <alignment horizontal="center" vertical="center"/>
      <protection locked="0"/>
    </xf>
    <xf numFmtId="0" fontId="12" fillId="0" borderId="0" xfId="1" applyFont="1" applyAlignment="1">
      <alignment horizontal="center" vertical="center"/>
    </xf>
    <xf numFmtId="0" fontId="11" fillId="0" borderId="0" xfId="1" applyFont="1" applyAlignment="1" applyProtection="1">
      <alignment horizontal="center" vertical="center"/>
      <protection locked="0"/>
    </xf>
    <xf numFmtId="0" fontId="3" fillId="13" borderId="8" xfId="1" applyFont="1" applyFill="1" applyBorder="1" applyAlignment="1">
      <alignment horizontal="center" vertical="center"/>
    </xf>
    <xf numFmtId="0" fontId="16" fillId="13" borderId="23" xfId="0" applyFont="1" applyFill="1" applyBorder="1" applyAlignment="1">
      <alignment vertical="center" wrapText="1"/>
    </xf>
    <xf numFmtId="0" fontId="6" fillId="2" borderId="43" xfId="1" applyFont="1" applyFill="1" applyBorder="1" applyAlignment="1">
      <alignment horizontal="center"/>
    </xf>
    <xf numFmtId="0" fontId="6" fillId="2" borderId="45" xfId="1" applyFont="1" applyFill="1" applyBorder="1" applyAlignment="1">
      <alignment horizontal="center"/>
    </xf>
    <xf numFmtId="0" fontId="15" fillId="16" borderId="33" xfId="0" applyFont="1" applyFill="1" applyBorder="1" applyAlignment="1">
      <alignment horizontal="center" vertical="center" wrapText="1"/>
    </xf>
    <xf numFmtId="20" fontId="3" fillId="0" borderId="8" xfId="1" applyNumberFormat="1" applyFont="1" applyBorder="1" applyAlignment="1" applyProtection="1">
      <alignment horizontal="center" vertical="center" wrapText="1"/>
      <protection locked="0"/>
    </xf>
    <xf numFmtId="0" fontId="16" fillId="0" borderId="47" xfId="0" applyFont="1" applyBorder="1" applyAlignment="1">
      <alignment vertical="center" wrapText="1"/>
    </xf>
    <xf numFmtId="0" fontId="16" fillId="0" borderId="48" xfId="0" applyFont="1" applyBorder="1" applyAlignment="1">
      <alignment horizontal="center" vertical="center" wrapText="1"/>
    </xf>
    <xf numFmtId="14" fontId="16" fillId="0" borderId="39" xfId="0" applyNumberFormat="1" applyFont="1" applyBorder="1" applyAlignment="1">
      <alignment horizontal="center" vertical="center" wrapText="1"/>
    </xf>
    <xf numFmtId="14" fontId="16" fillId="0" borderId="6" xfId="0" applyNumberFormat="1" applyFont="1" applyBorder="1" applyAlignment="1">
      <alignment horizontal="center" vertical="center" wrapText="1"/>
    </xf>
    <xf numFmtId="14" fontId="16" fillId="0" borderId="41" xfId="0" applyNumberFormat="1" applyFont="1" applyBorder="1" applyAlignment="1">
      <alignment horizontal="center" vertical="center" wrapText="1"/>
    </xf>
    <xf numFmtId="0" fontId="16" fillId="0" borderId="5" xfId="0" applyFont="1" applyBorder="1" applyAlignment="1">
      <alignment vertical="center" wrapText="1"/>
    </xf>
    <xf numFmtId="20" fontId="16" fillId="0" borderId="5" xfId="0" applyNumberFormat="1" applyFont="1" applyBorder="1" applyAlignment="1">
      <alignment vertical="center" wrapText="1"/>
    </xf>
    <xf numFmtId="14" fontId="16" fillId="0" borderId="12" xfId="0" applyNumberFormat="1" applyFont="1" applyBorder="1" applyAlignment="1">
      <alignment horizontal="center" vertical="center" wrapText="1"/>
    </xf>
    <xf numFmtId="0" fontId="16" fillId="0" borderId="10" xfId="0" applyFont="1" applyBorder="1" applyAlignment="1">
      <alignment vertical="center" wrapText="1"/>
    </xf>
    <xf numFmtId="0" fontId="16" fillId="0" borderId="22"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6" xfId="0" applyFont="1" applyBorder="1" applyAlignment="1">
      <alignment horizontal="center" vertical="center" wrapText="1"/>
    </xf>
    <xf numFmtId="0" fontId="16" fillId="13" borderId="22" xfId="0" applyFont="1" applyFill="1" applyBorder="1" applyAlignment="1">
      <alignment horizontal="center" vertical="center" wrapText="1"/>
    </xf>
    <xf numFmtId="0" fontId="16" fillId="0" borderId="37" xfId="0" applyFont="1" applyBorder="1" applyAlignment="1">
      <alignment horizontal="center" vertical="center" wrapText="1"/>
    </xf>
    <xf numFmtId="0" fontId="16" fillId="0" borderId="38" xfId="0" applyFont="1" applyBorder="1" applyAlignment="1">
      <alignment horizontal="center" vertical="center" wrapText="1"/>
    </xf>
    <xf numFmtId="0" fontId="16" fillId="0" borderId="40" xfId="0" applyFont="1" applyBorder="1" applyAlignment="1">
      <alignment horizontal="center" vertical="center" wrapText="1"/>
    </xf>
    <xf numFmtId="0" fontId="16" fillId="0" borderId="41" xfId="0" applyFont="1" applyBorder="1" applyAlignment="1">
      <alignment horizontal="center" vertical="center" wrapText="1"/>
    </xf>
    <xf numFmtId="0" fontId="16" fillId="13" borderId="9" xfId="0" applyFont="1" applyFill="1" applyBorder="1" applyAlignment="1">
      <alignment horizontal="center" vertical="center" wrapText="1"/>
    </xf>
    <xf numFmtId="0" fontId="16" fillId="13" borderId="8" xfId="0" applyFont="1" applyFill="1" applyBorder="1" applyAlignment="1">
      <alignment horizontal="center" vertical="center" wrapText="1"/>
    </xf>
    <xf numFmtId="0" fontId="16" fillId="0" borderId="24" xfId="0" applyFont="1" applyBorder="1" applyAlignment="1">
      <alignment horizontal="center" vertical="center" wrapText="1"/>
    </xf>
    <xf numFmtId="0" fontId="6" fillId="2" borderId="45" xfId="1" applyFont="1" applyFill="1" applyBorder="1" applyAlignment="1">
      <alignment horizontal="center" vertical="center"/>
    </xf>
    <xf numFmtId="0" fontId="6" fillId="2" borderId="46" xfId="1" applyFont="1" applyFill="1" applyBorder="1" applyAlignment="1">
      <alignment horizontal="center" wrapText="1"/>
    </xf>
    <xf numFmtId="0" fontId="16" fillId="0" borderId="23" xfId="0" applyFont="1" applyBorder="1" applyAlignment="1">
      <alignment wrapText="1"/>
    </xf>
    <xf numFmtId="0" fontId="16" fillId="0" borderId="21" xfId="0" applyFont="1" applyBorder="1" applyAlignment="1">
      <alignment wrapText="1"/>
    </xf>
    <xf numFmtId="0" fontId="3" fillId="0" borderId="0" xfId="1" applyFont="1" applyAlignment="1">
      <alignment horizontal="left" vertical="center"/>
    </xf>
    <xf numFmtId="0" fontId="10" fillId="0" borderId="0" xfId="1" applyFont="1" applyAlignment="1">
      <alignment vertical="center"/>
    </xf>
    <xf numFmtId="0" fontId="7" fillId="0" borderId="11" xfId="1" applyFont="1" applyBorder="1"/>
    <xf numFmtId="0" fontId="7" fillId="0" borderId="12" xfId="1" applyFont="1" applyBorder="1"/>
    <xf numFmtId="0" fontId="0" fillId="20" borderId="8" xfId="0" applyFill="1" applyBorder="1" applyAlignment="1">
      <alignment horizontal="center"/>
    </xf>
    <xf numFmtId="0" fontId="0" fillId="20" borderId="8" xfId="0" applyFill="1" applyBorder="1"/>
    <xf numFmtId="0" fontId="0" fillId="21" borderId="3" xfId="0" applyFill="1" applyBorder="1" applyAlignment="1">
      <alignment horizontal="center"/>
    </xf>
    <xf numFmtId="0" fontId="7" fillId="2" borderId="15" xfId="1" applyFont="1" applyFill="1" applyBorder="1" applyAlignment="1">
      <alignment horizontal="center"/>
    </xf>
    <xf numFmtId="0" fontId="7" fillId="2" borderId="0" xfId="1" applyFont="1" applyFill="1" applyAlignment="1">
      <alignment horizontal="center"/>
    </xf>
    <xf numFmtId="0" fontId="5" fillId="2" borderId="3" xfId="1" applyFont="1" applyFill="1" applyBorder="1" applyAlignment="1">
      <alignment horizontal="center"/>
    </xf>
    <xf numFmtId="0" fontId="7" fillId="2" borderId="16" xfId="1" applyFont="1" applyFill="1" applyBorder="1" applyAlignment="1">
      <alignment horizontal="center"/>
    </xf>
    <xf numFmtId="0" fontId="0" fillId="21" borderId="8" xfId="0" applyFill="1" applyBorder="1" applyAlignment="1">
      <alignment horizontal="center"/>
    </xf>
    <xf numFmtId="0" fontId="5" fillId="0" borderId="8" xfId="0" applyFont="1" applyBorder="1" applyAlignment="1">
      <alignment horizontal="center" vertical="center" wrapText="1"/>
    </xf>
    <xf numFmtId="14" fontId="0" fillId="0" borderId="7" xfId="0" applyNumberFormat="1" applyBorder="1" applyAlignment="1">
      <alignment horizontal="center" vertical="center" wrapText="1"/>
    </xf>
    <xf numFmtId="0" fontId="0" fillId="0" borderId="7" xfId="0" applyBorder="1" applyAlignment="1">
      <alignment horizontal="center" vertical="center" wrapText="1"/>
    </xf>
    <xf numFmtId="0" fontId="5" fillId="2" borderId="8" xfId="1" applyFont="1" applyFill="1" applyBorder="1" applyAlignment="1">
      <alignment horizontal="center" vertical="center" wrapText="1"/>
    </xf>
    <xf numFmtId="0" fontId="0" fillId="0" borderId="6" xfId="0" applyBorder="1" applyAlignment="1">
      <alignment horizontal="center" vertical="center" wrapText="1"/>
    </xf>
    <xf numFmtId="0" fontId="0" fillId="0" borderId="8" xfId="0" applyBorder="1" applyAlignment="1">
      <alignment vertical="center" wrapText="1"/>
    </xf>
    <xf numFmtId="0" fontId="7" fillId="0" borderId="0" xfId="1" applyFont="1"/>
    <xf numFmtId="22" fontId="0" fillId="0" borderId="5" xfId="0" applyNumberFormat="1" applyBorder="1" applyAlignment="1">
      <alignment horizontal="center" vertical="center"/>
    </xf>
    <xf numFmtId="0" fontId="0" fillId="0" borderId="7" xfId="0" applyBorder="1" applyAlignment="1">
      <alignment horizontal="center" vertical="center"/>
    </xf>
    <xf numFmtId="0" fontId="5" fillId="2" borderId="8" xfId="1" applyFont="1" applyFill="1" applyBorder="1" applyAlignment="1">
      <alignment horizontal="center" vertical="center"/>
    </xf>
    <xf numFmtId="0" fontId="0" fillId="0" borderId="6" xfId="0" applyBorder="1" applyAlignment="1">
      <alignment horizontal="center" vertical="center"/>
    </xf>
    <xf numFmtId="49" fontId="3" fillId="0" borderId="2" xfId="1" applyNumberFormat="1" applyFont="1" applyBorder="1" applyAlignment="1">
      <alignment horizontal="center"/>
    </xf>
    <xf numFmtId="0" fontId="0" fillId="0" borderId="51" xfId="0" applyBorder="1"/>
    <xf numFmtId="0" fontId="0" fillId="0" borderId="1" xfId="0" applyBorder="1"/>
    <xf numFmtId="0" fontId="0" fillId="0" borderId="30" xfId="0" applyBorder="1"/>
    <xf numFmtId="0" fontId="0" fillId="0" borderId="52" xfId="0" applyBorder="1"/>
    <xf numFmtId="0" fontId="0" fillId="0" borderId="33" xfId="0" applyBorder="1"/>
    <xf numFmtId="0" fontId="0" fillId="0" borderId="54" xfId="0" applyBorder="1"/>
    <xf numFmtId="0" fontId="0" fillId="0" borderId="32" xfId="0" applyBorder="1"/>
    <xf numFmtId="22" fontId="0" fillId="0" borderId="0" xfId="0" applyNumberFormat="1"/>
    <xf numFmtId="164" fontId="0" fillId="0" borderId="1" xfId="0" applyNumberFormat="1" applyBorder="1"/>
    <xf numFmtId="0" fontId="0" fillId="0" borderId="33" xfId="0" applyBorder="1" applyAlignment="1">
      <alignment horizontal="right"/>
    </xf>
    <xf numFmtId="0" fontId="2" fillId="15" borderId="8" xfId="0" applyFont="1" applyFill="1" applyBorder="1" applyAlignment="1">
      <alignment horizontal="center"/>
    </xf>
    <xf numFmtId="0" fontId="7" fillId="2" borderId="8" xfId="1" applyFont="1" applyFill="1" applyBorder="1" applyAlignment="1">
      <alignment horizontal="center" wrapText="1"/>
    </xf>
    <xf numFmtId="10" fontId="0" fillId="0" borderId="0" xfId="7" applyNumberFormat="1" applyFont="1" applyAlignment="1">
      <alignment horizontal="center"/>
    </xf>
    <xf numFmtId="14" fontId="0" fillId="0" borderId="0" xfId="0" applyNumberFormat="1" applyAlignment="1">
      <alignment horizontal="center"/>
    </xf>
    <xf numFmtId="0" fontId="2" fillId="13" borderId="0" xfId="0" applyFont="1" applyFill="1" applyAlignment="1">
      <alignment horizontal="center"/>
    </xf>
    <xf numFmtId="165" fontId="0" fillId="0" borderId="0" xfId="3" applyNumberFormat="1" applyFont="1" applyAlignment="1">
      <alignment horizontal="center"/>
    </xf>
    <xf numFmtId="0" fontId="2" fillId="15" borderId="8" xfId="0" applyFont="1" applyFill="1" applyBorder="1" applyAlignment="1">
      <alignment horizontal="center" wrapText="1"/>
    </xf>
    <xf numFmtId="49" fontId="3" fillId="0" borderId="0" xfId="1" applyNumberFormat="1" applyFont="1" applyAlignment="1">
      <alignment horizontal="left"/>
    </xf>
    <xf numFmtId="0" fontId="3" fillId="0" borderId="0" xfId="1" applyFont="1" applyAlignment="1">
      <alignment horizontal="left"/>
    </xf>
    <xf numFmtId="0" fontId="0" fillId="13" borderId="0" xfId="0" applyFill="1"/>
    <xf numFmtId="166" fontId="0" fillId="3" borderId="6" xfId="7" applyNumberFormat="1" applyFont="1" applyFill="1" applyBorder="1"/>
    <xf numFmtId="166" fontId="0" fillId="3" borderId="7" xfId="7" applyNumberFormat="1" applyFont="1" applyFill="1" applyBorder="1"/>
    <xf numFmtId="166" fontId="0" fillId="3" borderId="57" xfId="7" applyNumberFormat="1" applyFont="1" applyFill="1" applyBorder="1"/>
    <xf numFmtId="0" fontId="0" fillId="15" borderId="43" xfId="0" applyFill="1" applyBorder="1"/>
    <xf numFmtId="0" fontId="0" fillId="3" borderId="6" xfId="0" applyFill="1" applyBorder="1"/>
    <xf numFmtId="0" fontId="0" fillId="3" borderId="7" xfId="0" applyFill="1" applyBorder="1"/>
    <xf numFmtId="0" fontId="0" fillId="3" borderId="57" xfId="0" applyFill="1" applyBorder="1"/>
    <xf numFmtId="0" fontId="0" fillId="3" borderId="58" xfId="0" applyFill="1" applyBorder="1"/>
    <xf numFmtId="0" fontId="0" fillId="3" borderId="59" xfId="0" applyFill="1" applyBorder="1"/>
    <xf numFmtId="0" fontId="0" fillId="3" borderId="31" xfId="0" applyFill="1" applyBorder="1"/>
    <xf numFmtId="0" fontId="0" fillId="3" borderId="17" xfId="0" applyFill="1" applyBorder="1"/>
    <xf numFmtId="164" fontId="0" fillId="0" borderId="0" xfId="0" applyNumberFormat="1"/>
    <xf numFmtId="22" fontId="0" fillId="0" borderId="33" xfId="0" applyNumberFormat="1" applyBorder="1"/>
    <xf numFmtId="0" fontId="0" fillId="0" borderId="52" xfId="0" applyBorder="1" applyAlignment="1">
      <alignment horizontal="right"/>
    </xf>
    <xf numFmtId="0" fontId="0" fillId="0" borderId="53" xfId="0" applyBorder="1" applyAlignment="1">
      <alignment horizontal="right"/>
    </xf>
    <xf numFmtId="0" fontId="0" fillId="0" borderId="32" xfId="0" applyBorder="1" applyAlignment="1">
      <alignment horizontal="right"/>
    </xf>
    <xf numFmtId="164" fontId="0" fillId="15" borderId="34" xfId="0" applyNumberFormat="1" applyFill="1" applyBorder="1" applyAlignment="1">
      <alignment horizontal="center"/>
    </xf>
    <xf numFmtId="0" fontId="0" fillId="15" borderId="34" xfId="0" applyFill="1" applyBorder="1" applyAlignment="1">
      <alignment horizontal="center"/>
    </xf>
    <xf numFmtId="0" fontId="0" fillId="0" borderId="33" xfId="0" applyBorder="1" applyAlignment="1">
      <alignment horizontal="center"/>
    </xf>
    <xf numFmtId="10" fontId="0" fillId="0" borderId="0" xfId="0" applyNumberFormat="1"/>
    <xf numFmtId="0" fontId="7" fillId="2" borderId="8" xfId="1" applyFont="1" applyFill="1" applyBorder="1" applyAlignment="1">
      <alignment horizontal="center"/>
    </xf>
    <xf numFmtId="0" fontId="2" fillId="21" borderId="8" xfId="0" applyFont="1" applyFill="1" applyBorder="1" applyAlignment="1">
      <alignment horizontal="center"/>
    </xf>
    <xf numFmtId="0" fontId="2" fillId="21" borderId="3" xfId="0" applyFont="1" applyFill="1" applyBorder="1" applyAlignment="1">
      <alignment horizontal="center"/>
    </xf>
    <xf numFmtId="0" fontId="7" fillId="2" borderId="17" xfId="1" applyFont="1" applyFill="1" applyBorder="1" applyAlignment="1">
      <alignment horizontal="center"/>
    </xf>
    <xf numFmtId="0" fontId="0" fillId="0" borderId="60" xfId="0" applyBorder="1"/>
    <xf numFmtId="0" fontId="0" fillId="0" borderId="61" xfId="0" applyBorder="1"/>
    <xf numFmtId="0" fontId="0" fillId="0" borderId="53" xfId="0" applyBorder="1"/>
    <xf numFmtId="0" fontId="0" fillId="0" borderId="62" xfId="0" applyBorder="1"/>
    <xf numFmtId="0" fontId="0" fillId="0" borderId="63" xfId="0" applyBorder="1"/>
    <xf numFmtId="0" fontId="0" fillId="0" borderId="47" xfId="0" applyBorder="1"/>
    <xf numFmtId="0" fontId="0" fillId="0" borderId="40" xfId="0" applyBorder="1"/>
    <xf numFmtId="0" fontId="0" fillId="3" borderId="15" xfId="0" applyFill="1" applyBorder="1"/>
    <xf numFmtId="164" fontId="0" fillId="0" borderId="33" xfId="0" applyNumberFormat="1" applyBorder="1"/>
    <xf numFmtId="164" fontId="0" fillId="0" borderId="30" xfId="0" applyNumberFormat="1" applyBorder="1"/>
    <xf numFmtId="0" fontId="0" fillId="15" borderId="56" xfId="0" applyFill="1" applyBorder="1" applyAlignment="1">
      <alignment horizontal="center" wrapText="1"/>
    </xf>
    <xf numFmtId="0" fontId="0" fillId="15" borderId="2" xfId="0" applyFill="1" applyBorder="1" applyAlignment="1">
      <alignment horizontal="center" wrapText="1"/>
    </xf>
    <xf numFmtId="0" fontId="0" fillId="15" borderId="54" xfId="0" applyFill="1" applyBorder="1" applyAlignment="1">
      <alignment horizontal="center" wrapText="1"/>
    </xf>
    <xf numFmtId="0" fontId="0" fillId="15" borderId="53" xfId="0" applyFill="1" applyBorder="1" applyAlignment="1">
      <alignment horizontal="center" wrapText="1"/>
    </xf>
    <xf numFmtId="0" fontId="0" fillId="0" borderId="0" xfId="0" applyAlignment="1">
      <alignment horizontal="center"/>
    </xf>
    <xf numFmtId="0" fontId="0" fillId="15" borderId="56" xfId="0" applyFill="1" applyBorder="1" applyAlignment="1">
      <alignment horizontal="center"/>
    </xf>
    <xf numFmtId="0" fontId="0" fillId="15" borderId="2" xfId="0" applyFill="1" applyBorder="1" applyAlignment="1">
      <alignment horizontal="center"/>
    </xf>
    <xf numFmtId="0" fontId="0" fillId="15" borderId="55" xfId="0" applyFill="1" applyBorder="1" applyAlignment="1">
      <alignment horizontal="center"/>
    </xf>
    <xf numFmtId="0" fontId="0" fillId="15" borderId="44" xfId="0" applyFill="1" applyBorder="1" applyAlignment="1">
      <alignment horizontal="center"/>
    </xf>
    <xf numFmtId="0" fontId="0" fillId="15" borderId="45" xfId="0" applyFill="1" applyBorder="1" applyAlignment="1">
      <alignment horizontal="center"/>
    </xf>
    <xf numFmtId="0" fontId="0" fillId="15" borderId="46" xfId="0" applyFill="1" applyBorder="1" applyAlignment="1">
      <alignment horizontal="center"/>
    </xf>
    <xf numFmtId="0" fontId="0" fillId="15" borderId="18" xfId="0" applyFill="1" applyBorder="1" applyAlignment="1">
      <alignment horizontal="center"/>
    </xf>
    <xf numFmtId="14" fontId="0" fillId="0" borderId="0" xfId="0" applyNumberFormat="1" applyAlignment="1">
      <alignment horizontal="left" wrapText="1"/>
    </xf>
    <xf numFmtId="0" fontId="0" fillId="0" borderId="0" xfId="0" applyAlignment="1">
      <alignment horizontal="left" wrapText="1"/>
    </xf>
    <xf numFmtId="0" fontId="0" fillId="0" borderId="5" xfId="0" applyBorder="1" applyAlignment="1">
      <alignment horizontal="left" wrapText="1"/>
    </xf>
    <xf numFmtId="0" fontId="0" fillId="0" borderId="7" xfId="0" applyBorder="1" applyAlignment="1">
      <alignment horizontal="left" wrapText="1"/>
    </xf>
    <xf numFmtId="0" fontId="0" fillId="0" borderId="6" xfId="0" applyBorder="1" applyAlignment="1">
      <alignment horizontal="left" wrapText="1"/>
    </xf>
    <xf numFmtId="0" fontId="0" fillId="0" borderId="8" xfId="0" applyBorder="1" applyAlignment="1">
      <alignment horizontal="left" wrapText="1"/>
    </xf>
    <xf numFmtId="3" fontId="5" fillId="0" borderId="8" xfId="1" applyNumberFormat="1" applyFont="1" applyBorder="1" applyAlignment="1">
      <alignment horizontal="center" vertical="center"/>
    </xf>
    <xf numFmtId="14" fontId="5" fillId="0" borderId="8" xfId="1" applyNumberFormat="1" applyFont="1" applyBorder="1" applyAlignment="1">
      <alignment horizontal="center" vertical="center"/>
    </xf>
    <xf numFmtId="0" fontId="7" fillId="2" borderId="8" xfId="1" applyFont="1" applyFill="1" applyBorder="1" applyAlignment="1">
      <alignment horizontal="center" wrapText="1"/>
    </xf>
    <xf numFmtId="0" fontId="0" fillId="0" borderId="14" xfId="0" applyBorder="1" applyAlignment="1">
      <alignment horizontal="left" wrapText="1"/>
    </xf>
    <xf numFmtId="0" fontId="0" fillId="0" borderId="3" xfId="0" applyBorder="1" applyAlignment="1">
      <alignment horizontal="left" wrapText="1"/>
    </xf>
    <xf numFmtId="0" fontId="0" fillId="0" borderId="4" xfId="0" applyBorder="1" applyAlignment="1">
      <alignment horizontal="left" wrapText="1"/>
    </xf>
    <xf numFmtId="49" fontId="0" fillId="3" borderId="5" xfId="0" applyNumberFormat="1" applyFill="1" applyBorder="1" applyAlignment="1">
      <alignment horizontal="left"/>
    </xf>
    <xf numFmtId="49" fontId="0" fillId="3" borderId="7" xfId="0" applyNumberFormat="1" applyFill="1" applyBorder="1" applyAlignment="1">
      <alignment horizontal="left"/>
    </xf>
    <xf numFmtId="49" fontId="0" fillId="3" borderId="6" xfId="0" applyNumberFormat="1" applyFill="1" applyBorder="1" applyAlignment="1">
      <alignment horizontal="left"/>
    </xf>
    <xf numFmtId="0" fontId="0" fillId="0" borderId="13" xfId="0" applyBorder="1" applyAlignment="1">
      <alignment horizontal="center"/>
    </xf>
    <xf numFmtId="0" fontId="2" fillId="15" borderId="8" xfId="0" applyFont="1" applyFill="1" applyBorder="1" applyAlignment="1">
      <alignment horizontal="center"/>
    </xf>
    <xf numFmtId="0" fontId="0" fillId="0" borderId="5" xfId="0" applyBorder="1" applyAlignment="1">
      <alignment horizontal="center" wrapText="1"/>
    </xf>
    <xf numFmtId="0" fontId="0" fillId="0" borderId="7" xfId="0" applyBorder="1" applyAlignment="1">
      <alignment horizontal="center" wrapText="1"/>
    </xf>
    <xf numFmtId="0" fontId="0" fillId="0" borderId="6" xfId="0" applyBorder="1" applyAlignment="1">
      <alignment horizontal="center" wrapText="1"/>
    </xf>
    <xf numFmtId="0" fontId="0" fillId="0" borderId="8" xfId="0" applyBorder="1" applyAlignment="1">
      <alignment horizontal="left"/>
    </xf>
    <xf numFmtId="0" fontId="0" fillId="3" borderId="8" xfId="0" applyFill="1" applyBorder="1" applyAlignment="1">
      <alignment horizontal="left"/>
    </xf>
    <xf numFmtId="0" fontId="9" fillId="0" borderId="4" xfId="0" applyFont="1" applyBorder="1" applyAlignment="1">
      <alignment horizontal="center" vertical="center" wrapText="1"/>
    </xf>
    <xf numFmtId="0" fontId="9" fillId="0" borderId="13" xfId="0" applyFont="1" applyBorder="1" applyAlignment="1">
      <alignment horizontal="center" vertical="center" wrapText="1"/>
    </xf>
    <xf numFmtId="0" fontId="0" fillId="0" borderId="9" xfId="0" applyBorder="1" applyAlignment="1">
      <alignment horizontal="left" wrapText="1"/>
    </xf>
    <xf numFmtId="14" fontId="0" fillId="0" borderId="3" xfId="0" applyNumberFormat="1" applyBorder="1" applyAlignment="1">
      <alignment horizontal="left" wrapText="1"/>
    </xf>
    <xf numFmtId="0" fontId="0" fillId="13" borderId="8" xfId="0" applyFill="1" applyBorder="1" applyAlignment="1">
      <alignment horizontal="left" wrapText="1"/>
    </xf>
    <xf numFmtId="0" fontId="0" fillId="3" borderId="10" xfId="0" applyFill="1" applyBorder="1" applyAlignment="1">
      <alignment horizontal="left"/>
    </xf>
    <xf numFmtId="0" fontId="0" fillId="3" borderId="11" xfId="0" applyFill="1" applyBorder="1" applyAlignment="1">
      <alignment horizontal="left"/>
    </xf>
    <xf numFmtId="0" fontId="0" fillId="3" borderId="12" xfId="0" applyFill="1" applyBorder="1" applyAlignment="1">
      <alignment horizontal="left"/>
    </xf>
    <xf numFmtId="0" fontId="0" fillId="0" borderId="15" xfId="0" applyBorder="1" applyAlignment="1">
      <alignment horizontal="left" wrapText="1"/>
    </xf>
    <xf numFmtId="0" fontId="0" fillId="0" borderId="16" xfId="0" applyBorder="1" applyAlignment="1">
      <alignment horizontal="left" wrapText="1"/>
    </xf>
    <xf numFmtId="49" fontId="0" fillId="3" borderId="8" xfId="0" applyNumberFormat="1" applyFill="1" applyBorder="1" applyAlignment="1">
      <alignment horizontal="left"/>
    </xf>
    <xf numFmtId="0" fontId="0" fillId="0" borderId="5" xfId="0" applyBorder="1" applyAlignment="1">
      <alignment horizontal="center"/>
    </xf>
    <xf numFmtId="0" fontId="0" fillId="0" borderId="7" xfId="0" applyBorder="1" applyAlignment="1">
      <alignment horizontal="center"/>
    </xf>
    <xf numFmtId="0" fontId="0" fillId="0" borderId="6" xfId="0" applyBorder="1" applyAlignment="1">
      <alignment horizontal="center"/>
    </xf>
    <xf numFmtId="0" fontId="5" fillId="0" borderId="8" xfId="0" applyFont="1" applyBorder="1" applyAlignment="1">
      <alignment horizontal="left" wrapText="1"/>
    </xf>
    <xf numFmtId="0" fontId="0" fillId="3" borderId="5" xfId="0" applyFill="1" applyBorder="1" applyAlignment="1">
      <alignment horizontal="left"/>
    </xf>
    <xf numFmtId="0" fontId="0" fillId="3" borderId="7" xfId="0" applyFill="1" applyBorder="1" applyAlignment="1">
      <alignment horizontal="left"/>
    </xf>
    <xf numFmtId="0" fontId="0" fillId="3" borderId="6" xfId="0" applyFill="1" applyBorder="1" applyAlignment="1">
      <alignment horizontal="left"/>
    </xf>
    <xf numFmtId="0" fontId="0" fillId="13" borderId="5" xfId="0" applyFill="1" applyBorder="1" applyAlignment="1">
      <alignment horizontal="left" wrapText="1"/>
    </xf>
    <xf numFmtId="0" fontId="0" fillId="13" borderId="7" xfId="0" applyFill="1" applyBorder="1" applyAlignment="1">
      <alignment horizontal="left" wrapText="1"/>
    </xf>
    <xf numFmtId="0" fontId="0" fillId="13" borderId="6" xfId="0" applyFill="1" applyBorder="1" applyAlignment="1">
      <alignment horizontal="left" wrapText="1"/>
    </xf>
    <xf numFmtId="0" fontId="15" fillId="16" borderId="34" xfId="0" applyFont="1" applyFill="1" applyBorder="1" applyAlignment="1">
      <alignment horizontal="center" vertical="center" wrapText="1"/>
    </xf>
    <xf numFmtId="0" fontId="15" fillId="16" borderId="35" xfId="0" applyFont="1" applyFill="1" applyBorder="1" applyAlignment="1">
      <alignment horizontal="center" vertical="center" wrapText="1"/>
    </xf>
    <xf numFmtId="0" fontId="15" fillId="16" borderId="18" xfId="0" applyFont="1" applyFill="1" applyBorder="1" applyAlignment="1">
      <alignment horizontal="center" vertical="center" wrapText="1"/>
    </xf>
    <xf numFmtId="0" fontId="10" fillId="0" borderId="0" xfId="1" applyFont="1" applyAlignment="1">
      <alignment horizontal="center" vertical="center"/>
    </xf>
    <xf numFmtId="0" fontId="3" fillId="0" borderId="0" xfId="1" applyFont="1" applyAlignment="1">
      <alignment horizontal="center"/>
    </xf>
    <xf numFmtId="49" fontId="3" fillId="0" borderId="0" xfId="1" applyNumberFormat="1" applyFont="1" applyAlignment="1">
      <alignment horizontal="center"/>
    </xf>
    <xf numFmtId="0" fontId="15" fillId="16" borderId="32" xfId="0" applyFont="1" applyFill="1" applyBorder="1" applyAlignment="1">
      <alignment horizontal="center" vertical="center" wrapText="1"/>
    </xf>
    <xf numFmtId="0" fontId="15" fillId="16" borderId="33" xfId="0" applyFont="1" applyFill="1" applyBorder="1" applyAlignment="1">
      <alignment horizontal="center" vertical="center" wrapText="1"/>
    </xf>
    <xf numFmtId="0" fontId="15" fillId="16" borderId="30" xfId="0" applyFont="1" applyFill="1" applyBorder="1" applyAlignment="1">
      <alignment horizontal="center" vertical="center" wrapText="1"/>
    </xf>
    <xf numFmtId="0" fontId="6" fillId="2" borderId="44" xfId="1" applyFont="1" applyFill="1" applyBorder="1" applyAlignment="1">
      <alignment horizontal="center" wrapText="1"/>
    </xf>
    <xf numFmtId="0" fontId="6" fillId="2" borderId="45" xfId="1" applyFont="1" applyFill="1" applyBorder="1" applyAlignment="1">
      <alignment horizontal="center" wrapText="1"/>
    </xf>
    <xf numFmtId="0" fontId="15" fillId="16" borderId="26" xfId="0" applyFont="1" applyFill="1" applyBorder="1" applyAlignment="1">
      <alignment horizontal="center" vertical="center" wrapText="1"/>
    </xf>
    <xf numFmtId="0" fontId="15" fillId="16" borderId="27" xfId="0" applyFont="1" applyFill="1" applyBorder="1" applyAlignment="1">
      <alignment horizontal="center" vertical="center" wrapText="1"/>
    </xf>
    <xf numFmtId="0" fontId="15" fillId="16" borderId="49" xfId="0" applyFont="1" applyFill="1" applyBorder="1" applyAlignment="1">
      <alignment horizontal="center" vertical="center" wrapText="1"/>
    </xf>
    <xf numFmtId="0" fontId="15" fillId="16" borderId="50" xfId="0" applyFont="1" applyFill="1" applyBorder="1" applyAlignment="1">
      <alignment horizontal="center" vertical="center" wrapText="1"/>
    </xf>
    <xf numFmtId="0" fontId="6" fillId="2" borderId="20" xfId="1" applyFont="1" applyFill="1" applyBorder="1" applyAlignment="1">
      <alignment horizontal="center" vertical="center"/>
    </xf>
    <xf numFmtId="0" fontId="3" fillId="0" borderId="8" xfId="1" applyFont="1" applyBorder="1" applyAlignment="1">
      <alignment horizontal="left" vertical="center"/>
    </xf>
    <xf numFmtId="0" fontId="12" fillId="0" borderId="1" xfId="1" applyFont="1" applyBorder="1" applyAlignment="1">
      <alignment horizontal="left"/>
    </xf>
    <xf numFmtId="0" fontId="10" fillId="0" borderId="0" xfId="1" applyFont="1" applyAlignment="1">
      <alignment horizontal="left"/>
    </xf>
    <xf numFmtId="0" fontId="3" fillId="13" borderId="7" xfId="1" applyFont="1" applyFill="1" applyBorder="1" applyAlignment="1" applyProtection="1">
      <alignment horizontal="left" vertical="top" wrapText="1"/>
      <protection locked="0"/>
    </xf>
    <xf numFmtId="0" fontId="3" fillId="0" borderId="8" xfId="1" applyFont="1" applyBorder="1" applyAlignment="1" applyProtection="1">
      <alignment horizontal="left" vertical="center"/>
      <protection locked="0"/>
    </xf>
    <xf numFmtId="0" fontId="3" fillId="0" borderId="5" xfId="1" applyFont="1" applyBorder="1" applyAlignment="1" applyProtection="1">
      <alignment horizontal="left" vertical="center"/>
      <protection locked="0"/>
    </xf>
    <xf numFmtId="0" fontId="3" fillId="0" borderId="7" xfId="1" applyFont="1" applyBorder="1" applyAlignment="1" applyProtection="1">
      <alignment horizontal="left" vertical="center"/>
      <protection locked="0"/>
    </xf>
    <xf numFmtId="0" fontId="3" fillId="0" borderId="6" xfId="1" applyFont="1" applyBorder="1" applyAlignment="1" applyProtection="1">
      <alignment horizontal="left" vertical="center"/>
      <protection locked="0"/>
    </xf>
    <xf numFmtId="0" fontId="3" fillId="13" borderId="6" xfId="1" applyFont="1" applyFill="1" applyBorder="1" applyAlignment="1" applyProtection="1">
      <alignment horizontal="center" vertical="top" wrapText="1"/>
      <protection locked="0"/>
    </xf>
    <xf numFmtId="0" fontId="0" fillId="0" borderId="7" xfId="0" applyBorder="1" applyProtection="1">
      <protection locked="0"/>
    </xf>
    <xf numFmtId="0" fontId="0" fillId="0" borderId="6" xfId="0" applyBorder="1" applyProtection="1">
      <protection locked="0"/>
    </xf>
    <xf numFmtId="0" fontId="3" fillId="13" borderId="7" xfId="1" applyFont="1" applyFill="1" applyBorder="1" applyAlignment="1" applyProtection="1">
      <alignment horizontal="center" vertical="top" wrapText="1"/>
      <protection locked="0"/>
    </xf>
    <xf numFmtId="1" fontId="3" fillId="0" borderId="8" xfId="1" applyNumberFormat="1" applyFont="1" applyBorder="1" applyAlignment="1" applyProtection="1">
      <alignment horizontal="left" vertical="center"/>
      <protection locked="0"/>
    </xf>
    <xf numFmtId="0" fontId="3" fillId="0" borderId="8" xfId="1" applyFont="1" applyBorder="1" applyAlignment="1" applyProtection="1">
      <alignment horizontal="left" vertical="center" readingOrder="1"/>
      <protection locked="0"/>
    </xf>
    <xf numFmtId="49" fontId="12" fillId="0" borderId="1" xfId="1" applyNumberFormat="1" applyFont="1" applyBorder="1" applyAlignment="1">
      <alignment horizontal="left"/>
    </xf>
    <xf numFmtId="0" fontId="4" fillId="0" borderId="13" xfId="1" applyFont="1" applyBorder="1" applyAlignment="1" applyProtection="1">
      <alignment horizontal="center"/>
      <protection locked="0"/>
    </xf>
    <xf numFmtId="0" fontId="14" fillId="0" borderId="0" xfId="1" applyFont="1" applyAlignment="1" applyProtection="1">
      <alignment horizontal="left" vertical="top" wrapText="1"/>
      <protection locked="0"/>
    </xf>
    <xf numFmtId="0" fontId="5" fillId="0" borderId="5" xfId="1" applyFont="1" applyBorder="1" applyAlignment="1">
      <alignment horizontal="center" vertical="center" wrapText="1"/>
    </xf>
    <xf numFmtId="0" fontId="5" fillId="0" borderId="7" xfId="1" applyFont="1" applyBorder="1" applyAlignment="1">
      <alignment horizontal="center" vertical="center" wrapText="1"/>
    </xf>
    <xf numFmtId="0" fontId="5" fillId="0" borderId="6" xfId="1" applyFont="1" applyBorder="1" applyAlignment="1">
      <alignment horizontal="center" vertical="center" wrapText="1"/>
    </xf>
    <xf numFmtId="0" fontId="0" fillId="20" borderId="5" xfId="0" applyFill="1" applyBorder="1" applyAlignment="1">
      <alignment horizontal="center"/>
    </xf>
    <xf numFmtId="0" fontId="0" fillId="20" borderId="6" xfId="0" applyFill="1" applyBorder="1" applyAlignment="1">
      <alignment horizontal="center"/>
    </xf>
    <xf numFmtId="0" fontId="0" fillId="21" borderId="10" xfId="0" applyFill="1" applyBorder="1" applyAlignment="1">
      <alignment horizontal="center"/>
    </xf>
    <xf numFmtId="0" fontId="0" fillId="21" borderId="11" xfId="0" applyFill="1" applyBorder="1" applyAlignment="1">
      <alignment horizontal="center"/>
    </xf>
    <xf numFmtId="0" fontId="0" fillId="21" borderId="12" xfId="0" applyFill="1" applyBorder="1" applyAlignment="1">
      <alignment horizontal="center"/>
    </xf>
    <xf numFmtId="0" fontId="2" fillId="21" borderId="5" xfId="0" applyFont="1" applyFill="1" applyBorder="1" applyAlignment="1">
      <alignment horizontal="center"/>
    </xf>
    <xf numFmtId="0" fontId="2" fillId="21" borderId="7" xfId="0" applyFont="1" applyFill="1" applyBorder="1" applyAlignment="1">
      <alignment horizontal="center"/>
    </xf>
    <xf numFmtId="0" fontId="2" fillId="21" borderId="6" xfId="0" applyFont="1" applyFill="1" applyBorder="1" applyAlignment="1">
      <alignment horizontal="center"/>
    </xf>
    <xf numFmtId="0" fontId="10" fillId="15" borderId="5" xfId="1" applyFont="1" applyFill="1" applyBorder="1" applyAlignment="1">
      <alignment horizontal="center" vertical="center"/>
    </xf>
    <xf numFmtId="0" fontId="10" fillId="15" borderId="7" xfId="1" applyFont="1" applyFill="1" applyBorder="1" applyAlignment="1">
      <alignment horizontal="center" vertical="center"/>
    </xf>
    <xf numFmtId="0" fontId="10" fillId="15" borderId="6" xfId="1" applyFont="1" applyFill="1" applyBorder="1" applyAlignment="1">
      <alignment horizontal="center" vertical="center"/>
    </xf>
    <xf numFmtId="0" fontId="0" fillId="21" borderId="4" xfId="0" applyFill="1" applyBorder="1" applyAlignment="1">
      <alignment horizontal="center"/>
    </xf>
    <xf numFmtId="0" fontId="0" fillId="21" borderId="13" xfId="0" applyFill="1" applyBorder="1" applyAlignment="1">
      <alignment horizontal="center"/>
    </xf>
    <xf numFmtId="0" fontId="0" fillId="21" borderId="14" xfId="0" applyFill="1" applyBorder="1" applyAlignment="1">
      <alignment horizontal="center"/>
    </xf>
    <xf numFmtId="0" fontId="0" fillId="21" borderId="5" xfId="0" applyFill="1" applyBorder="1" applyAlignment="1">
      <alignment horizontal="center"/>
    </xf>
    <xf numFmtId="0" fontId="0" fillId="21" borderId="7" xfId="0" applyFill="1" applyBorder="1" applyAlignment="1">
      <alignment horizontal="center"/>
    </xf>
    <xf numFmtId="0" fontId="0" fillId="21" borderId="6" xfId="0" applyFill="1" applyBorder="1" applyAlignment="1">
      <alignment horizontal="center"/>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21" borderId="8" xfId="0" applyFill="1" applyBorder="1" applyAlignment="1">
      <alignment horizontal="center"/>
    </xf>
    <xf numFmtId="0" fontId="20" fillId="15" borderId="5" xfId="1" applyFont="1" applyFill="1" applyBorder="1" applyAlignment="1">
      <alignment horizontal="center" vertical="center"/>
    </xf>
    <xf numFmtId="0" fontId="20" fillId="15" borderId="7" xfId="1" applyFont="1" applyFill="1" applyBorder="1" applyAlignment="1">
      <alignment horizontal="center" vertical="center"/>
    </xf>
    <xf numFmtId="0" fontId="20" fillId="15" borderId="6" xfId="1" applyFont="1" applyFill="1" applyBorder="1" applyAlignment="1">
      <alignment horizontal="center" vertical="center"/>
    </xf>
    <xf numFmtId="0" fontId="3" fillId="0" borderId="0" xfId="1" applyFont="1" applyAlignment="1">
      <alignment horizontal="left"/>
    </xf>
    <xf numFmtId="49" fontId="3" fillId="0" borderId="0" xfId="1" applyNumberFormat="1" applyFont="1" applyAlignment="1">
      <alignment horizontal="left"/>
    </xf>
    <xf numFmtId="0" fontId="6" fillId="0" borderId="0" xfId="1" applyFont="1" applyAlignment="1">
      <alignment horizontal="right"/>
    </xf>
    <xf numFmtId="0" fontId="2" fillId="15" borderId="3" xfId="0" applyFont="1" applyFill="1" applyBorder="1" applyAlignment="1">
      <alignment horizontal="center"/>
    </xf>
    <xf numFmtId="49" fontId="2" fillId="15" borderId="8" xfId="0" applyNumberFormat="1" applyFont="1" applyFill="1" applyBorder="1" applyAlignment="1">
      <alignment horizontal="center"/>
    </xf>
    <xf numFmtId="49" fontId="2" fillId="15" borderId="5" xfId="0" applyNumberFormat="1" applyFont="1" applyFill="1" applyBorder="1" applyAlignment="1">
      <alignment horizontal="center"/>
    </xf>
    <xf numFmtId="49" fontId="2" fillId="15" borderId="7" xfId="0" applyNumberFormat="1" applyFont="1" applyFill="1" applyBorder="1" applyAlignment="1">
      <alignment horizontal="center"/>
    </xf>
    <xf numFmtId="49" fontId="2" fillId="15" borderId="6" xfId="0" applyNumberFormat="1" applyFont="1" applyFill="1" applyBorder="1" applyAlignment="1">
      <alignment horizontal="center"/>
    </xf>
    <xf numFmtId="10" fontId="0" fillId="0" borderId="0" xfId="7" applyNumberFormat="1" applyFont="1" applyAlignment="1">
      <alignment horizontal="center"/>
    </xf>
    <xf numFmtId="0" fontId="0" fillId="0" borderId="0" xfId="0" applyAlignment="1">
      <alignment horizontal="left"/>
    </xf>
    <xf numFmtId="0" fontId="0" fillId="0" borderId="13" xfId="0" applyBorder="1" applyAlignment="1">
      <alignment horizontal="left"/>
    </xf>
    <xf numFmtId="0" fontId="2" fillId="15" borderId="8" xfId="0" applyFont="1" applyFill="1" applyBorder="1" applyAlignment="1">
      <alignment horizontal="left"/>
    </xf>
    <xf numFmtId="49" fontId="2" fillId="15" borderId="5" xfId="0" applyNumberFormat="1" applyFont="1" applyFill="1" applyBorder="1" applyAlignment="1">
      <alignment horizontal="left"/>
    </xf>
    <xf numFmtId="49" fontId="2" fillId="15" borderId="7" xfId="0" applyNumberFormat="1" applyFont="1" applyFill="1" applyBorder="1" applyAlignment="1">
      <alignment horizontal="left"/>
    </xf>
    <xf numFmtId="49" fontId="2" fillId="15" borderId="6" xfId="0" applyNumberFormat="1" applyFont="1" applyFill="1" applyBorder="1" applyAlignment="1">
      <alignment horizontal="left"/>
    </xf>
    <xf numFmtId="0" fontId="2" fillId="15" borderId="5" xfId="0" applyFont="1" applyFill="1" applyBorder="1" applyAlignment="1">
      <alignment horizontal="center"/>
    </xf>
    <xf numFmtId="0" fontId="2" fillId="15" borderId="7" xfId="0" applyFont="1" applyFill="1" applyBorder="1" applyAlignment="1">
      <alignment horizontal="center"/>
    </xf>
    <xf numFmtId="0" fontId="2" fillId="15" borderId="6" xfId="0" applyFont="1" applyFill="1" applyBorder="1" applyAlignment="1">
      <alignment horizontal="center"/>
    </xf>
    <xf numFmtId="22" fontId="0" fillId="0" borderId="32" xfId="0" applyNumberFormat="1" applyBorder="1"/>
    <xf numFmtId="0" fontId="0" fillId="0" borderId="0" xfId="0" applyBorder="1"/>
    <xf numFmtId="164" fontId="0" fillId="0" borderId="0" xfId="0" applyNumberFormat="1" applyBorder="1"/>
  </cellXfs>
  <cellStyles count="8">
    <cellStyle name="Comma" xfId="3" builtinId="3"/>
    <cellStyle name="Comma0" xfId="2" xr:uid="{A8EADF69-06DD-434C-BBAD-D843AE110BBC}"/>
    <cellStyle name="Normal" xfId="0" builtinId="0"/>
    <cellStyle name="Normal 2" xfId="1" xr:uid="{9E6CFDB7-C167-464F-9D32-BA29E46DD956}"/>
    <cellStyle name="Normal 3" xfId="5" xr:uid="{00000000-0005-0000-0000-000004000000}"/>
    <cellStyle name="Normal 4" xfId="4" xr:uid="{00000000-0005-0000-0000-000032000000}"/>
    <cellStyle name="Percent" xfId="7" builtinId="5"/>
    <cellStyle name="Percent 2" xfId="6" xr:uid="{00000000-0005-0000-0000-000035000000}"/>
  </cellStyles>
  <dxfs count="321">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00FFFF"/>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colors>
    <mruColors>
      <color rgb="FFFFCC99"/>
      <color rgb="FF338583"/>
      <color rgb="FF993300"/>
      <color rgb="FFFF6700"/>
      <color rgb="FFDE8B10"/>
      <color rgb="FF00FFFF"/>
      <color rgb="FF01EFEF"/>
      <color rgb="FFFF99FF"/>
      <color rgb="FFDB6413"/>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Data Completeness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FF-4DB3-9C66-A292FC2BAF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FF-4DB3-9C66-A292FC2BAF66}"/>
              </c:ext>
            </c:extLst>
          </c:dPt>
          <c:dPt>
            <c:idx val="2"/>
            <c:bubble3D val="0"/>
            <c:spPr>
              <a:solidFill>
                <a:srgbClr val="FF0000"/>
              </a:solidFill>
              <a:ln w="19050">
                <a:solidFill>
                  <a:schemeClr val="lt1"/>
                </a:solidFill>
              </a:ln>
              <a:effectLst/>
            </c:spPr>
            <c:extLst>
              <c:ext xmlns:c16="http://schemas.microsoft.com/office/drawing/2014/chart" uri="{C3380CC4-5D6E-409C-BE32-E72D297353CC}">
                <c16:uniqueId val="{00000005-60FF-4DB3-9C66-A292FC2BAF66}"/>
              </c:ext>
            </c:extLst>
          </c:dPt>
          <c:cat>
            <c:strRef>
              <c:f>'Validator Notes'!$C$90:$E$90</c:f>
              <c:strCache>
                <c:ptCount val="3"/>
                <c:pt idx="0">
                  <c:v>Total Valid Ambient Hours</c:v>
                </c:pt>
                <c:pt idx="1">
                  <c:v>Total Null Flagged QC Hrs</c:v>
                </c:pt>
                <c:pt idx="2">
                  <c:v>Total Invalid Hours</c:v>
                </c:pt>
              </c:strCache>
            </c:strRef>
          </c:cat>
          <c:val>
            <c:numRef>
              <c:f>'Validator Notes'!$C$91:$E$91</c:f>
              <c:numCache>
                <c:formatCode>General</c:formatCode>
                <c:ptCount val="3"/>
              </c:numCache>
            </c:numRef>
          </c:val>
          <c:extLst>
            <c:ext xmlns:c16="http://schemas.microsoft.com/office/drawing/2014/chart" uri="{C3380CC4-5D6E-409C-BE32-E72D297353CC}">
              <c16:uniqueId val="{00000006-60FF-4DB3-9C66-A292FC2BAF6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CVS Recovery</a:t>
            </a:r>
            <a:r>
              <a:rPr lang="en-US" baseline="0">
                <a:solidFill>
                  <a:sysClr val="windowText" lastClr="000000"/>
                </a:solidFill>
              </a:rPr>
              <a:t> Distribution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469816272965886E-2"/>
          <c:y val="0.15782407407407409"/>
          <c:w val="0.85708573928258969"/>
          <c:h val="0.61903579760863214"/>
        </c:manualLayout>
      </c:layout>
      <c:scatterChart>
        <c:scatterStyle val="lineMarker"/>
        <c:varyColors val="0"/>
        <c:ser>
          <c:idx val="0"/>
          <c:order val="0"/>
          <c:tx>
            <c:v>Propane</c:v>
          </c:tx>
          <c:spPr>
            <a:ln w="25400" cap="rnd">
              <a:noFill/>
              <a:round/>
            </a:ln>
            <a:effectLst/>
          </c:spPr>
          <c:marker>
            <c:symbol val="circle"/>
            <c:size val="5"/>
            <c:spPr>
              <a:solidFill>
                <a:schemeClr val="accent1"/>
              </a:solidFill>
              <a:ln w="9525">
                <a:solidFill>
                  <a:schemeClr val="accent1"/>
                </a:solidFill>
              </a:ln>
              <a:effectLst/>
            </c:spPr>
          </c:marker>
          <c:xVal>
            <c:numRef>
              <c:f>Calculations!$C$4:$C$45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xVal>
          <c:yVal>
            <c:numRef>
              <c:f>Calculations!$D$4:$D$45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yVal>
          <c:smooth val="0"/>
          <c:extLst>
            <c:ext xmlns:c16="http://schemas.microsoft.com/office/drawing/2014/chart" uri="{C3380CC4-5D6E-409C-BE32-E72D297353CC}">
              <c16:uniqueId val="{00000000-E1BB-423D-B84D-0BBEDCFF746D}"/>
            </c:ext>
          </c:extLst>
        </c:ser>
        <c:ser>
          <c:idx val="1"/>
          <c:order val="1"/>
          <c:tx>
            <c:v>Toluene</c:v>
          </c:tx>
          <c:spPr>
            <a:ln w="25400" cap="rnd">
              <a:noFill/>
              <a:round/>
            </a:ln>
            <a:effectLst/>
          </c:spPr>
          <c:marker>
            <c:symbol val="circle"/>
            <c:size val="5"/>
            <c:spPr>
              <a:solidFill>
                <a:schemeClr val="accent2"/>
              </a:solidFill>
              <a:ln w="9525">
                <a:solidFill>
                  <a:schemeClr val="accent2"/>
                </a:solidFill>
              </a:ln>
              <a:effectLst/>
            </c:spPr>
          </c:marker>
          <c:xVal>
            <c:numRef>
              <c:f>Calculations!$F$4:$F$45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xVal>
          <c:yVal>
            <c:numRef>
              <c:f>Calculations!$G$4:$G$45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yVal>
          <c:smooth val="0"/>
          <c:extLst>
            <c:ext xmlns:c16="http://schemas.microsoft.com/office/drawing/2014/chart" uri="{C3380CC4-5D6E-409C-BE32-E72D297353CC}">
              <c16:uniqueId val="{00000001-E1BB-423D-B84D-0BBEDCFF746D}"/>
            </c:ext>
          </c:extLst>
        </c:ser>
        <c:ser>
          <c:idx val="2"/>
          <c:order val="2"/>
          <c:tx>
            <c:v>Target</c:v>
          </c:tx>
          <c:spPr>
            <a:ln w="25400" cap="rnd">
              <a:solidFill>
                <a:schemeClr val="accent6"/>
              </a:solidFill>
              <a:round/>
            </a:ln>
            <a:effectLst/>
          </c:spPr>
          <c:marker>
            <c:symbol val="none"/>
          </c:marker>
          <c:xVal>
            <c:numRef>
              <c:f>Calculations!$I$30:$I$42</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xVal>
          <c:yVal>
            <c:numRef>
              <c:f>Calculations!$H$30:$H$42</c:f>
              <c:numCache>
                <c:formatCode>General</c:formatCode>
                <c:ptCount val="13"/>
                <c:pt idx="0">
                  <c:v>12</c:v>
                </c:pt>
                <c:pt idx="1">
                  <c:v>11</c:v>
                </c:pt>
                <c:pt idx="2">
                  <c:v>10</c:v>
                </c:pt>
                <c:pt idx="3">
                  <c:v>9</c:v>
                </c:pt>
                <c:pt idx="4">
                  <c:v>8</c:v>
                </c:pt>
                <c:pt idx="5">
                  <c:v>7</c:v>
                </c:pt>
                <c:pt idx="6">
                  <c:v>6</c:v>
                </c:pt>
                <c:pt idx="7">
                  <c:v>5</c:v>
                </c:pt>
                <c:pt idx="8">
                  <c:v>4</c:v>
                </c:pt>
                <c:pt idx="9">
                  <c:v>3</c:v>
                </c:pt>
                <c:pt idx="10">
                  <c:v>2</c:v>
                </c:pt>
                <c:pt idx="11">
                  <c:v>1</c:v>
                </c:pt>
                <c:pt idx="12">
                  <c:v>0</c:v>
                </c:pt>
              </c:numCache>
            </c:numRef>
          </c:yVal>
          <c:smooth val="0"/>
          <c:extLst>
            <c:ext xmlns:c16="http://schemas.microsoft.com/office/drawing/2014/chart" uri="{C3380CC4-5D6E-409C-BE32-E72D297353CC}">
              <c16:uniqueId val="{00000002-E1BB-423D-B84D-0BBEDCFF746D}"/>
            </c:ext>
          </c:extLst>
        </c:ser>
        <c:dLbls>
          <c:showLegendKey val="0"/>
          <c:showVal val="0"/>
          <c:showCatName val="0"/>
          <c:showSerName val="0"/>
          <c:showPercent val="0"/>
          <c:showBubbleSize val="0"/>
        </c:dLbls>
        <c:axId val="760034232"/>
        <c:axId val="760030992"/>
      </c:scatterChart>
      <c:valAx>
        <c:axId val="76003423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30992"/>
        <c:crosses val="autoZero"/>
        <c:crossBetween val="midCat"/>
      </c:valAx>
      <c:valAx>
        <c:axId val="760030992"/>
        <c:scaling>
          <c:orientation val="minMax"/>
        </c:scaling>
        <c:delete val="1"/>
        <c:axPos val="l"/>
        <c:numFmt formatCode="General" sourceLinked="1"/>
        <c:majorTickMark val="none"/>
        <c:minorTickMark val="none"/>
        <c:tickLblPos val="nextTo"/>
        <c:crossAx val="760034232"/>
        <c:crosses val="autoZero"/>
        <c:crossBetween val="midCat"/>
      </c:valAx>
      <c:spPr>
        <a:noFill/>
        <a:ln>
          <a:noFill/>
        </a:ln>
        <a:effectLst/>
      </c:spPr>
    </c:plotArea>
    <c:legend>
      <c:legendPos val="r"/>
      <c:layout>
        <c:manualLayout>
          <c:xMode val="edge"/>
          <c:yMode val="edge"/>
          <c:x val="0.2700415573053368"/>
          <c:y val="0.81357538641003213"/>
          <c:w val="0.47995844269466315"/>
          <c:h val="0.15104330708661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CVS Recovery</a:t>
            </a:r>
            <a:r>
              <a:rPr lang="en-US" baseline="0">
                <a:solidFill>
                  <a:sysClr val="windowText" lastClr="000000"/>
                </a:solidFill>
              </a:rPr>
              <a:t> Distribution</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0469816272965886E-2"/>
          <c:y val="0.15782407407407409"/>
          <c:w val="0.85708573928258969"/>
          <c:h val="0.61903579760863214"/>
        </c:manualLayout>
      </c:layout>
      <c:scatterChart>
        <c:scatterStyle val="lineMarker"/>
        <c:varyColors val="0"/>
        <c:ser>
          <c:idx val="0"/>
          <c:order val="0"/>
          <c:tx>
            <c:v>Propane</c:v>
          </c:tx>
          <c:spPr>
            <a:ln w="25400" cap="rnd">
              <a:noFill/>
              <a:round/>
            </a:ln>
            <a:effectLst/>
          </c:spPr>
          <c:marker>
            <c:symbol val="circle"/>
            <c:size val="5"/>
            <c:spPr>
              <a:solidFill>
                <a:schemeClr val="accent1"/>
              </a:solidFill>
              <a:ln w="9525">
                <a:solidFill>
                  <a:schemeClr val="accent1"/>
                </a:solidFill>
              </a:ln>
              <a:effectLst/>
            </c:spPr>
          </c:marker>
          <c:xVal>
            <c:numRef>
              <c:f>Calculations!$C$4:$C$45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xVal>
          <c:yVal>
            <c:numRef>
              <c:f>Calculations!$D$4:$D$45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yVal>
          <c:smooth val="0"/>
          <c:extLst>
            <c:ext xmlns:c16="http://schemas.microsoft.com/office/drawing/2014/chart" uri="{C3380CC4-5D6E-409C-BE32-E72D297353CC}">
              <c16:uniqueId val="{00000000-A1E2-4FBC-937A-D7147CF0D58A}"/>
            </c:ext>
          </c:extLst>
        </c:ser>
        <c:ser>
          <c:idx val="1"/>
          <c:order val="1"/>
          <c:tx>
            <c:v>Toluene</c:v>
          </c:tx>
          <c:spPr>
            <a:ln w="25400" cap="rnd">
              <a:noFill/>
              <a:round/>
            </a:ln>
            <a:effectLst/>
          </c:spPr>
          <c:marker>
            <c:symbol val="circle"/>
            <c:size val="5"/>
            <c:spPr>
              <a:solidFill>
                <a:schemeClr val="accent2"/>
              </a:solidFill>
              <a:ln w="9525">
                <a:solidFill>
                  <a:schemeClr val="accent2"/>
                </a:solidFill>
              </a:ln>
              <a:effectLst/>
            </c:spPr>
          </c:marker>
          <c:xVal>
            <c:numRef>
              <c:f>Calculations!$F$4:$F$45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xVal>
          <c:yVal>
            <c:numRef>
              <c:f>Calculations!$G$4:$G$45</c:f>
              <c:numCache>
                <c:formatCode>General</c:formatCode>
                <c:ptCount val="4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numCache>
            </c:numRef>
          </c:yVal>
          <c:smooth val="0"/>
          <c:extLst>
            <c:ext xmlns:c16="http://schemas.microsoft.com/office/drawing/2014/chart" uri="{C3380CC4-5D6E-409C-BE32-E72D297353CC}">
              <c16:uniqueId val="{00000001-A1E2-4FBC-937A-D7147CF0D58A}"/>
            </c:ext>
          </c:extLst>
        </c:ser>
        <c:ser>
          <c:idx val="2"/>
          <c:order val="2"/>
          <c:tx>
            <c:v>Target</c:v>
          </c:tx>
          <c:spPr>
            <a:ln w="25400" cap="rnd">
              <a:solidFill>
                <a:schemeClr val="accent6"/>
              </a:solidFill>
              <a:round/>
            </a:ln>
            <a:effectLst/>
          </c:spPr>
          <c:marker>
            <c:symbol val="none"/>
          </c:marker>
          <c:xVal>
            <c:numRef>
              <c:f>Calculations!$I$30:$I$42</c:f>
              <c:numCache>
                <c:formatCode>General</c:formatCode>
                <c:ptCount val="13"/>
                <c:pt idx="0">
                  <c:v>1</c:v>
                </c:pt>
                <c:pt idx="1">
                  <c:v>1</c:v>
                </c:pt>
                <c:pt idx="2">
                  <c:v>1</c:v>
                </c:pt>
                <c:pt idx="3">
                  <c:v>1</c:v>
                </c:pt>
                <c:pt idx="4">
                  <c:v>1</c:v>
                </c:pt>
                <c:pt idx="5">
                  <c:v>1</c:v>
                </c:pt>
                <c:pt idx="6">
                  <c:v>1</c:v>
                </c:pt>
                <c:pt idx="7">
                  <c:v>1</c:v>
                </c:pt>
                <c:pt idx="8">
                  <c:v>1</c:v>
                </c:pt>
                <c:pt idx="9">
                  <c:v>1</c:v>
                </c:pt>
                <c:pt idx="10">
                  <c:v>1</c:v>
                </c:pt>
                <c:pt idx="11">
                  <c:v>1</c:v>
                </c:pt>
                <c:pt idx="12">
                  <c:v>1</c:v>
                </c:pt>
              </c:numCache>
            </c:numRef>
          </c:xVal>
          <c:yVal>
            <c:numRef>
              <c:f>Calculations!$H$30:$H$42</c:f>
              <c:numCache>
                <c:formatCode>General</c:formatCode>
                <c:ptCount val="13"/>
                <c:pt idx="0">
                  <c:v>12</c:v>
                </c:pt>
                <c:pt idx="1">
                  <c:v>11</c:v>
                </c:pt>
                <c:pt idx="2">
                  <c:v>10</c:v>
                </c:pt>
                <c:pt idx="3">
                  <c:v>9</c:v>
                </c:pt>
                <c:pt idx="4">
                  <c:v>8</c:v>
                </c:pt>
                <c:pt idx="5">
                  <c:v>7</c:v>
                </c:pt>
                <c:pt idx="6">
                  <c:v>6</c:v>
                </c:pt>
                <c:pt idx="7">
                  <c:v>5</c:v>
                </c:pt>
                <c:pt idx="8">
                  <c:v>4</c:v>
                </c:pt>
                <c:pt idx="9">
                  <c:v>3</c:v>
                </c:pt>
                <c:pt idx="10">
                  <c:v>2</c:v>
                </c:pt>
                <c:pt idx="11">
                  <c:v>1</c:v>
                </c:pt>
                <c:pt idx="12">
                  <c:v>0</c:v>
                </c:pt>
              </c:numCache>
            </c:numRef>
          </c:yVal>
          <c:smooth val="0"/>
          <c:extLst>
            <c:ext xmlns:c16="http://schemas.microsoft.com/office/drawing/2014/chart" uri="{C3380CC4-5D6E-409C-BE32-E72D297353CC}">
              <c16:uniqueId val="{00000002-A1E2-4FBC-937A-D7147CF0D58A}"/>
            </c:ext>
          </c:extLst>
        </c:ser>
        <c:dLbls>
          <c:showLegendKey val="0"/>
          <c:showVal val="0"/>
          <c:showCatName val="0"/>
          <c:showSerName val="0"/>
          <c:showPercent val="0"/>
          <c:showBubbleSize val="0"/>
        </c:dLbls>
        <c:axId val="760034232"/>
        <c:axId val="760030992"/>
      </c:scatterChart>
      <c:valAx>
        <c:axId val="760034232"/>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030992"/>
        <c:crosses val="autoZero"/>
        <c:crossBetween val="midCat"/>
      </c:valAx>
      <c:valAx>
        <c:axId val="760030992"/>
        <c:scaling>
          <c:orientation val="minMax"/>
        </c:scaling>
        <c:delete val="1"/>
        <c:axPos val="l"/>
        <c:numFmt formatCode="General" sourceLinked="1"/>
        <c:majorTickMark val="none"/>
        <c:minorTickMark val="none"/>
        <c:tickLblPos val="nextTo"/>
        <c:crossAx val="760034232"/>
        <c:crosses val="autoZero"/>
        <c:crossBetween val="midCat"/>
      </c:valAx>
      <c:spPr>
        <a:noFill/>
        <a:ln>
          <a:noFill/>
        </a:ln>
        <a:effectLst/>
      </c:spPr>
    </c:plotArea>
    <c:legend>
      <c:legendPos val="r"/>
      <c:layout>
        <c:manualLayout>
          <c:xMode val="edge"/>
          <c:yMode val="edge"/>
          <c:x val="0.2700415573053368"/>
          <c:y val="0.81357538641003213"/>
          <c:w val="0.47995844269466315"/>
          <c:h val="0.151043307086614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32482" cy="1020463"/>
    <xdr:pic>
      <xdr:nvPicPr>
        <xdr:cNvPr id="2" name="Picture 1">
          <a:extLst>
            <a:ext uri="{FF2B5EF4-FFF2-40B4-BE49-F238E27FC236}">
              <a16:creationId xmlns:a16="http://schemas.microsoft.com/office/drawing/2014/main" id="{C3F31463-4EBE-4D55-B253-D052A8C0ED19}"/>
            </a:ext>
          </a:extLst>
        </xdr:cNvPr>
        <xdr:cNvPicPr>
          <a:picLocks noChangeAspect="1"/>
        </xdr:cNvPicPr>
      </xdr:nvPicPr>
      <xdr:blipFill>
        <a:blip xmlns:r="http://schemas.openxmlformats.org/officeDocument/2006/relationships" r:embed="rId1"/>
        <a:stretch>
          <a:fillRect/>
        </a:stretch>
      </xdr:blipFill>
      <xdr:spPr>
        <a:xfrm>
          <a:off x="647700" y="0"/>
          <a:ext cx="8432482" cy="1020463"/>
        </a:xfrm>
        <a:prstGeom prst="rect">
          <a:avLst/>
        </a:prstGeom>
      </xdr:spPr>
    </xdr:pic>
    <xdr:clientData/>
  </xdr:oneCellAnchor>
  <xdr:twoCellAnchor>
    <xdr:from>
      <xdr:col>5</xdr:col>
      <xdr:colOff>319088</xdr:colOff>
      <xdr:row>81</xdr:row>
      <xdr:rowOff>83343</xdr:rowOff>
    </xdr:from>
    <xdr:to>
      <xdr:col>11</xdr:col>
      <xdr:colOff>385763</xdr:colOff>
      <xdr:row>93</xdr:row>
      <xdr:rowOff>150018</xdr:rowOff>
    </xdr:to>
    <xdr:graphicFrame macro="">
      <xdr:nvGraphicFramePr>
        <xdr:cNvPr id="3" name="Chart 2">
          <a:extLst>
            <a:ext uri="{FF2B5EF4-FFF2-40B4-BE49-F238E27FC236}">
              <a16:creationId xmlns:a16="http://schemas.microsoft.com/office/drawing/2014/main" id="{9353D27A-1134-48F0-97C6-4E32C8FCBC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166687</xdr:colOff>
      <xdr:row>33</xdr:row>
      <xdr:rowOff>59531</xdr:rowOff>
    </xdr:from>
    <xdr:to>
      <xdr:col>11</xdr:col>
      <xdr:colOff>238124</xdr:colOff>
      <xdr:row>44</xdr:row>
      <xdr:rowOff>16669</xdr:rowOff>
    </xdr:to>
    <xdr:graphicFrame macro="">
      <xdr:nvGraphicFramePr>
        <xdr:cNvPr id="5" name="Chart 4">
          <a:extLst>
            <a:ext uri="{FF2B5EF4-FFF2-40B4-BE49-F238E27FC236}">
              <a16:creationId xmlns:a16="http://schemas.microsoft.com/office/drawing/2014/main" id="{F1B9B1A4-6AD4-45C5-A5F9-89F0979A4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295275</xdr:colOff>
      <xdr:row>6</xdr:row>
      <xdr:rowOff>61912</xdr:rowOff>
    </xdr:from>
    <xdr:to>
      <xdr:col>23</xdr:col>
      <xdr:colOff>600075</xdr:colOff>
      <xdr:row>20</xdr:row>
      <xdr:rowOff>119062</xdr:rowOff>
    </xdr:to>
    <xdr:graphicFrame macro="">
      <xdr:nvGraphicFramePr>
        <xdr:cNvPr id="2" name="Chart 1">
          <a:extLst>
            <a:ext uri="{FF2B5EF4-FFF2-40B4-BE49-F238E27FC236}">
              <a16:creationId xmlns:a16="http://schemas.microsoft.com/office/drawing/2014/main" id="{8DD50917-D3A0-3FBA-7BA8-8506E92F4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B8E3D-EC64-4F05-8D0A-979466D1985D}">
  <sheetPr>
    <tabColor theme="9" tint="0.59999389629810485"/>
  </sheetPr>
  <dimension ref="A1:XFD158"/>
  <sheetViews>
    <sheetView view="pageBreakPreview" topLeftCell="A29" zoomScale="80" zoomScaleNormal="100" zoomScaleSheetLayoutView="80" workbookViewId="0">
      <selection activeCell="M41" sqref="M41"/>
    </sheetView>
  </sheetViews>
  <sheetFormatPr defaultRowHeight="15" x14ac:dyDescent="0.25"/>
  <cols>
    <col min="1" max="1" width="14.5703125" style="34" customWidth="1"/>
    <col min="2" max="2" width="26.5703125" customWidth="1"/>
    <col min="3" max="3" width="39.140625" customWidth="1"/>
    <col min="4" max="5" width="15.85546875" customWidth="1"/>
    <col min="6" max="6" width="8" bestFit="1" customWidth="1"/>
    <col min="7" max="7" width="14.85546875" customWidth="1"/>
    <col min="8" max="8" width="8" bestFit="1" customWidth="1"/>
    <col min="9" max="9" width="14.140625" bestFit="1" customWidth="1"/>
    <col min="10" max="10" width="7" bestFit="1" customWidth="1"/>
    <col min="11" max="11" width="15.5703125" customWidth="1"/>
    <col min="12" max="12" width="11.85546875" customWidth="1"/>
  </cols>
  <sheetData>
    <row r="1" spans="1:13" ht="58.5" customHeight="1" x14ac:dyDescent="0.35">
      <c r="A1" s="86"/>
      <c r="B1" s="86"/>
      <c r="C1" s="86"/>
      <c r="D1" s="86"/>
      <c r="E1" s="86"/>
      <c r="F1" s="86"/>
      <c r="G1" s="86"/>
      <c r="H1" s="87"/>
      <c r="I1" s="87"/>
      <c r="J1" s="87"/>
      <c r="K1" s="87"/>
      <c r="L1" s="87"/>
      <c r="M1" s="87"/>
    </row>
    <row r="2" spans="1:13" ht="21" x14ac:dyDescent="0.35">
      <c r="A2" s="86"/>
      <c r="B2" s="86"/>
      <c r="C2" s="86"/>
      <c r="D2" s="86"/>
      <c r="E2" s="86"/>
      <c r="F2" s="86"/>
      <c r="G2" s="86"/>
      <c r="H2" s="87"/>
      <c r="I2" s="87"/>
      <c r="J2" s="87"/>
      <c r="K2" s="87"/>
      <c r="L2" s="87"/>
      <c r="M2" s="87"/>
    </row>
    <row r="4" spans="1:13" x14ac:dyDescent="0.25">
      <c r="A4" s="4" t="s">
        <v>0</v>
      </c>
      <c r="B4" s="42"/>
    </row>
    <row r="5" spans="1:13" x14ac:dyDescent="0.25">
      <c r="A5" s="4" t="s">
        <v>1</v>
      </c>
      <c r="B5" s="43"/>
    </row>
    <row r="6" spans="1:13" x14ac:dyDescent="0.25">
      <c r="A6" s="4" t="s">
        <v>2</v>
      </c>
      <c r="B6" s="44" t="s">
        <v>210</v>
      </c>
    </row>
    <row r="8" spans="1:13" x14ac:dyDescent="0.25">
      <c r="A8" s="274" t="s">
        <v>49</v>
      </c>
      <c r="B8" s="274"/>
      <c r="C8" s="274"/>
      <c r="D8" s="274"/>
      <c r="E8" s="254" t="s">
        <v>47</v>
      </c>
      <c r="F8" s="255"/>
      <c r="G8" s="255"/>
      <c r="H8" s="255"/>
      <c r="I8" s="255"/>
      <c r="J8" s="255"/>
      <c r="K8" s="255"/>
      <c r="L8" s="255"/>
      <c r="M8" s="256"/>
    </row>
    <row r="9" spans="1:13" ht="33.75" customHeight="1" x14ac:dyDescent="0.25">
      <c r="A9" s="2"/>
      <c r="B9" s="247" t="s">
        <v>103</v>
      </c>
      <c r="C9" s="247"/>
      <c r="D9" s="247"/>
      <c r="E9" s="247"/>
      <c r="F9" s="247"/>
      <c r="G9" s="247"/>
      <c r="H9" s="247"/>
      <c r="I9" s="247"/>
      <c r="J9" s="247"/>
      <c r="K9" s="247"/>
      <c r="L9" s="247"/>
      <c r="M9" s="247"/>
    </row>
    <row r="10" spans="1:13" ht="33.75" customHeight="1" x14ac:dyDescent="0.25">
      <c r="A10" s="2"/>
      <c r="B10" s="247" t="s">
        <v>104</v>
      </c>
      <c r="C10" s="247"/>
      <c r="D10" s="247"/>
      <c r="E10" s="247"/>
      <c r="F10" s="247"/>
      <c r="G10" s="247"/>
      <c r="H10" s="247"/>
      <c r="I10" s="247"/>
      <c r="J10" s="247"/>
      <c r="K10" s="247"/>
      <c r="L10" s="247"/>
      <c r="M10" s="247"/>
    </row>
    <row r="11" spans="1:13" ht="33.75" customHeight="1" x14ac:dyDescent="0.25">
      <c r="A11" s="2"/>
      <c r="B11" s="247" t="s">
        <v>105</v>
      </c>
      <c r="C11" s="247"/>
      <c r="D11" s="247"/>
      <c r="E11" s="247"/>
      <c r="F11" s="247"/>
      <c r="G11" s="247"/>
      <c r="H11" s="247"/>
      <c r="I11" s="247"/>
      <c r="J11" s="247"/>
      <c r="K11" s="247"/>
      <c r="L11" s="247"/>
      <c r="M11" s="247"/>
    </row>
    <row r="12" spans="1:13" ht="43.5" customHeight="1" x14ac:dyDescent="0.25">
      <c r="A12" s="2"/>
      <c r="B12" s="244" t="s">
        <v>327</v>
      </c>
      <c r="C12" s="245"/>
      <c r="D12" s="246"/>
      <c r="E12" s="259"/>
      <c r="F12" s="260"/>
      <c r="G12" s="260"/>
      <c r="H12" s="260"/>
      <c r="I12" s="260"/>
      <c r="J12" s="260"/>
      <c r="K12" s="260"/>
      <c r="L12" s="260"/>
      <c r="M12" s="261"/>
    </row>
    <row r="13" spans="1:13" ht="18" customHeight="1" x14ac:dyDescent="0.25">
      <c r="A13" s="2"/>
      <c r="B13" s="244" t="s">
        <v>326</v>
      </c>
      <c r="C13" s="245"/>
      <c r="D13" s="246"/>
      <c r="E13" s="259"/>
      <c r="F13" s="260"/>
      <c r="G13" s="260"/>
      <c r="H13" s="260"/>
      <c r="I13" s="260"/>
      <c r="J13" s="260"/>
      <c r="K13" s="260"/>
      <c r="L13" s="260"/>
      <c r="M13" s="261"/>
    </row>
    <row r="14" spans="1:13" ht="30.75" customHeight="1" x14ac:dyDescent="0.25">
      <c r="A14" s="2"/>
      <c r="B14" s="247" t="s">
        <v>106</v>
      </c>
      <c r="C14" s="247"/>
      <c r="D14" s="247"/>
      <c r="E14" s="247"/>
      <c r="F14" s="247"/>
      <c r="G14" s="247"/>
      <c r="H14" s="247"/>
      <c r="I14" s="247"/>
      <c r="J14" s="247"/>
      <c r="K14" s="247"/>
      <c r="L14" s="247"/>
      <c r="M14" s="247"/>
    </row>
    <row r="15" spans="1:13" x14ac:dyDescent="0.25">
      <c r="A15" s="2"/>
      <c r="B15" s="262" t="s">
        <v>211</v>
      </c>
      <c r="C15" s="262"/>
      <c r="D15" s="262"/>
      <c r="E15" s="247"/>
      <c r="F15" s="247"/>
      <c r="G15" s="247"/>
      <c r="H15" s="247"/>
      <c r="I15" s="247"/>
      <c r="J15" s="247"/>
      <c r="K15" s="247"/>
      <c r="L15" s="247"/>
      <c r="M15" s="247"/>
    </row>
    <row r="16" spans="1:13" x14ac:dyDescent="0.25">
      <c r="A16" s="2"/>
      <c r="B16" s="247" t="s">
        <v>325</v>
      </c>
      <c r="C16" s="247"/>
      <c r="D16" s="247"/>
      <c r="E16" s="247"/>
      <c r="F16" s="247"/>
      <c r="G16" s="247"/>
      <c r="H16" s="247"/>
      <c r="I16" s="247"/>
      <c r="J16" s="247"/>
      <c r="K16" s="247"/>
      <c r="L16" s="247"/>
      <c r="M16" s="247"/>
    </row>
    <row r="17" spans="1:13" x14ac:dyDescent="0.25">
      <c r="A17" s="2"/>
      <c r="B17" s="247" t="s">
        <v>125</v>
      </c>
      <c r="C17" s="247"/>
      <c r="D17" s="247"/>
      <c r="E17" s="247"/>
      <c r="F17" s="247"/>
      <c r="G17" s="247"/>
      <c r="H17" s="247"/>
      <c r="I17" s="247"/>
      <c r="J17" s="247"/>
      <c r="K17" s="247"/>
      <c r="L17" s="247"/>
      <c r="M17" s="247"/>
    </row>
    <row r="18" spans="1:13" x14ac:dyDescent="0.25">
      <c r="A18" s="76"/>
      <c r="B18" s="275"/>
      <c r="C18" s="276"/>
      <c r="D18" s="277"/>
      <c r="E18" s="247"/>
      <c r="F18" s="247"/>
      <c r="G18" s="247"/>
      <c r="H18" s="247"/>
      <c r="I18" s="247"/>
      <c r="J18" s="247"/>
      <c r="K18" s="247"/>
      <c r="L18" s="247"/>
      <c r="M18" s="247"/>
    </row>
    <row r="19" spans="1:13" x14ac:dyDescent="0.25">
      <c r="A19" s="263" t="s">
        <v>51</v>
      </c>
      <c r="B19" s="263"/>
      <c r="C19" s="263"/>
      <c r="D19" s="263"/>
      <c r="E19" s="254"/>
      <c r="F19" s="255"/>
      <c r="G19" s="255"/>
      <c r="H19" s="255"/>
      <c r="I19" s="255"/>
      <c r="J19" s="255"/>
      <c r="K19" s="255"/>
      <c r="L19" s="255"/>
      <c r="M19" s="256"/>
    </row>
    <row r="20" spans="1:13" ht="90.75" customHeight="1" x14ac:dyDescent="0.25">
      <c r="A20" s="2"/>
      <c r="B20" s="247" t="s">
        <v>107</v>
      </c>
      <c r="C20" s="247"/>
      <c r="D20" s="247"/>
      <c r="E20" s="247"/>
      <c r="F20" s="247"/>
      <c r="G20" s="247"/>
      <c r="H20" s="247"/>
      <c r="I20" s="247"/>
      <c r="J20" s="247"/>
      <c r="K20" s="247"/>
      <c r="L20" s="247"/>
      <c r="M20" s="247"/>
    </row>
    <row r="21" spans="1:13" ht="15" customHeight="1" x14ac:dyDescent="0.25">
      <c r="A21" s="2"/>
      <c r="B21" s="268" t="s">
        <v>324</v>
      </c>
      <c r="C21" s="268"/>
      <c r="D21" s="268"/>
      <c r="E21" s="247"/>
      <c r="F21" s="247"/>
      <c r="G21" s="247"/>
      <c r="H21" s="247"/>
      <c r="I21" s="247"/>
      <c r="J21" s="247"/>
      <c r="K21" s="247"/>
      <c r="L21" s="247"/>
      <c r="M21" s="247"/>
    </row>
    <row r="22" spans="1:13" ht="15" customHeight="1" x14ac:dyDescent="0.25">
      <c r="A22" s="2"/>
      <c r="B22" s="247" t="s">
        <v>323</v>
      </c>
      <c r="C22" s="247"/>
      <c r="D22" s="247"/>
      <c r="E22" s="247"/>
      <c r="F22" s="247"/>
      <c r="G22" s="247"/>
      <c r="H22" s="247"/>
      <c r="I22" s="247"/>
      <c r="J22" s="247"/>
      <c r="K22" s="247"/>
      <c r="L22" s="247"/>
      <c r="M22" s="247"/>
    </row>
    <row r="23" spans="1:13" ht="15" customHeight="1" x14ac:dyDescent="0.25">
      <c r="A23" s="2"/>
      <c r="B23" s="278" t="s">
        <v>322</v>
      </c>
      <c r="C23" s="278"/>
      <c r="D23" s="278"/>
      <c r="E23" s="247"/>
      <c r="F23" s="247"/>
      <c r="G23" s="247"/>
      <c r="H23" s="247"/>
      <c r="I23" s="247"/>
      <c r="J23" s="247"/>
      <c r="K23" s="247"/>
      <c r="L23" s="247"/>
      <c r="M23" s="247"/>
    </row>
    <row r="24" spans="1:13" x14ac:dyDescent="0.25">
      <c r="A24" s="2"/>
      <c r="B24" s="247" t="s">
        <v>321</v>
      </c>
      <c r="C24" s="247"/>
      <c r="D24" s="247"/>
      <c r="E24" s="247"/>
      <c r="F24" s="247"/>
      <c r="G24" s="247"/>
      <c r="H24" s="247"/>
      <c r="I24" s="247"/>
      <c r="J24" s="247"/>
      <c r="K24" s="247"/>
      <c r="L24" s="247"/>
      <c r="M24" s="247"/>
    </row>
    <row r="25" spans="1:13" ht="29.25" customHeight="1" x14ac:dyDescent="0.25">
      <c r="A25" s="2"/>
      <c r="B25" s="247" t="s">
        <v>320</v>
      </c>
      <c r="C25" s="247"/>
      <c r="D25" s="247"/>
      <c r="E25" s="275"/>
      <c r="F25" s="276"/>
      <c r="G25" s="276"/>
      <c r="H25" s="276"/>
      <c r="I25" s="276"/>
      <c r="J25" s="276"/>
      <c r="K25" s="276"/>
      <c r="L25" s="276"/>
      <c r="M25" s="276"/>
    </row>
    <row r="26" spans="1:13" x14ac:dyDescent="0.25">
      <c r="A26" s="76"/>
      <c r="B26" s="272"/>
      <c r="C26" s="243"/>
      <c r="D26" s="273"/>
      <c r="E26" s="247"/>
      <c r="F26" s="247"/>
      <c r="G26" s="247"/>
      <c r="H26" s="247"/>
      <c r="I26" s="247"/>
      <c r="J26" s="247"/>
      <c r="K26" s="247"/>
      <c r="L26" s="247"/>
      <c r="M26" s="247"/>
    </row>
    <row r="27" spans="1:13" x14ac:dyDescent="0.25">
      <c r="A27" s="263" t="s">
        <v>50</v>
      </c>
      <c r="B27" s="263"/>
      <c r="C27" s="263"/>
      <c r="D27" s="263"/>
      <c r="E27" s="254"/>
      <c r="F27" s="255"/>
      <c r="G27" s="255"/>
      <c r="H27" s="255"/>
      <c r="I27" s="255"/>
      <c r="J27" s="255"/>
      <c r="K27" s="255"/>
      <c r="L27" s="255"/>
      <c r="M27" s="256"/>
    </row>
    <row r="28" spans="1:13" x14ac:dyDescent="0.25">
      <c r="A28" s="2"/>
      <c r="B28" s="247" t="s">
        <v>52</v>
      </c>
      <c r="C28" s="247"/>
      <c r="D28" s="247"/>
      <c r="E28" s="247"/>
      <c r="F28" s="247"/>
      <c r="G28" s="247"/>
      <c r="H28" s="247"/>
      <c r="I28" s="247"/>
      <c r="J28" s="247"/>
      <c r="K28" s="247"/>
      <c r="L28" s="247"/>
      <c r="M28" s="247"/>
    </row>
    <row r="29" spans="1:13" x14ac:dyDescent="0.25">
      <c r="A29" s="2"/>
      <c r="B29" s="247" t="s">
        <v>53</v>
      </c>
      <c r="C29" s="247"/>
      <c r="D29" s="247"/>
      <c r="E29" s="247"/>
      <c r="F29" s="247"/>
      <c r="G29" s="247"/>
      <c r="H29" s="247"/>
      <c r="I29" s="247"/>
      <c r="J29" s="247"/>
      <c r="K29" s="247"/>
      <c r="L29" s="247"/>
      <c r="M29" s="247"/>
    </row>
    <row r="30" spans="1:13" ht="33" customHeight="1" x14ac:dyDescent="0.25">
      <c r="A30" s="2"/>
      <c r="B30" s="268" t="s">
        <v>319</v>
      </c>
      <c r="C30" s="268"/>
      <c r="D30" s="268"/>
      <c r="E30" s="247"/>
      <c r="F30" s="247"/>
      <c r="G30" s="247"/>
      <c r="H30" s="247"/>
      <c r="I30" s="247"/>
      <c r="J30" s="247"/>
      <c r="K30" s="247"/>
      <c r="L30" s="247"/>
      <c r="M30" s="247"/>
    </row>
    <row r="31" spans="1:13" x14ac:dyDescent="0.25">
      <c r="A31" s="2"/>
      <c r="B31" s="247" t="s">
        <v>54</v>
      </c>
      <c r="C31" s="247"/>
      <c r="D31" s="247"/>
      <c r="E31" s="247"/>
      <c r="F31" s="247"/>
      <c r="G31" s="247"/>
      <c r="H31" s="247"/>
      <c r="I31" s="247"/>
      <c r="J31" s="247"/>
      <c r="K31" s="247"/>
      <c r="L31" s="247"/>
      <c r="M31" s="247"/>
    </row>
    <row r="32" spans="1:13" x14ac:dyDescent="0.25">
      <c r="A32" s="2"/>
      <c r="B32" s="247" t="s">
        <v>318</v>
      </c>
      <c r="C32" s="247"/>
      <c r="D32" s="247"/>
      <c r="E32" s="247"/>
      <c r="F32" s="247"/>
      <c r="G32" s="247"/>
      <c r="H32" s="247"/>
      <c r="I32" s="247"/>
      <c r="J32" s="247"/>
      <c r="K32" s="247"/>
      <c r="L32" s="247"/>
      <c r="M32" s="247"/>
    </row>
    <row r="33" spans="1:13" ht="57.75" customHeight="1" x14ac:dyDescent="0.25">
      <c r="A33" s="2"/>
      <c r="B33" s="282" t="s">
        <v>317</v>
      </c>
      <c r="C33" s="283"/>
      <c r="D33" s="284"/>
      <c r="E33" s="247"/>
      <c r="F33" s="247"/>
      <c r="G33" s="247"/>
      <c r="H33" s="247"/>
      <c r="I33" s="247"/>
      <c r="J33" s="247"/>
      <c r="K33" s="247"/>
      <c r="L33" s="247"/>
      <c r="M33" s="247"/>
    </row>
    <row r="34" spans="1:13" x14ac:dyDescent="0.25">
      <c r="A34" s="1"/>
      <c r="B34" s="275"/>
      <c r="C34" s="276"/>
      <c r="D34" s="277"/>
      <c r="E34" s="272"/>
      <c r="F34" s="243"/>
      <c r="G34" s="243"/>
      <c r="H34" s="243"/>
      <c r="I34" s="243"/>
      <c r="J34" s="243"/>
      <c r="K34" s="243"/>
      <c r="L34" s="243"/>
      <c r="M34" s="243"/>
    </row>
    <row r="35" spans="1:13" x14ac:dyDescent="0.25">
      <c r="A35" s="279" t="s">
        <v>55</v>
      </c>
      <c r="B35" s="280"/>
      <c r="C35" s="280"/>
      <c r="D35" s="281"/>
    </row>
    <row r="36" spans="1:13" ht="15.75" customHeight="1" x14ac:dyDescent="0.25">
      <c r="A36" s="2"/>
      <c r="B36" s="247" t="s">
        <v>66</v>
      </c>
      <c r="C36" s="247"/>
      <c r="D36" s="247"/>
    </row>
    <row r="37" spans="1:13" ht="15.75" customHeight="1" x14ac:dyDescent="0.25">
      <c r="A37" s="2"/>
      <c r="B37" s="247" t="s">
        <v>57</v>
      </c>
      <c r="C37" s="247"/>
      <c r="D37" s="247"/>
    </row>
    <row r="38" spans="1:13" s="5" customFormat="1" ht="15.75" customHeight="1" x14ac:dyDescent="0.25">
      <c r="A38" s="2"/>
      <c r="B38" s="247" t="s">
        <v>316</v>
      </c>
      <c r="C38" s="247"/>
      <c r="D38" s="247"/>
    </row>
    <row r="39" spans="1:13" s="5" customFormat="1" ht="31.5" customHeight="1" x14ac:dyDescent="0.25">
      <c r="A39" s="2"/>
      <c r="B39" s="247" t="s">
        <v>315</v>
      </c>
      <c r="C39" s="247"/>
      <c r="D39" s="247"/>
    </row>
    <row r="40" spans="1:13" s="5" customFormat="1" ht="15.75" customHeight="1" x14ac:dyDescent="0.25">
      <c r="A40" s="2"/>
      <c r="B40" s="247" t="s">
        <v>98</v>
      </c>
      <c r="C40" s="247"/>
      <c r="D40" s="247"/>
    </row>
    <row r="41" spans="1:13" s="5" customFormat="1" ht="15.75" customHeight="1" x14ac:dyDescent="0.25">
      <c r="A41" s="2"/>
      <c r="B41" s="247" t="s">
        <v>75</v>
      </c>
      <c r="C41" s="247"/>
      <c r="D41" s="247"/>
    </row>
    <row r="42" spans="1:13" s="5" customFormat="1" ht="30.75" customHeight="1" x14ac:dyDescent="0.25">
      <c r="A42" s="2"/>
      <c r="B42" s="244" t="s">
        <v>314</v>
      </c>
      <c r="C42" s="245"/>
      <c r="D42" s="246"/>
    </row>
    <row r="43" spans="1:13" s="5" customFormat="1" ht="15.75" customHeight="1" x14ac:dyDescent="0.25">
      <c r="A43" s="2"/>
      <c r="B43" s="247" t="s">
        <v>313</v>
      </c>
      <c r="C43" s="247"/>
      <c r="D43" s="247"/>
    </row>
    <row r="44" spans="1:13" s="5" customFormat="1" ht="30.75" customHeight="1" x14ac:dyDescent="0.25">
      <c r="A44" s="2"/>
      <c r="B44" s="268" t="s">
        <v>312</v>
      </c>
      <c r="C44" s="268"/>
      <c r="D44" s="268"/>
      <c r="E44" s="264"/>
      <c r="F44" s="265"/>
      <c r="G44" s="265"/>
      <c r="H44" s="265"/>
      <c r="I44" s="265"/>
      <c r="J44" s="265"/>
      <c r="K44" s="265"/>
      <c r="L44" s="265"/>
      <c r="M44" s="265"/>
    </row>
    <row r="45" spans="1:13" s="5" customFormat="1" ht="14.25" customHeight="1" x14ac:dyDescent="0.25">
      <c r="A45" s="63"/>
      <c r="B45" s="75"/>
      <c r="C45" s="75"/>
    </row>
    <row r="46" spans="1:13" s="5" customFormat="1" ht="15" customHeight="1" x14ac:dyDescent="0.25">
      <c r="D46" s="52"/>
      <c r="E46"/>
      <c r="F46"/>
    </row>
    <row r="47" spans="1:13" s="5" customFormat="1" ht="15" customHeight="1" x14ac:dyDescent="0.35">
      <c r="A47" s="66" t="s">
        <v>48</v>
      </c>
      <c r="B47" s="66"/>
      <c r="C47" s="66"/>
      <c r="D47" s="52"/>
      <c r="E47"/>
      <c r="F47"/>
    </row>
    <row r="48" spans="1:13" s="5" customFormat="1" ht="15" customHeight="1" x14ac:dyDescent="0.25">
      <c r="A48" s="34"/>
      <c r="B48"/>
      <c r="C48"/>
      <c r="D48" s="52"/>
      <c r="E48"/>
      <c r="F48"/>
    </row>
    <row r="49" spans="1:13" s="5" customFormat="1" ht="15" customHeight="1" x14ac:dyDescent="0.25">
      <c r="A49" s="4" t="s">
        <v>0</v>
      </c>
      <c r="B49" s="42"/>
      <c r="C49" s="7"/>
      <c r="D49"/>
      <c r="E49"/>
      <c r="F49"/>
    </row>
    <row r="50" spans="1:13" s="5" customFormat="1" ht="15" customHeight="1" x14ac:dyDescent="0.25">
      <c r="A50" s="4" t="s">
        <v>1</v>
      </c>
      <c r="B50" s="43"/>
      <c r="C50" s="7"/>
      <c r="D50"/>
      <c r="E50"/>
      <c r="F50"/>
    </row>
    <row r="51" spans="1:13" s="5" customFormat="1" ht="15" customHeight="1" x14ac:dyDescent="0.25">
      <c r="A51" s="4" t="s">
        <v>2</v>
      </c>
      <c r="B51" s="44" t="str">
        <f>B6</f>
        <v>Aengstrom</v>
      </c>
      <c r="C51" s="7"/>
      <c r="D51"/>
      <c r="E51"/>
      <c r="F51"/>
    </row>
    <row r="52" spans="1:13" s="5" customFormat="1" ht="15" customHeight="1" x14ac:dyDescent="0.25">
      <c r="A52" s="67"/>
      <c r="B52"/>
      <c r="C52"/>
      <c r="D52"/>
      <c r="E52"/>
      <c r="F52"/>
    </row>
    <row r="53" spans="1:13" s="5" customFormat="1" ht="15" customHeight="1" x14ac:dyDescent="0.25">
      <c r="A53" s="263" t="s">
        <v>56</v>
      </c>
      <c r="B53" s="263"/>
      <c r="C53" s="263"/>
      <c r="D53" s="263"/>
      <c r="E53" s="254" t="s">
        <v>47</v>
      </c>
      <c r="F53" s="255"/>
      <c r="G53" s="255"/>
      <c r="H53" s="255"/>
      <c r="I53" s="255"/>
      <c r="J53" s="255"/>
      <c r="K53" s="255"/>
      <c r="L53" s="255"/>
      <c r="M53" s="256"/>
    </row>
    <row r="54" spans="1:13" s="5" customFormat="1" ht="15" customHeight="1" x14ac:dyDescent="0.25">
      <c r="A54" s="2"/>
      <c r="B54" s="247" t="s">
        <v>108</v>
      </c>
      <c r="C54" s="247"/>
      <c r="D54" s="247"/>
      <c r="E54" s="247"/>
      <c r="F54" s="247"/>
      <c r="G54" s="247"/>
      <c r="H54" s="247"/>
      <c r="I54" s="247"/>
      <c r="J54" s="247"/>
      <c r="K54" s="247"/>
      <c r="L54" s="247"/>
      <c r="M54" s="247"/>
    </row>
    <row r="55" spans="1:13" s="5" customFormat="1" ht="15" customHeight="1" x14ac:dyDescent="0.25">
      <c r="A55" s="2"/>
      <c r="B55" s="247" t="s">
        <v>71</v>
      </c>
      <c r="C55" s="247"/>
      <c r="D55" s="247"/>
      <c r="E55" s="247"/>
      <c r="F55" s="247"/>
      <c r="G55" s="247"/>
      <c r="H55" s="247"/>
      <c r="I55" s="247"/>
      <c r="J55" s="247"/>
      <c r="K55" s="247"/>
      <c r="L55" s="247"/>
      <c r="M55" s="247"/>
    </row>
    <row r="56" spans="1:13" s="5" customFormat="1" ht="15" customHeight="1" x14ac:dyDescent="0.25">
      <c r="A56" s="2"/>
      <c r="B56" s="247" t="s">
        <v>114</v>
      </c>
      <c r="C56" s="247"/>
      <c r="D56" s="247"/>
      <c r="E56" s="247"/>
      <c r="F56" s="247"/>
      <c r="G56" s="247"/>
      <c r="H56" s="247"/>
      <c r="I56" s="247"/>
      <c r="J56" s="247"/>
      <c r="K56" s="247"/>
      <c r="L56" s="247"/>
      <c r="M56" s="247"/>
    </row>
    <row r="57" spans="1:13" s="5" customFormat="1" ht="15" customHeight="1" x14ac:dyDescent="0.25">
      <c r="A57" s="2"/>
      <c r="B57" s="247" t="s">
        <v>113</v>
      </c>
      <c r="C57" s="247"/>
      <c r="D57" s="247"/>
      <c r="E57" s="247"/>
      <c r="F57" s="247"/>
      <c r="G57" s="247"/>
      <c r="H57" s="247"/>
      <c r="I57" s="247"/>
      <c r="J57" s="247"/>
      <c r="K57" s="247"/>
      <c r="L57" s="247"/>
      <c r="M57" s="247"/>
    </row>
    <row r="58" spans="1:13" s="5" customFormat="1" ht="15" customHeight="1" x14ac:dyDescent="0.25">
      <c r="A58" s="2"/>
      <c r="B58" s="247"/>
      <c r="C58" s="247"/>
      <c r="D58" s="247"/>
      <c r="E58" s="247"/>
      <c r="F58" s="247"/>
      <c r="G58" s="247"/>
      <c r="H58" s="247"/>
      <c r="I58" s="247"/>
      <c r="J58" s="247"/>
      <c r="K58" s="247"/>
      <c r="L58" s="247"/>
      <c r="M58" s="247"/>
    </row>
    <row r="59" spans="1:13" s="5" customFormat="1" ht="15" customHeight="1" x14ac:dyDescent="0.25">
      <c r="A59" s="2"/>
      <c r="B59" s="247"/>
      <c r="C59" s="247"/>
      <c r="D59" s="247"/>
      <c r="E59" s="247"/>
      <c r="F59" s="247"/>
      <c r="G59" s="247"/>
      <c r="H59" s="247"/>
      <c r="I59" s="247"/>
      <c r="J59" s="247"/>
      <c r="K59" s="247"/>
      <c r="L59" s="247"/>
      <c r="M59" s="247"/>
    </row>
    <row r="60" spans="1:13" x14ac:dyDescent="0.25">
      <c r="A60" s="269" t="s">
        <v>58</v>
      </c>
      <c r="B60" s="270"/>
      <c r="C60" s="270"/>
      <c r="D60" s="271"/>
      <c r="E60" s="247"/>
      <c r="F60" s="247"/>
      <c r="G60" s="247"/>
      <c r="H60" s="247"/>
      <c r="I60" s="247"/>
      <c r="J60" s="247"/>
      <c r="K60" s="247"/>
      <c r="L60" s="247"/>
      <c r="M60" s="247"/>
    </row>
    <row r="61" spans="1:13" ht="15" customHeight="1" x14ac:dyDescent="0.25">
      <c r="A61" s="2"/>
      <c r="B61" s="247" t="s">
        <v>110</v>
      </c>
      <c r="C61" s="247"/>
      <c r="D61" s="247"/>
      <c r="E61" s="247"/>
      <c r="F61" s="247"/>
      <c r="G61" s="247"/>
      <c r="H61" s="247"/>
      <c r="I61" s="247"/>
      <c r="J61" s="247"/>
      <c r="K61" s="247"/>
      <c r="L61" s="247"/>
      <c r="M61" s="247"/>
    </row>
    <row r="62" spans="1:13" ht="15" customHeight="1" x14ac:dyDescent="0.25">
      <c r="A62" s="2"/>
      <c r="B62" s="247" t="s">
        <v>99</v>
      </c>
      <c r="C62" s="247"/>
      <c r="D62" s="247"/>
      <c r="E62" s="247"/>
      <c r="F62" s="247"/>
      <c r="G62" s="247"/>
      <c r="H62" s="247"/>
      <c r="I62" s="247"/>
      <c r="J62" s="247"/>
      <c r="K62" s="247"/>
      <c r="L62" s="247"/>
      <c r="M62" s="247"/>
    </row>
    <row r="63" spans="1:13" ht="15" customHeight="1" x14ac:dyDescent="0.25">
      <c r="A63" s="2"/>
      <c r="B63" s="247" t="s">
        <v>100</v>
      </c>
      <c r="C63" s="247"/>
      <c r="D63" s="247"/>
      <c r="E63" s="247"/>
      <c r="F63" s="247"/>
      <c r="G63" s="247"/>
      <c r="H63" s="247"/>
      <c r="I63" s="247"/>
      <c r="J63" s="247"/>
      <c r="K63" s="247"/>
      <c r="L63" s="247"/>
      <c r="M63" s="247"/>
    </row>
    <row r="64" spans="1:13" ht="15" customHeight="1" x14ac:dyDescent="0.25">
      <c r="A64" s="2"/>
      <c r="B64" s="247" t="s">
        <v>101</v>
      </c>
      <c r="C64" s="247"/>
      <c r="D64" s="247"/>
      <c r="E64" s="247"/>
      <c r="F64" s="247"/>
      <c r="G64" s="247"/>
      <c r="H64" s="247"/>
      <c r="I64" s="247"/>
      <c r="J64" s="247"/>
      <c r="K64" s="247"/>
      <c r="L64" s="247"/>
      <c r="M64" s="247"/>
    </row>
    <row r="65" spans="1:16384" customFormat="1" x14ac:dyDescent="0.25">
      <c r="A65" s="2"/>
      <c r="B65" s="247" t="s">
        <v>109</v>
      </c>
      <c r="C65" s="247"/>
      <c r="D65" s="247"/>
      <c r="E65" s="247"/>
      <c r="F65" s="247"/>
      <c r="G65" s="247"/>
      <c r="H65" s="247"/>
      <c r="I65" s="247"/>
      <c r="J65" s="247"/>
      <c r="K65" s="247"/>
      <c r="L65" s="247"/>
      <c r="M65" s="247"/>
    </row>
    <row r="66" spans="1:16384" customFormat="1" ht="32.25" customHeight="1" x14ac:dyDescent="0.25">
      <c r="A66" s="2"/>
      <c r="B66" s="252" t="s">
        <v>117</v>
      </c>
      <c r="C66" s="252"/>
      <c r="D66" s="252"/>
      <c r="E66" s="267"/>
      <c r="F66" s="252"/>
      <c r="G66" s="252"/>
      <c r="H66" s="252"/>
      <c r="I66" s="252"/>
      <c r="J66" s="252"/>
      <c r="K66" s="252"/>
      <c r="L66" s="252"/>
      <c r="M66" s="252"/>
    </row>
    <row r="67" spans="1:16384" customFormat="1" x14ac:dyDescent="0.25">
      <c r="A67" s="2"/>
      <c r="B67" s="247" t="s">
        <v>118</v>
      </c>
      <c r="C67" s="247"/>
      <c r="D67" s="247"/>
      <c r="E67" s="247"/>
      <c r="F67" s="247"/>
      <c r="G67" s="247"/>
      <c r="H67" s="247"/>
      <c r="I67" s="247"/>
      <c r="J67" s="247"/>
      <c r="K67" s="247"/>
      <c r="L67" s="247"/>
      <c r="M67" s="247"/>
      <c r="N67" s="108"/>
      <c r="O67" s="243"/>
      <c r="P67" s="243"/>
      <c r="Q67" s="243"/>
      <c r="R67" s="242"/>
      <c r="S67" s="242"/>
      <c r="T67" s="242"/>
      <c r="U67" s="242"/>
      <c r="V67" s="242"/>
      <c r="W67" s="242"/>
      <c r="X67" s="242"/>
      <c r="Y67" s="242"/>
      <c r="Z67" s="242"/>
      <c r="AA67" s="108"/>
      <c r="AB67" s="243"/>
      <c r="AC67" s="243"/>
      <c r="AD67" s="243"/>
      <c r="AE67" s="242"/>
      <c r="AF67" s="242"/>
      <c r="AG67" s="242"/>
      <c r="AH67" s="242"/>
      <c r="AI67" s="242"/>
      <c r="AJ67" s="242"/>
      <c r="AK67" s="242"/>
      <c r="AL67" s="242"/>
      <c r="AM67" s="242"/>
      <c r="AN67" s="108"/>
      <c r="AO67" s="243"/>
      <c r="AP67" s="243"/>
      <c r="AQ67" s="243"/>
      <c r="AR67" s="242"/>
      <c r="AS67" s="242"/>
      <c r="AT67" s="242"/>
      <c r="AU67" s="242"/>
      <c r="AV67" s="242"/>
      <c r="AW67" s="242"/>
      <c r="AX67" s="242"/>
      <c r="AY67" s="242"/>
      <c r="AZ67" s="242"/>
      <c r="BA67" s="108"/>
      <c r="BB67" s="243"/>
      <c r="BC67" s="243"/>
      <c r="BD67" s="243"/>
      <c r="BE67" s="242"/>
      <c r="BF67" s="242"/>
      <c r="BG67" s="242"/>
      <c r="BH67" s="242"/>
      <c r="BI67" s="242"/>
      <c r="BJ67" s="242"/>
      <c r="BK67" s="242"/>
      <c r="BL67" s="242"/>
      <c r="BM67" s="242"/>
      <c r="BN67" s="108"/>
      <c r="BO67" s="243"/>
      <c r="BP67" s="243"/>
      <c r="BQ67" s="243"/>
      <c r="BR67" s="242"/>
      <c r="BS67" s="242"/>
      <c r="BT67" s="242"/>
      <c r="BU67" s="242"/>
      <c r="BV67" s="242"/>
      <c r="BW67" s="242"/>
      <c r="BX67" s="242"/>
      <c r="BY67" s="242"/>
      <c r="BZ67" s="242"/>
      <c r="CA67" s="108"/>
      <c r="CB67" s="243"/>
      <c r="CC67" s="243"/>
      <c r="CD67" s="243"/>
      <c r="CE67" s="242"/>
      <c r="CF67" s="242"/>
      <c r="CG67" s="242"/>
      <c r="CH67" s="242"/>
      <c r="CI67" s="242"/>
      <c r="CJ67" s="242"/>
      <c r="CK67" s="242"/>
      <c r="CL67" s="242"/>
      <c r="CM67" s="242"/>
      <c r="CN67" s="108"/>
      <c r="CO67" s="243"/>
      <c r="CP67" s="243"/>
      <c r="CQ67" s="243"/>
      <c r="CR67" s="242"/>
      <c r="CS67" s="242"/>
      <c r="CT67" s="242"/>
      <c r="CU67" s="242"/>
      <c r="CV67" s="242"/>
      <c r="CW67" s="242"/>
      <c r="CX67" s="242"/>
      <c r="CY67" s="242"/>
      <c r="CZ67" s="242"/>
      <c r="DA67" s="108"/>
      <c r="DB67" s="243"/>
      <c r="DC67" s="243"/>
      <c r="DD67" s="243"/>
      <c r="DE67" s="242"/>
      <c r="DF67" s="242"/>
      <c r="DG67" s="242"/>
      <c r="DH67" s="242"/>
      <c r="DI67" s="242"/>
      <c r="DJ67" s="242"/>
      <c r="DK67" s="242"/>
      <c r="DL67" s="242"/>
      <c r="DM67" s="242"/>
      <c r="DN67" s="108"/>
      <c r="DO67" s="243"/>
      <c r="DP67" s="243"/>
      <c r="DQ67" s="243"/>
      <c r="DR67" s="242"/>
      <c r="DS67" s="242"/>
      <c r="DT67" s="242"/>
      <c r="DU67" s="242"/>
      <c r="DV67" s="242"/>
      <c r="DW67" s="242"/>
      <c r="DX67" s="242"/>
      <c r="DY67" s="242"/>
      <c r="DZ67" s="242"/>
      <c r="EA67" s="108"/>
      <c r="EB67" s="243"/>
      <c r="EC67" s="243"/>
      <c r="ED67" s="243"/>
      <c r="EE67" s="242"/>
      <c r="EF67" s="242"/>
      <c r="EG67" s="242"/>
      <c r="EH67" s="242"/>
      <c r="EI67" s="242"/>
      <c r="EJ67" s="242"/>
      <c r="EK67" s="242"/>
      <c r="EL67" s="242"/>
      <c r="EM67" s="242"/>
      <c r="EN67" s="108"/>
      <c r="EO67" s="243"/>
      <c r="EP67" s="243"/>
      <c r="EQ67" s="243"/>
      <c r="ER67" s="242"/>
      <c r="ES67" s="242"/>
      <c r="ET67" s="242"/>
      <c r="EU67" s="242"/>
      <c r="EV67" s="242"/>
      <c r="EW67" s="242"/>
      <c r="EX67" s="242"/>
      <c r="EY67" s="242"/>
      <c r="EZ67" s="242"/>
      <c r="FA67" s="108"/>
      <c r="FB67" s="243"/>
      <c r="FC67" s="243"/>
      <c r="FD67" s="243"/>
      <c r="FE67" s="242"/>
      <c r="FF67" s="242"/>
      <c r="FG67" s="242"/>
      <c r="FH67" s="242"/>
      <c r="FI67" s="242"/>
      <c r="FJ67" s="242"/>
      <c r="FK67" s="242"/>
      <c r="FL67" s="242"/>
      <c r="FM67" s="242"/>
      <c r="FN67" s="108"/>
      <c r="FO67" s="243"/>
      <c r="FP67" s="243"/>
      <c r="FQ67" s="243"/>
      <c r="FR67" s="242"/>
      <c r="FS67" s="242"/>
      <c r="FT67" s="242"/>
      <c r="FU67" s="242"/>
      <c r="FV67" s="242"/>
      <c r="FW67" s="242"/>
      <c r="FX67" s="242"/>
      <c r="FY67" s="242"/>
      <c r="FZ67" s="242"/>
      <c r="GA67" s="108"/>
      <c r="GB67" s="243"/>
      <c r="GC67" s="243"/>
      <c r="GD67" s="243"/>
      <c r="GE67" s="242"/>
      <c r="GF67" s="242"/>
      <c r="GG67" s="242"/>
      <c r="GH67" s="242"/>
      <c r="GI67" s="242"/>
      <c r="GJ67" s="242"/>
      <c r="GK67" s="242"/>
      <c r="GL67" s="242"/>
      <c r="GM67" s="242"/>
      <c r="GN67" s="108"/>
      <c r="GO67" s="243"/>
      <c r="GP67" s="243"/>
      <c r="GQ67" s="243"/>
      <c r="GR67" s="242"/>
      <c r="GS67" s="242"/>
      <c r="GT67" s="242"/>
      <c r="GU67" s="242"/>
      <c r="GV67" s="242"/>
      <c r="GW67" s="242"/>
      <c r="GX67" s="242"/>
      <c r="GY67" s="242"/>
      <c r="GZ67" s="242"/>
      <c r="HA67" s="108"/>
      <c r="HB67" s="243"/>
      <c r="HC67" s="243"/>
      <c r="HD67" s="243"/>
      <c r="HE67" s="242"/>
      <c r="HF67" s="242"/>
      <c r="HG67" s="242"/>
      <c r="HH67" s="242"/>
      <c r="HI67" s="242"/>
      <c r="HJ67" s="242"/>
      <c r="HK67" s="242"/>
      <c r="HL67" s="242"/>
      <c r="HM67" s="242"/>
      <c r="HN67" s="108"/>
      <c r="HO67" s="243"/>
      <c r="HP67" s="243"/>
      <c r="HQ67" s="243"/>
      <c r="HR67" s="242"/>
      <c r="HS67" s="242"/>
      <c r="HT67" s="242"/>
      <c r="HU67" s="242"/>
      <c r="HV67" s="242"/>
      <c r="HW67" s="242"/>
      <c r="HX67" s="242"/>
      <c r="HY67" s="242"/>
      <c r="HZ67" s="242"/>
      <c r="IA67" s="108"/>
      <c r="IB67" s="243"/>
      <c r="IC67" s="243"/>
      <c r="ID67" s="243"/>
      <c r="IE67" s="242"/>
      <c r="IF67" s="242"/>
      <c r="IG67" s="242"/>
      <c r="IH67" s="242"/>
      <c r="II67" s="242"/>
      <c r="IJ67" s="242"/>
      <c r="IK67" s="242"/>
      <c r="IL67" s="242"/>
      <c r="IM67" s="242"/>
      <c r="IN67" s="108"/>
      <c r="IO67" s="243"/>
      <c r="IP67" s="243"/>
      <c r="IQ67" s="243"/>
      <c r="IR67" s="242"/>
      <c r="IS67" s="242"/>
      <c r="IT67" s="242"/>
      <c r="IU67" s="242"/>
      <c r="IV67" s="242"/>
      <c r="IW67" s="242"/>
      <c r="IX67" s="242"/>
      <c r="IY67" s="242"/>
      <c r="IZ67" s="242"/>
      <c r="JA67" s="108"/>
      <c r="JB67" s="243"/>
      <c r="JC67" s="243"/>
      <c r="JD67" s="243"/>
      <c r="JE67" s="242"/>
      <c r="JF67" s="242"/>
      <c r="JG67" s="242"/>
      <c r="JH67" s="242"/>
      <c r="JI67" s="242"/>
      <c r="JJ67" s="242"/>
      <c r="JK67" s="242"/>
      <c r="JL67" s="242"/>
      <c r="JM67" s="242"/>
      <c r="JN67" s="108"/>
      <c r="JO67" s="243"/>
      <c r="JP67" s="243"/>
      <c r="JQ67" s="243"/>
      <c r="JR67" s="242"/>
      <c r="JS67" s="242"/>
      <c r="JT67" s="242"/>
      <c r="JU67" s="242"/>
      <c r="JV67" s="242"/>
      <c r="JW67" s="242"/>
      <c r="JX67" s="242"/>
      <c r="JY67" s="242"/>
      <c r="JZ67" s="242"/>
      <c r="KA67" s="108"/>
      <c r="KB67" s="243"/>
      <c r="KC67" s="243"/>
      <c r="KD67" s="243"/>
      <c r="KE67" s="242"/>
      <c r="KF67" s="242"/>
      <c r="KG67" s="242"/>
      <c r="KH67" s="242"/>
      <c r="KI67" s="242"/>
      <c r="KJ67" s="242"/>
      <c r="KK67" s="242"/>
      <c r="KL67" s="242"/>
      <c r="KM67" s="242"/>
      <c r="KN67" s="108"/>
      <c r="KO67" s="243"/>
      <c r="KP67" s="243"/>
      <c r="KQ67" s="243"/>
      <c r="KR67" s="242"/>
      <c r="KS67" s="242"/>
      <c r="KT67" s="242"/>
      <c r="KU67" s="242"/>
      <c r="KV67" s="242"/>
      <c r="KW67" s="242"/>
      <c r="KX67" s="242"/>
      <c r="KY67" s="242"/>
      <c r="KZ67" s="242"/>
      <c r="LA67" s="108"/>
      <c r="LB67" s="243"/>
      <c r="LC67" s="243"/>
      <c r="LD67" s="243"/>
      <c r="LE67" s="242"/>
      <c r="LF67" s="242"/>
      <c r="LG67" s="242"/>
      <c r="LH67" s="242"/>
      <c r="LI67" s="242"/>
      <c r="LJ67" s="242"/>
      <c r="LK67" s="242"/>
      <c r="LL67" s="242"/>
      <c r="LM67" s="242"/>
      <c r="LN67" s="108"/>
      <c r="LO67" s="243"/>
      <c r="LP67" s="243"/>
      <c r="LQ67" s="243"/>
      <c r="LR67" s="242"/>
      <c r="LS67" s="242"/>
      <c r="LT67" s="242"/>
      <c r="LU67" s="242"/>
      <c r="LV67" s="242"/>
      <c r="LW67" s="242"/>
      <c r="LX67" s="242"/>
      <c r="LY67" s="242"/>
      <c r="LZ67" s="242"/>
      <c r="MA67" s="108"/>
      <c r="MB67" s="243"/>
      <c r="MC67" s="243"/>
      <c r="MD67" s="243"/>
      <c r="ME67" s="242"/>
      <c r="MF67" s="242"/>
      <c r="MG67" s="242"/>
      <c r="MH67" s="242"/>
      <c r="MI67" s="242"/>
      <c r="MJ67" s="242"/>
      <c r="MK67" s="242"/>
      <c r="ML67" s="242"/>
      <c r="MM67" s="242"/>
      <c r="MN67" s="108"/>
      <c r="MO67" s="243"/>
      <c r="MP67" s="243"/>
      <c r="MQ67" s="243"/>
      <c r="MR67" s="242"/>
      <c r="MS67" s="242"/>
      <c r="MT67" s="242"/>
      <c r="MU67" s="242"/>
      <c r="MV67" s="242"/>
      <c r="MW67" s="242"/>
      <c r="MX67" s="242"/>
      <c r="MY67" s="242"/>
      <c r="MZ67" s="242"/>
      <c r="NA67" s="108"/>
      <c r="NB67" s="243"/>
      <c r="NC67" s="243"/>
      <c r="ND67" s="243"/>
      <c r="NE67" s="242"/>
      <c r="NF67" s="242"/>
      <c r="NG67" s="242"/>
      <c r="NH67" s="242"/>
      <c r="NI67" s="242"/>
      <c r="NJ67" s="242"/>
      <c r="NK67" s="242"/>
      <c r="NL67" s="242"/>
      <c r="NM67" s="242"/>
      <c r="NN67" s="108"/>
      <c r="NO67" s="243"/>
      <c r="NP67" s="243"/>
      <c r="NQ67" s="243"/>
      <c r="NR67" s="242"/>
      <c r="NS67" s="242"/>
      <c r="NT67" s="242"/>
      <c r="NU67" s="242"/>
      <c r="NV67" s="242"/>
      <c r="NW67" s="242"/>
      <c r="NX67" s="242"/>
      <c r="NY67" s="242"/>
      <c r="NZ67" s="242"/>
      <c r="OA67" s="108"/>
      <c r="OB67" s="243"/>
      <c r="OC67" s="243"/>
      <c r="OD67" s="243"/>
      <c r="OE67" s="242"/>
      <c r="OF67" s="242"/>
      <c r="OG67" s="242"/>
      <c r="OH67" s="242"/>
      <c r="OI67" s="242"/>
      <c r="OJ67" s="242"/>
      <c r="OK67" s="242"/>
      <c r="OL67" s="242"/>
      <c r="OM67" s="242"/>
      <c r="ON67" s="108"/>
      <c r="OO67" s="243"/>
      <c r="OP67" s="243"/>
      <c r="OQ67" s="243"/>
      <c r="OR67" s="242"/>
      <c r="OS67" s="242"/>
      <c r="OT67" s="242"/>
      <c r="OU67" s="242"/>
      <c r="OV67" s="242"/>
      <c r="OW67" s="242"/>
      <c r="OX67" s="242"/>
      <c r="OY67" s="242"/>
      <c r="OZ67" s="242"/>
      <c r="PA67" s="108"/>
      <c r="PB67" s="243"/>
      <c r="PC67" s="243"/>
      <c r="PD67" s="243"/>
      <c r="PE67" s="242"/>
      <c r="PF67" s="242"/>
      <c r="PG67" s="242"/>
      <c r="PH67" s="242"/>
      <c r="PI67" s="242"/>
      <c r="PJ67" s="242"/>
      <c r="PK67" s="242"/>
      <c r="PL67" s="242"/>
      <c r="PM67" s="242"/>
      <c r="PN67" s="108"/>
      <c r="PO67" s="243"/>
      <c r="PP67" s="243"/>
      <c r="PQ67" s="243"/>
      <c r="PR67" s="242"/>
      <c r="PS67" s="242"/>
      <c r="PT67" s="242"/>
      <c r="PU67" s="242"/>
      <c r="PV67" s="242"/>
      <c r="PW67" s="242"/>
      <c r="PX67" s="242"/>
      <c r="PY67" s="242"/>
      <c r="PZ67" s="242"/>
      <c r="QA67" s="108"/>
      <c r="QB67" s="243"/>
      <c r="QC67" s="243"/>
      <c r="QD67" s="243"/>
      <c r="QE67" s="242"/>
      <c r="QF67" s="242"/>
      <c r="QG67" s="242"/>
      <c r="QH67" s="242"/>
      <c r="QI67" s="242"/>
      <c r="QJ67" s="242"/>
      <c r="QK67" s="242"/>
      <c r="QL67" s="242"/>
      <c r="QM67" s="242"/>
      <c r="QN67" s="108"/>
      <c r="QO67" s="243"/>
      <c r="QP67" s="243"/>
      <c r="QQ67" s="243"/>
      <c r="QR67" s="242"/>
      <c r="QS67" s="242"/>
      <c r="QT67" s="242"/>
      <c r="QU67" s="242"/>
      <c r="QV67" s="242"/>
      <c r="QW67" s="242"/>
      <c r="QX67" s="242"/>
      <c r="QY67" s="242"/>
      <c r="QZ67" s="242"/>
      <c r="RA67" s="108"/>
      <c r="RB67" s="243"/>
      <c r="RC67" s="243"/>
      <c r="RD67" s="243"/>
      <c r="RE67" s="242"/>
      <c r="RF67" s="242"/>
      <c r="RG67" s="242"/>
      <c r="RH67" s="242"/>
      <c r="RI67" s="242"/>
      <c r="RJ67" s="242"/>
      <c r="RK67" s="242"/>
      <c r="RL67" s="242"/>
      <c r="RM67" s="242"/>
      <c r="RN67" s="108"/>
      <c r="RO67" s="243"/>
      <c r="RP67" s="243"/>
      <c r="RQ67" s="243"/>
      <c r="RR67" s="242"/>
      <c r="RS67" s="242"/>
      <c r="RT67" s="242"/>
      <c r="RU67" s="242"/>
      <c r="RV67" s="242"/>
      <c r="RW67" s="242"/>
      <c r="RX67" s="242"/>
      <c r="RY67" s="242"/>
      <c r="RZ67" s="242"/>
      <c r="SA67" s="108"/>
      <c r="SB67" s="243"/>
      <c r="SC67" s="243"/>
      <c r="SD67" s="243"/>
      <c r="SE67" s="242"/>
      <c r="SF67" s="242"/>
      <c r="SG67" s="242"/>
      <c r="SH67" s="242"/>
      <c r="SI67" s="242"/>
      <c r="SJ67" s="242"/>
      <c r="SK67" s="242"/>
      <c r="SL67" s="242"/>
      <c r="SM67" s="242"/>
      <c r="SN67" s="108"/>
      <c r="SO67" s="243"/>
      <c r="SP67" s="243"/>
      <c r="SQ67" s="243"/>
      <c r="SR67" s="242"/>
      <c r="SS67" s="242"/>
      <c r="ST67" s="242"/>
      <c r="SU67" s="242"/>
      <c r="SV67" s="242"/>
      <c r="SW67" s="242"/>
      <c r="SX67" s="242"/>
      <c r="SY67" s="242"/>
      <c r="SZ67" s="242"/>
      <c r="TA67" s="108"/>
      <c r="TB67" s="243"/>
      <c r="TC67" s="243"/>
      <c r="TD67" s="243"/>
      <c r="TE67" s="242"/>
      <c r="TF67" s="242"/>
      <c r="TG67" s="242"/>
      <c r="TH67" s="242"/>
      <c r="TI67" s="242"/>
      <c r="TJ67" s="242"/>
      <c r="TK67" s="242"/>
      <c r="TL67" s="242"/>
      <c r="TM67" s="242"/>
      <c r="TN67" s="108"/>
      <c r="TO67" s="243"/>
      <c r="TP67" s="243"/>
      <c r="TQ67" s="243"/>
      <c r="TR67" s="242"/>
      <c r="TS67" s="242"/>
      <c r="TT67" s="242"/>
      <c r="TU67" s="242"/>
      <c r="TV67" s="242"/>
      <c r="TW67" s="242"/>
      <c r="TX67" s="242"/>
      <c r="TY67" s="242"/>
      <c r="TZ67" s="242"/>
      <c r="UA67" s="108"/>
      <c r="UB67" s="243"/>
      <c r="UC67" s="243"/>
      <c r="UD67" s="243"/>
      <c r="UE67" s="242"/>
      <c r="UF67" s="242"/>
      <c r="UG67" s="242"/>
      <c r="UH67" s="242"/>
      <c r="UI67" s="242"/>
      <c r="UJ67" s="242"/>
      <c r="UK67" s="242"/>
      <c r="UL67" s="242"/>
      <c r="UM67" s="242"/>
      <c r="UN67" s="108"/>
      <c r="UO67" s="243"/>
      <c r="UP67" s="243"/>
      <c r="UQ67" s="243"/>
      <c r="UR67" s="242"/>
      <c r="US67" s="242"/>
      <c r="UT67" s="242"/>
      <c r="UU67" s="242"/>
      <c r="UV67" s="242"/>
      <c r="UW67" s="242"/>
      <c r="UX67" s="242"/>
      <c r="UY67" s="242"/>
      <c r="UZ67" s="242"/>
      <c r="VA67" s="108"/>
      <c r="VB67" s="243"/>
      <c r="VC67" s="243"/>
      <c r="VD67" s="243"/>
      <c r="VE67" s="242"/>
      <c r="VF67" s="242"/>
      <c r="VG67" s="242"/>
      <c r="VH67" s="242"/>
      <c r="VI67" s="242"/>
      <c r="VJ67" s="242"/>
      <c r="VK67" s="242"/>
      <c r="VL67" s="242"/>
      <c r="VM67" s="242"/>
      <c r="VN67" s="108"/>
      <c r="VO67" s="243"/>
      <c r="VP67" s="243"/>
      <c r="VQ67" s="243"/>
      <c r="VR67" s="242"/>
      <c r="VS67" s="242"/>
      <c r="VT67" s="242"/>
      <c r="VU67" s="242"/>
      <c r="VV67" s="242"/>
      <c r="VW67" s="242"/>
      <c r="VX67" s="242"/>
      <c r="VY67" s="242"/>
      <c r="VZ67" s="242"/>
      <c r="WA67" s="108"/>
      <c r="WB67" s="243"/>
      <c r="WC67" s="243"/>
      <c r="WD67" s="243"/>
      <c r="WE67" s="242"/>
      <c r="WF67" s="242"/>
      <c r="WG67" s="242"/>
      <c r="WH67" s="242"/>
      <c r="WI67" s="242"/>
      <c r="WJ67" s="242"/>
      <c r="WK67" s="242"/>
      <c r="WL67" s="242"/>
      <c r="WM67" s="242"/>
      <c r="WN67" s="108"/>
      <c r="WO67" s="243"/>
      <c r="WP67" s="243"/>
      <c r="WQ67" s="243"/>
      <c r="WR67" s="242"/>
      <c r="WS67" s="242"/>
      <c r="WT67" s="242"/>
      <c r="WU67" s="242"/>
      <c r="WV67" s="242"/>
      <c r="WW67" s="242"/>
      <c r="WX67" s="242"/>
      <c r="WY67" s="242"/>
      <c r="WZ67" s="242"/>
      <c r="XA67" s="108"/>
      <c r="XB67" s="243"/>
      <c r="XC67" s="243"/>
      <c r="XD67" s="243"/>
      <c r="XE67" s="242"/>
      <c r="XF67" s="242"/>
      <c r="XG67" s="242"/>
      <c r="XH67" s="242"/>
      <c r="XI67" s="242"/>
      <c r="XJ67" s="242"/>
      <c r="XK67" s="242"/>
      <c r="XL67" s="242"/>
      <c r="XM67" s="242"/>
      <c r="XN67" s="108"/>
      <c r="XO67" s="243"/>
      <c r="XP67" s="243"/>
      <c r="XQ67" s="243"/>
      <c r="XR67" s="242"/>
      <c r="XS67" s="242"/>
      <c r="XT67" s="242"/>
      <c r="XU67" s="242"/>
      <c r="XV67" s="242"/>
      <c r="XW67" s="242"/>
      <c r="XX67" s="242"/>
      <c r="XY67" s="242"/>
      <c r="XZ67" s="242"/>
      <c r="YA67" s="108"/>
      <c r="YB67" s="243"/>
      <c r="YC67" s="243"/>
      <c r="YD67" s="243"/>
      <c r="YE67" s="242"/>
      <c r="YF67" s="242"/>
      <c r="YG67" s="242"/>
      <c r="YH67" s="242"/>
      <c r="YI67" s="242"/>
      <c r="YJ67" s="242"/>
      <c r="YK67" s="242"/>
      <c r="YL67" s="242"/>
      <c r="YM67" s="242"/>
      <c r="YN67" s="108"/>
      <c r="YO67" s="243"/>
      <c r="YP67" s="243"/>
      <c r="YQ67" s="243"/>
      <c r="YR67" s="242"/>
      <c r="YS67" s="242"/>
      <c r="YT67" s="242"/>
      <c r="YU67" s="242"/>
      <c r="YV67" s="242"/>
      <c r="YW67" s="242"/>
      <c r="YX67" s="242"/>
      <c r="YY67" s="242"/>
      <c r="YZ67" s="242"/>
      <c r="ZA67" s="108"/>
      <c r="ZB67" s="243"/>
      <c r="ZC67" s="243"/>
      <c r="ZD67" s="243"/>
      <c r="ZE67" s="242"/>
      <c r="ZF67" s="242"/>
      <c r="ZG67" s="242"/>
      <c r="ZH67" s="242"/>
      <c r="ZI67" s="242"/>
      <c r="ZJ67" s="242"/>
      <c r="ZK67" s="242"/>
      <c r="ZL67" s="242"/>
      <c r="ZM67" s="242"/>
      <c r="ZN67" s="108"/>
      <c r="ZO67" s="243"/>
      <c r="ZP67" s="243"/>
      <c r="ZQ67" s="243"/>
      <c r="ZR67" s="242"/>
      <c r="ZS67" s="242"/>
      <c r="ZT67" s="242"/>
      <c r="ZU67" s="242"/>
      <c r="ZV67" s="242"/>
      <c r="ZW67" s="242"/>
      <c r="ZX67" s="242"/>
      <c r="ZY67" s="242"/>
      <c r="ZZ67" s="242"/>
      <c r="AAA67" s="108"/>
      <c r="AAB67" s="243"/>
      <c r="AAC67" s="243"/>
      <c r="AAD67" s="243"/>
      <c r="AAE67" s="242"/>
      <c r="AAF67" s="242"/>
      <c r="AAG67" s="242"/>
      <c r="AAH67" s="242"/>
      <c r="AAI67" s="242"/>
      <c r="AAJ67" s="242"/>
      <c r="AAK67" s="242"/>
      <c r="AAL67" s="242"/>
      <c r="AAM67" s="242"/>
      <c r="AAN67" s="108"/>
      <c r="AAO67" s="243"/>
      <c r="AAP67" s="243"/>
      <c r="AAQ67" s="243"/>
      <c r="AAR67" s="242"/>
      <c r="AAS67" s="242"/>
      <c r="AAT67" s="242"/>
      <c r="AAU67" s="242"/>
      <c r="AAV67" s="242"/>
      <c r="AAW67" s="242"/>
      <c r="AAX67" s="242"/>
      <c r="AAY67" s="242"/>
      <c r="AAZ67" s="242"/>
      <c r="ABA67" s="108"/>
      <c r="ABB67" s="243"/>
      <c r="ABC67" s="243"/>
      <c r="ABD67" s="243"/>
      <c r="ABE67" s="242"/>
      <c r="ABF67" s="242"/>
      <c r="ABG67" s="242"/>
      <c r="ABH67" s="242"/>
      <c r="ABI67" s="242"/>
      <c r="ABJ67" s="242"/>
      <c r="ABK67" s="242"/>
      <c r="ABL67" s="242"/>
      <c r="ABM67" s="242"/>
      <c r="ABN67" s="108"/>
      <c r="ABO67" s="243"/>
      <c r="ABP67" s="243"/>
      <c r="ABQ67" s="243"/>
      <c r="ABR67" s="242"/>
      <c r="ABS67" s="242"/>
      <c r="ABT67" s="242"/>
      <c r="ABU67" s="242"/>
      <c r="ABV67" s="242"/>
      <c r="ABW67" s="242"/>
      <c r="ABX67" s="242"/>
      <c r="ABY67" s="242"/>
      <c r="ABZ67" s="242"/>
      <c r="ACA67" s="108"/>
      <c r="ACB67" s="243"/>
      <c r="ACC67" s="243"/>
      <c r="ACD67" s="243"/>
      <c r="ACE67" s="242"/>
      <c r="ACF67" s="242"/>
      <c r="ACG67" s="242"/>
      <c r="ACH67" s="242"/>
      <c r="ACI67" s="242"/>
      <c r="ACJ67" s="242"/>
      <c r="ACK67" s="242"/>
      <c r="ACL67" s="242"/>
      <c r="ACM67" s="242"/>
      <c r="ACN67" s="108"/>
      <c r="ACO67" s="243"/>
      <c r="ACP67" s="243"/>
      <c r="ACQ67" s="243"/>
      <c r="ACR67" s="242"/>
      <c r="ACS67" s="242"/>
      <c r="ACT67" s="242"/>
      <c r="ACU67" s="242"/>
      <c r="ACV67" s="242"/>
      <c r="ACW67" s="242"/>
      <c r="ACX67" s="242"/>
      <c r="ACY67" s="242"/>
      <c r="ACZ67" s="242"/>
      <c r="ADA67" s="108"/>
      <c r="ADB67" s="243"/>
      <c r="ADC67" s="243"/>
      <c r="ADD67" s="243"/>
      <c r="ADE67" s="242"/>
      <c r="ADF67" s="242"/>
      <c r="ADG67" s="242"/>
      <c r="ADH67" s="242"/>
      <c r="ADI67" s="242"/>
      <c r="ADJ67" s="242"/>
      <c r="ADK67" s="242"/>
      <c r="ADL67" s="242"/>
      <c r="ADM67" s="242"/>
      <c r="ADN67" s="108"/>
      <c r="ADO67" s="243"/>
      <c r="ADP67" s="243"/>
      <c r="ADQ67" s="243"/>
      <c r="ADR67" s="242"/>
      <c r="ADS67" s="242"/>
      <c r="ADT67" s="242"/>
      <c r="ADU67" s="242"/>
      <c r="ADV67" s="242"/>
      <c r="ADW67" s="242"/>
      <c r="ADX67" s="242"/>
      <c r="ADY67" s="242"/>
      <c r="ADZ67" s="242"/>
      <c r="AEA67" s="108"/>
      <c r="AEB67" s="243"/>
      <c r="AEC67" s="243"/>
      <c r="AED67" s="243"/>
      <c r="AEE67" s="242"/>
      <c r="AEF67" s="242"/>
      <c r="AEG67" s="242"/>
      <c r="AEH67" s="242"/>
      <c r="AEI67" s="242"/>
      <c r="AEJ67" s="242"/>
      <c r="AEK67" s="242"/>
      <c r="AEL67" s="242"/>
      <c r="AEM67" s="242"/>
      <c r="AEN67" s="108"/>
      <c r="AEO67" s="243"/>
      <c r="AEP67" s="243"/>
      <c r="AEQ67" s="243"/>
      <c r="AER67" s="242"/>
      <c r="AES67" s="242"/>
      <c r="AET67" s="242"/>
      <c r="AEU67" s="242"/>
      <c r="AEV67" s="242"/>
      <c r="AEW67" s="242"/>
      <c r="AEX67" s="242"/>
      <c r="AEY67" s="242"/>
      <c r="AEZ67" s="242"/>
      <c r="AFA67" s="108"/>
      <c r="AFB67" s="243"/>
      <c r="AFC67" s="243"/>
      <c r="AFD67" s="243"/>
      <c r="AFE67" s="242"/>
      <c r="AFF67" s="242"/>
      <c r="AFG67" s="242"/>
      <c r="AFH67" s="242"/>
      <c r="AFI67" s="242"/>
      <c r="AFJ67" s="242"/>
      <c r="AFK67" s="242"/>
      <c r="AFL67" s="242"/>
      <c r="AFM67" s="242"/>
      <c r="AFN67" s="108"/>
      <c r="AFO67" s="243"/>
      <c r="AFP67" s="243"/>
      <c r="AFQ67" s="243"/>
      <c r="AFR67" s="242"/>
      <c r="AFS67" s="242"/>
      <c r="AFT67" s="242"/>
      <c r="AFU67" s="242"/>
      <c r="AFV67" s="242"/>
      <c r="AFW67" s="242"/>
      <c r="AFX67" s="242"/>
      <c r="AFY67" s="242"/>
      <c r="AFZ67" s="242"/>
      <c r="AGA67" s="108"/>
      <c r="AGB67" s="243"/>
      <c r="AGC67" s="243"/>
      <c r="AGD67" s="243"/>
      <c r="AGE67" s="242"/>
      <c r="AGF67" s="242"/>
      <c r="AGG67" s="242"/>
      <c r="AGH67" s="242"/>
      <c r="AGI67" s="242"/>
      <c r="AGJ67" s="242"/>
      <c r="AGK67" s="242"/>
      <c r="AGL67" s="242"/>
      <c r="AGM67" s="242"/>
      <c r="AGN67" s="108"/>
      <c r="AGO67" s="243"/>
      <c r="AGP67" s="243"/>
      <c r="AGQ67" s="243"/>
      <c r="AGR67" s="242"/>
      <c r="AGS67" s="242"/>
      <c r="AGT67" s="242"/>
      <c r="AGU67" s="242"/>
      <c r="AGV67" s="242"/>
      <c r="AGW67" s="242"/>
      <c r="AGX67" s="242"/>
      <c r="AGY67" s="242"/>
      <c r="AGZ67" s="242"/>
      <c r="AHA67" s="108"/>
      <c r="AHB67" s="243"/>
      <c r="AHC67" s="243"/>
      <c r="AHD67" s="243"/>
      <c r="AHE67" s="242"/>
      <c r="AHF67" s="242"/>
      <c r="AHG67" s="242"/>
      <c r="AHH67" s="242"/>
      <c r="AHI67" s="242"/>
      <c r="AHJ67" s="242"/>
      <c r="AHK67" s="242"/>
      <c r="AHL67" s="242"/>
      <c r="AHM67" s="242"/>
      <c r="AHN67" s="108"/>
      <c r="AHO67" s="243"/>
      <c r="AHP67" s="243"/>
      <c r="AHQ67" s="243"/>
      <c r="AHR67" s="242"/>
      <c r="AHS67" s="242"/>
      <c r="AHT67" s="242"/>
      <c r="AHU67" s="242"/>
      <c r="AHV67" s="242"/>
      <c r="AHW67" s="242"/>
      <c r="AHX67" s="242"/>
      <c r="AHY67" s="242"/>
      <c r="AHZ67" s="242"/>
      <c r="AIA67" s="108"/>
      <c r="AIB67" s="243"/>
      <c r="AIC67" s="243"/>
      <c r="AID67" s="243"/>
      <c r="AIE67" s="242"/>
      <c r="AIF67" s="242"/>
      <c r="AIG67" s="242"/>
      <c r="AIH67" s="242"/>
      <c r="AII67" s="242"/>
      <c r="AIJ67" s="242"/>
      <c r="AIK67" s="242"/>
      <c r="AIL67" s="242"/>
      <c r="AIM67" s="242"/>
      <c r="AIN67" s="108"/>
      <c r="AIO67" s="243"/>
      <c r="AIP67" s="243"/>
      <c r="AIQ67" s="243"/>
      <c r="AIR67" s="242"/>
      <c r="AIS67" s="242"/>
      <c r="AIT67" s="242"/>
      <c r="AIU67" s="242"/>
      <c r="AIV67" s="242"/>
      <c r="AIW67" s="242"/>
      <c r="AIX67" s="242"/>
      <c r="AIY67" s="242"/>
      <c r="AIZ67" s="242"/>
      <c r="AJA67" s="108"/>
      <c r="AJB67" s="243"/>
      <c r="AJC67" s="243"/>
      <c r="AJD67" s="243"/>
      <c r="AJE67" s="242"/>
      <c r="AJF67" s="242"/>
      <c r="AJG67" s="242"/>
      <c r="AJH67" s="242"/>
      <c r="AJI67" s="242"/>
      <c r="AJJ67" s="242"/>
      <c r="AJK67" s="242"/>
      <c r="AJL67" s="242"/>
      <c r="AJM67" s="242"/>
      <c r="AJN67" s="108"/>
      <c r="AJO67" s="243"/>
      <c r="AJP67" s="243"/>
      <c r="AJQ67" s="243"/>
      <c r="AJR67" s="242"/>
      <c r="AJS67" s="242"/>
      <c r="AJT67" s="242"/>
      <c r="AJU67" s="242"/>
      <c r="AJV67" s="242"/>
      <c r="AJW67" s="242"/>
      <c r="AJX67" s="242"/>
      <c r="AJY67" s="242"/>
      <c r="AJZ67" s="242"/>
      <c r="AKA67" s="108"/>
      <c r="AKB67" s="243"/>
      <c r="AKC67" s="243"/>
      <c r="AKD67" s="243"/>
      <c r="AKE67" s="242"/>
      <c r="AKF67" s="242"/>
      <c r="AKG67" s="242"/>
      <c r="AKH67" s="242"/>
      <c r="AKI67" s="242"/>
      <c r="AKJ67" s="242"/>
      <c r="AKK67" s="242"/>
      <c r="AKL67" s="242"/>
      <c r="AKM67" s="242"/>
      <c r="AKN67" s="108"/>
      <c r="AKO67" s="243"/>
      <c r="AKP67" s="243"/>
      <c r="AKQ67" s="243"/>
      <c r="AKR67" s="242"/>
      <c r="AKS67" s="242"/>
      <c r="AKT67" s="242"/>
      <c r="AKU67" s="242"/>
      <c r="AKV67" s="242"/>
      <c r="AKW67" s="242"/>
      <c r="AKX67" s="242"/>
      <c r="AKY67" s="242"/>
      <c r="AKZ67" s="242"/>
      <c r="ALA67" s="108"/>
      <c r="ALB67" s="243"/>
      <c r="ALC67" s="243"/>
      <c r="ALD67" s="243"/>
      <c r="ALE67" s="242"/>
      <c r="ALF67" s="242"/>
      <c r="ALG67" s="242"/>
      <c r="ALH67" s="242"/>
      <c r="ALI67" s="242"/>
      <c r="ALJ67" s="242"/>
      <c r="ALK67" s="242"/>
      <c r="ALL67" s="242"/>
      <c r="ALM67" s="242"/>
      <c r="ALN67" s="108"/>
      <c r="ALO67" s="243"/>
      <c r="ALP67" s="243"/>
      <c r="ALQ67" s="243"/>
      <c r="ALR67" s="242"/>
      <c r="ALS67" s="242"/>
      <c r="ALT67" s="242"/>
      <c r="ALU67" s="242"/>
      <c r="ALV67" s="242"/>
      <c r="ALW67" s="242"/>
      <c r="ALX67" s="242"/>
      <c r="ALY67" s="242"/>
      <c r="ALZ67" s="242"/>
      <c r="AMA67" s="108"/>
      <c r="AMB67" s="243"/>
      <c r="AMC67" s="243"/>
      <c r="AMD67" s="243"/>
      <c r="AME67" s="242"/>
      <c r="AMF67" s="242"/>
      <c r="AMG67" s="242"/>
      <c r="AMH67" s="242"/>
      <c r="AMI67" s="242"/>
      <c r="AMJ67" s="242"/>
      <c r="AMK67" s="242"/>
      <c r="AML67" s="242"/>
      <c r="AMM67" s="242"/>
      <c r="AMN67" s="108"/>
      <c r="AMO67" s="243"/>
      <c r="AMP67" s="243"/>
      <c r="AMQ67" s="243"/>
      <c r="AMR67" s="242"/>
      <c r="AMS67" s="242"/>
      <c r="AMT67" s="242"/>
      <c r="AMU67" s="242"/>
      <c r="AMV67" s="242"/>
      <c r="AMW67" s="242"/>
      <c r="AMX67" s="242"/>
      <c r="AMY67" s="242"/>
      <c r="AMZ67" s="242"/>
      <c r="ANA67" s="108"/>
      <c r="ANB67" s="243"/>
      <c r="ANC67" s="243"/>
      <c r="AND67" s="243"/>
      <c r="ANE67" s="242"/>
      <c r="ANF67" s="242"/>
      <c r="ANG67" s="242"/>
      <c r="ANH67" s="242"/>
      <c r="ANI67" s="242"/>
      <c r="ANJ67" s="242"/>
      <c r="ANK67" s="242"/>
      <c r="ANL67" s="242"/>
      <c r="ANM67" s="242"/>
      <c r="ANN67" s="108"/>
      <c r="ANO67" s="243"/>
      <c r="ANP67" s="243"/>
      <c r="ANQ67" s="243"/>
      <c r="ANR67" s="242"/>
      <c r="ANS67" s="242"/>
      <c r="ANT67" s="242"/>
      <c r="ANU67" s="242"/>
      <c r="ANV67" s="242"/>
      <c r="ANW67" s="242"/>
      <c r="ANX67" s="242"/>
      <c r="ANY67" s="242"/>
      <c r="ANZ67" s="242"/>
      <c r="AOA67" s="108"/>
      <c r="AOB67" s="243"/>
      <c r="AOC67" s="243"/>
      <c r="AOD67" s="243"/>
      <c r="AOE67" s="242"/>
      <c r="AOF67" s="242"/>
      <c r="AOG67" s="242"/>
      <c r="AOH67" s="242"/>
      <c r="AOI67" s="242"/>
      <c r="AOJ67" s="242"/>
      <c r="AOK67" s="242"/>
      <c r="AOL67" s="242"/>
      <c r="AOM67" s="242"/>
      <c r="AON67" s="108"/>
      <c r="AOO67" s="243"/>
      <c r="AOP67" s="243"/>
      <c r="AOQ67" s="243"/>
      <c r="AOR67" s="242"/>
      <c r="AOS67" s="242"/>
      <c r="AOT67" s="242"/>
      <c r="AOU67" s="242"/>
      <c r="AOV67" s="242"/>
      <c r="AOW67" s="242"/>
      <c r="AOX67" s="242"/>
      <c r="AOY67" s="242"/>
      <c r="AOZ67" s="242"/>
      <c r="APA67" s="108"/>
      <c r="APB67" s="243"/>
      <c r="APC67" s="243"/>
      <c r="APD67" s="243"/>
      <c r="APE67" s="242"/>
      <c r="APF67" s="242"/>
      <c r="APG67" s="242"/>
      <c r="APH67" s="242"/>
      <c r="API67" s="242"/>
      <c r="APJ67" s="242"/>
      <c r="APK67" s="242"/>
      <c r="APL67" s="242"/>
      <c r="APM67" s="242"/>
      <c r="APN67" s="108"/>
      <c r="APO67" s="243"/>
      <c r="APP67" s="243"/>
      <c r="APQ67" s="243"/>
      <c r="APR67" s="242"/>
      <c r="APS67" s="242"/>
      <c r="APT67" s="242"/>
      <c r="APU67" s="242"/>
      <c r="APV67" s="242"/>
      <c r="APW67" s="242"/>
      <c r="APX67" s="242"/>
      <c r="APY67" s="242"/>
      <c r="APZ67" s="242"/>
      <c r="AQA67" s="108"/>
      <c r="AQB67" s="243"/>
      <c r="AQC67" s="243"/>
      <c r="AQD67" s="243"/>
      <c r="AQE67" s="242"/>
      <c r="AQF67" s="242"/>
      <c r="AQG67" s="242"/>
      <c r="AQH67" s="242"/>
      <c r="AQI67" s="242"/>
      <c r="AQJ67" s="242"/>
      <c r="AQK67" s="242"/>
      <c r="AQL67" s="242"/>
      <c r="AQM67" s="242"/>
      <c r="AQN67" s="108"/>
      <c r="AQO67" s="243"/>
      <c r="AQP67" s="243"/>
      <c r="AQQ67" s="243"/>
      <c r="AQR67" s="242"/>
      <c r="AQS67" s="242"/>
      <c r="AQT67" s="242"/>
      <c r="AQU67" s="242"/>
      <c r="AQV67" s="242"/>
      <c r="AQW67" s="242"/>
      <c r="AQX67" s="242"/>
      <c r="AQY67" s="242"/>
      <c r="AQZ67" s="242"/>
      <c r="ARA67" s="108"/>
      <c r="ARB67" s="243"/>
      <c r="ARC67" s="243"/>
      <c r="ARD67" s="243"/>
      <c r="ARE67" s="242"/>
      <c r="ARF67" s="242"/>
      <c r="ARG67" s="242"/>
      <c r="ARH67" s="242"/>
      <c r="ARI67" s="242"/>
      <c r="ARJ67" s="242"/>
      <c r="ARK67" s="242"/>
      <c r="ARL67" s="242"/>
      <c r="ARM67" s="242"/>
      <c r="ARN67" s="108"/>
      <c r="ARO67" s="243"/>
      <c r="ARP67" s="243"/>
      <c r="ARQ67" s="243"/>
      <c r="ARR67" s="242"/>
      <c r="ARS67" s="242"/>
      <c r="ART67" s="242"/>
      <c r="ARU67" s="242"/>
      <c r="ARV67" s="242"/>
      <c r="ARW67" s="242"/>
      <c r="ARX67" s="242"/>
      <c r="ARY67" s="242"/>
      <c r="ARZ67" s="242"/>
      <c r="ASA67" s="108"/>
      <c r="ASB67" s="243"/>
      <c r="ASC67" s="243"/>
      <c r="ASD67" s="243"/>
      <c r="ASE67" s="242"/>
      <c r="ASF67" s="242"/>
      <c r="ASG67" s="242"/>
      <c r="ASH67" s="242"/>
      <c r="ASI67" s="242"/>
      <c r="ASJ67" s="242"/>
      <c r="ASK67" s="242"/>
      <c r="ASL67" s="242"/>
      <c r="ASM67" s="242"/>
      <c r="ASN67" s="108"/>
      <c r="ASO67" s="243"/>
      <c r="ASP67" s="243"/>
      <c r="ASQ67" s="243"/>
      <c r="ASR67" s="242"/>
      <c r="ASS67" s="242"/>
      <c r="AST67" s="242"/>
      <c r="ASU67" s="242"/>
      <c r="ASV67" s="242"/>
      <c r="ASW67" s="242"/>
      <c r="ASX67" s="242"/>
      <c r="ASY67" s="242"/>
      <c r="ASZ67" s="242"/>
      <c r="ATA67" s="108"/>
      <c r="ATB67" s="243"/>
      <c r="ATC67" s="243"/>
      <c r="ATD67" s="243"/>
      <c r="ATE67" s="242"/>
      <c r="ATF67" s="242"/>
      <c r="ATG67" s="242"/>
      <c r="ATH67" s="242"/>
      <c r="ATI67" s="242"/>
      <c r="ATJ67" s="242"/>
      <c r="ATK67" s="242"/>
      <c r="ATL67" s="242"/>
      <c r="ATM67" s="242"/>
      <c r="ATN67" s="108"/>
      <c r="ATO67" s="243"/>
      <c r="ATP67" s="243"/>
      <c r="ATQ67" s="243"/>
      <c r="ATR67" s="242"/>
      <c r="ATS67" s="242"/>
      <c r="ATT67" s="242"/>
      <c r="ATU67" s="242"/>
      <c r="ATV67" s="242"/>
      <c r="ATW67" s="242"/>
      <c r="ATX67" s="242"/>
      <c r="ATY67" s="242"/>
      <c r="ATZ67" s="242"/>
      <c r="AUA67" s="108"/>
      <c r="AUB67" s="243"/>
      <c r="AUC67" s="243"/>
      <c r="AUD67" s="243"/>
      <c r="AUE67" s="242"/>
      <c r="AUF67" s="242"/>
      <c r="AUG67" s="242"/>
      <c r="AUH67" s="242"/>
      <c r="AUI67" s="242"/>
      <c r="AUJ67" s="242"/>
      <c r="AUK67" s="242"/>
      <c r="AUL67" s="242"/>
      <c r="AUM67" s="242"/>
      <c r="AUN67" s="108"/>
      <c r="AUO67" s="243"/>
      <c r="AUP67" s="243"/>
      <c r="AUQ67" s="243"/>
      <c r="AUR67" s="242"/>
      <c r="AUS67" s="242"/>
      <c r="AUT67" s="242"/>
      <c r="AUU67" s="242"/>
      <c r="AUV67" s="242"/>
      <c r="AUW67" s="242"/>
      <c r="AUX67" s="242"/>
      <c r="AUY67" s="242"/>
      <c r="AUZ67" s="242"/>
      <c r="AVA67" s="108"/>
      <c r="AVB67" s="243"/>
      <c r="AVC67" s="243"/>
      <c r="AVD67" s="243"/>
      <c r="AVE67" s="242"/>
      <c r="AVF67" s="242"/>
      <c r="AVG67" s="242"/>
      <c r="AVH67" s="242"/>
      <c r="AVI67" s="242"/>
      <c r="AVJ67" s="242"/>
      <c r="AVK67" s="242"/>
      <c r="AVL67" s="242"/>
      <c r="AVM67" s="242"/>
      <c r="AVN67" s="108"/>
      <c r="AVO67" s="243"/>
      <c r="AVP67" s="243"/>
      <c r="AVQ67" s="243"/>
      <c r="AVR67" s="242"/>
      <c r="AVS67" s="242"/>
      <c r="AVT67" s="242"/>
      <c r="AVU67" s="242"/>
      <c r="AVV67" s="242"/>
      <c r="AVW67" s="242"/>
      <c r="AVX67" s="242"/>
      <c r="AVY67" s="242"/>
      <c r="AVZ67" s="242"/>
      <c r="AWA67" s="108"/>
      <c r="AWB67" s="243"/>
      <c r="AWC67" s="243"/>
      <c r="AWD67" s="243"/>
      <c r="AWE67" s="242"/>
      <c r="AWF67" s="242"/>
      <c r="AWG67" s="242"/>
      <c r="AWH67" s="242"/>
      <c r="AWI67" s="242"/>
      <c r="AWJ67" s="242"/>
      <c r="AWK67" s="242"/>
      <c r="AWL67" s="242"/>
      <c r="AWM67" s="242"/>
      <c r="AWN67" s="108"/>
      <c r="AWO67" s="243"/>
      <c r="AWP67" s="243"/>
      <c r="AWQ67" s="243"/>
      <c r="AWR67" s="242"/>
      <c r="AWS67" s="242"/>
      <c r="AWT67" s="242"/>
      <c r="AWU67" s="242"/>
      <c r="AWV67" s="242"/>
      <c r="AWW67" s="242"/>
      <c r="AWX67" s="242"/>
      <c r="AWY67" s="242"/>
      <c r="AWZ67" s="242"/>
      <c r="AXA67" s="108"/>
      <c r="AXB67" s="243"/>
      <c r="AXC67" s="243"/>
      <c r="AXD67" s="243"/>
      <c r="AXE67" s="242"/>
      <c r="AXF67" s="242"/>
      <c r="AXG67" s="242"/>
      <c r="AXH67" s="242"/>
      <c r="AXI67" s="242"/>
      <c r="AXJ67" s="242"/>
      <c r="AXK67" s="242"/>
      <c r="AXL67" s="242"/>
      <c r="AXM67" s="242"/>
      <c r="AXN67" s="108"/>
      <c r="AXO67" s="243"/>
      <c r="AXP67" s="243"/>
      <c r="AXQ67" s="243"/>
      <c r="AXR67" s="242"/>
      <c r="AXS67" s="242"/>
      <c r="AXT67" s="242"/>
      <c r="AXU67" s="242"/>
      <c r="AXV67" s="242"/>
      <c r="AXW67" s="242"/>
      <c r="AXX67" s="242"/>
      <c r="AXY67" s="242"/>
      <c r="AXZ67" s="242"/>
      <c r="AYA67" s="108"/>
      <c r="AYB67" s="243"/>
      <c r="AYC67" s="243"/>
      <c r="AYD67" s="243"/>
      <c r="AYE67" s="242"/>
      <c r="AYF67" s="242"/>
      <c r="AYG67" s="242"/>
      <c r="AYH67" s="242"/>
      <c r="AYI67" s="242"/>
      <c r="AYJ67" s="242"/>
      <c r="AYK67" s="242"/>
      <c r="AYL67" s="242"/>
      <c r="AYM67" s="242"/>
      <c r="AYN67" s="108"/>
      <c r="AYO67" s="243"/>
      <c r="AYP67" s="243"/>
      <c r="AYQ67" s="243"/>
      <c r="AYR67" s="242"/>
      <c r="AYS67" s="242"/>
      <c r="AYT67" s="242"/>
      <c r="AYU67" s="242"/>
      <c r="AYV67" s="242"/>
      <c r="AYW67" s="242"/>
      <c r="AYX67" s="242"/>
      <c r="AYY67" s="242"/>
      <c r="AYZ67" s="242"/>
      <c r="AZA67" s="108"/>
      <c r="AZB67" s="243"/>
      <c r="AZC67" s="243"/>
      <c r="AZD67" s="243"/>
      <c r="AZE67" s="242"/>
      <c r="AZF67" s="242"/>
      <c r="AZG67" s="242"/>
      <c r="AZH67" s="242"/>
      <c r="AZI67" s="242"/>
      <c r="AZJ67" s="242"/>
      <c r="AZK67" s="242"/>
      <c r="AZL67" s="242"/>
      <c r="AZM67" s="242"/>
      <c r="AZN67" s="108"/>
      <c r="AZO67" s="243"/>
      <c r="AZP67" s="243"/>
      <c r="AZQ67" s="243"/>
      <c r="AZR67" s="242"/>
      <c r="AZS67" s="242"/>
      <c r="AZT67" s="242"/>
      <c r="AZU67" s="242"/>
      <c r="AZV67" s="242"/>
      <c r="AZW67" s="242"/>
      <c r="AZX67" s="242"/>
      <c r="AZY67" s="242"/>
      <c r="AZZ67" s="242"/>
      <c r="BAA67" s="108"/>
      <c r="BAB67" s="243"/>
      <c r="BAC67" s="243"/>
      <c r="BAD67" s="243"/>
      <c r="BAE67" s="242"/>
      <c r="BAF67" s="242"/>
      <c r="BAG67" s="242"/>
      <c r="BAH67" s="242"/>
      <c r="BAI67" s="242"/>
      <c r="BAJ67" s="242"/>
      <c r="BAK67" s="242"/>
      <c r="BAL67" s="242"/>
      <c r="BAM67" s="242"/>
      <c r="BAN67" s="108"/>
      <c r="BAO67" s="243"/>
      <c r="BAP67" s="243"/>
      <c r="BAQ67" s="243"/>
      <c r="BAR67" s="242"/>
      <c r="BAS67" s="242"/>
      <c r="BAT67" s="242"/>
      <c r="BAU67" s="242"/>
      <c r="BAV67" s="242"/>
      <c r="BAW67" s="242"/>
      <c r="BAX67" s="242"/>
      <c r="BAY67" s="242"/>
      <c r="BAZ67" s="242"/>
      <c r="BBA67" s="108"/>
      <c r="BBB67" s="243"/>
      <c r="BBC67" s="243"/>
      <c r="BBD67" s="243"/>
      <c r="BBE67" s="242"/>
      <c r="BBF67" s="242"/>
      <c r="BBG67" s="242"/>
      <c r="BBH67" s="242"/>
      <c r="BBI67" s="242"/>
      <c r="BBJ67" s="242"/>
      <c r="BBK67" s="242"/>
      <c r="BBL67" s="242"/>
      <c r="BBM67" s="242"/>
      <c r="BBN67" s="108"/>
      <c r="BBO67" s="243"/>
      <c r="BBP67" s="243"/>
      <c r="BBQ67" s="243"/>
      <c r="BBR67" s="242"/>
      <c r="BBS67" s="242"/>
      <c r="BBT67" s="242"/>
      <c r="BBU67" s="242"/>
      <c r="BBV67" s="242"/>
      <c r="BBW67" s="242"/>
      <c r="BBX67" s="242"/>
      <c r="BBY67" s="242"/>
      <c r="BBZ67" s="242"/>
      <c r="BCA67" s="108"/>
      <c r="BCB67" s="243"/>
      <c r="BCC67" s="243"/>
      <c r="BCD67" s="243"/>
      <c r="BCE67" s="242"/>
      <c r="BCF67" s="242"/>
      <c r="BCG67" s="242"/>
      <c r="BCH67" s="242"/>
      <c r="BCI67" s="242"/>
      <c r="BCJ67" s="242"/>
      <c r="BCK67" s="242"/>
      <c r="BCL67" s="242"/>
      <c r="BCM67" s="242"/>
      <c r="BCN67" s="108"/>
      <c r="BCO67" s="243"/>
      <c r="BCP67" s="243"/>
      <c r="BCQ67" s="243"/>
      <c r="BCR67" s="242"/>
      <c r="BCS67" s="242"/>
      <c r="BCT67" s="242"/>
      <c r="BCU67" s="242"/>
      <c r="BCV67" s="242"/>
      <c r="BCW67" s="242"/>
      <c r="BCX67" s="242"/>
      <c r="BCY67" s="242"/>
      <c r="BCZ67" s="242"/>
      <c r="BDA67" s="108"/>
      <c r="BDB67" s="243"/>
      <c r="BDC67" s="243"/>
      <c r="BDD67" s="243"/>
      <c r="BDE67" s="242"/>
      <c r="BDF67" s="242"/>
      <c r="BDG67" s="242"/>
      <c r="BDH67" s="242"/>
      <c r="BDI67" s="242"/>
      <c r="BDJ67" s="242"/>
      <c r="BDK67" s="242"/>
      <c r="BDL67" s="242"/>
      <c r="BDM67" s="242"/>
      <c r="BDN67" s="108"/>
      <c r="BDO67" s="243"/>
      <c r="BDP67" s="243"/>
      <c r="BDQ67" s="243"/>
      <c r="BDR67" s="242"/>
      <c r="BDS67" s="242"/>
      <c r="BDT67" s="242"/>
      <c r="BDU67" s="242"/>
      <c r="BDV67" s="242"/>
      <c r="BDW67" s="242"/>
      <c r="BDX67" s="242"/>
      <c r="BDY67" s="242"/>
      <c r="BDZ67" s="242"/>
      <c r="BEA67" s="108"/>
      <c r="BEB67" s="243"/>
      <c r="BEC67" s="243"/>
      <c r="BED67" s="243"/>
      <c r="BEE67" s="242"/>
      <c r="BEF67" s="242"/>
      <c r="BEG67" s="242"/>
      <c r="BEH67" s="242"/>
      <c r="BEI67" s="242"/>
      <c r="BEJ67" s="242"/>
      <c r="BEK67" s="242"/>
      <c r="BEL67" s="242"/>
      <c r="BEM67" s="242"/>
      <c r="BEN67" s="108"/>
      <c r="BEO67" s="243"/>
      <c r="BEP67" s="243"/>
      <c r="BEQ67" s="243"/>
      <c r="BER67" s="242"/>
      <c r="BES67" s="242"/>
      <c r="BET67" s="242"/>
      <c r="BEU67" s="242"/>
      <c r="BEV67" s="242"/>
      <c r="BEW67" s="242"/>
      <c r="BEX67" s="242"/>
      <c r="BEY67" s="242"/>
      <c r="BEZ67" s="242"/>
      <c r="BFA67" s="108"/>
      <c r="BFB67" s="243"/>
      <c r="BFC67" s="243"/>
      <c r="BFD67" s="243"/>
      <c r="BFE67" s="242"/>
      <c r="BFF67" s="242"/>
      <c r="BFG67" s="242"/>
      <c r="BFH67" s="242"/>
      <c r="BFI67" s="242"/>
      <c r="BFJ67" s="242"/>
      <c r="BFK67" s="242"/>
      <c r="BFL67" s="242"/>
      <c r="BFM67" s="242"/>
      <c r="BFN67" s="108"/>
      <c r="BFO67" s="243"/>
      <c r="BFP67" s="243"/>
      <c r="BFQ67" s="243"/>
      <c r="BFR67" s="242"/>
      <c r="BFS67" s="242"/>
      <c r="BFT67" s="242"/>
      <c r="BFU67" s="242"/>
      <c r="BFV67" s="242"/>
      <c r="BFW67" s="242"/>
      <c r="BFX67" s="242"/>
      <c r="BFY67" s="242"/>
      <c r="BFZ67" s="242"/>
      <c r="BGA67" s="108"/>
      <c r="BGB67" s="243"/>
      <c r="BGC67" s="243"/>
      <c r="BGD67" s="243"/>
      <c r="BGE67" s="242"/>
      <c r="BGF67" s="242"/>
      <c r="BGG67" s="242"/>
      <c r="BGH67" s="242"/>
      <c r="BGI67" s="242"/>
      <c r="BGJ67" s="242"/>
      <c r="BGK67" s="242"/>
      <c r="BGL67" s="242"/>
      <c r="BGM67" s="242"/>
      <c r="BGN67" s="108"/>
      <c r="BGO67" s="243"/>
      <c r="BGP67" s="243"/>
      <c r="BGQ67" s="243"/>
      <c r="BGR67" s="242"/>
      <c r="BGS67" s="242"/>
      <c r="BGT67" s="242"/>
      <c r="BGU67" s="242"/>
      <c r="BGV67" s="242"/>
      <c r="BGW67" s="242"/>
      <c r="BGX67" s="242"/>
      <c r="BGY67" s="242"/>
      <c r="BGZ67" s="242"/>
      <c r="BHA67" s="108"/>
      <c r="BHB67" s="243"/>
      <c r="BHC67" s="243"/>
      <c r="BHD67" s="243"/>
      <c r="BHE67" s="242"/>
      <c r="BHF67" s="242"/>
      <c r="BHG67" s="242"/>
      <c r="BHH67" s="242"/>
      <c r="BHI67" s="242"/>
      <c r="BHJ67" s="242"/>
      <c r="BHK67" s="242"/>
      <c r="BHL67" s="242"/>
      <c r="BHM67" s="242"/>
      <c r="BHN67" s="108"/>
      <c r="BHO67" s="243"/>
      <c r="BHP67" s="243"/>
      <c r="BHQ67" s="243"/>
      <c r="BHR67" s="242"/>
      <c r="BHS67" s="242"/>
      <c r="BHT67" s="242"/>
      <c r="BHU67" s="242"/>
      <c r="BHV67" s="242"/>
      <c r="BHW67" s="242"/>
      <c r="BHX67" s="242"/>
      <c r="BHY67" s="242"/>
      <c r="BHZ67" s="242"/>
      <c r="BIA67" s="108"/>
      <c r="BIB67" s="243"/>
      <c r="BIC67" s="243"/>
      <c r="BID67" s="243"/>
      <c r="BIE67" s="242"/>
      <c r="BIF67" s="242"/>
      <c r="BIG67" s="242"/>
      <c r="BIH67" s="242"/>
      <c r="BII67" s="242"/>
      <c r="BIJ67" s="242"/>
      <c r="BIK67" s="242"/>
      <c r="BIL67" s="242"/>
      <c r="BIM67" s="242"/>
      <c r="BIN67" s="108"/>
      <c r="BIO67" s="243"/>
      <c r="BIP67" s="243"/>
      <c r="BIQ67" s="243"/>
      <c r="BIR67" s="242"/>
      <c r="BIS67" s="242"/>
      <c r="BIT67" s="242"/>
      <c r="BIU67" s="242"/>
      <c r="BIV67" s="242"/>
      <c r="BIW67" s="242"/>
      <c r="BIX67" s="242"/>
      <c r="BIY67" s="242"/>
      <c r="BIZ67" s="242"/>
      <c r="BJA67" s="108"/>
      <c r="BJB67" s="243"/>
      <c r="BJC67" s="243"/>
      <c r="BJD67" s="243"/>
      <c r="BJE67" s="242"/>
      <c r="BJF67" s="242"/>
      <c r="BJG67" s="242"/>
      <c r="BJH67" s="242"/>
      <c r="BJI67" s="242"/>
      <c r="BJJ67" s="242"/>
      <c r="BJK67" s="242"/>
      <c r="BJL67" s="242"/>
      <c r="BJM67" s="242"/>
      <c r="BJN67" s="108"/>
      <c r="BJO67" s="243"/>
      <c r="BJP67" s="243"/>
      <c r="BJQ67" s="243"/>
      <c r="BJR67" s="242"/>
      <c r="BJS67" s="242"/>
      <c r="BJT67" s="242"/>
      <c r="BJU67" s="242"/>
      <c r="BJV67" s="242"/>
      <c r="BJW67" s="242"/>
      <c r="BJX67" s="242"/>
      <c r="BJY67" s="242"/>
      <c r="BJZ67" s="242"/>
      <c r="BKA67" s="108"/>
      <c r="BKB67" s="243"/>
      <c r="BKC67" s="243"/>
      <c r="BKD67" s="243"/>
      <c r="BKE67" s="242"/>
      <c r="BKF67" s="242"/>
      <c r="BKG67" s="242"/>
      <c r="BKH67" s="242"/>
      <c r="BKI67" s="242"/>
      <c r="BKJ67" s="242"/>
      <c r="BKK67" s="242"/>
      <c r="BKL67" s="242"/>
      <c r="BKM67" s="242"/>
      <c r="BKN67" s="108"/>
      <c r="BKO67" s="243"/>
      <c r="BKP67" s="243"/>
      <c r="BKQ67" s="243"/>
      <c r="BKR67" s="242"/>
      <c r="BKS67" s="242"/>
      <c r="BKT67" s="242"/>
      <c r="BKU67" s="242"/>
      <c r="BKV67" s="242"/>
      <c r="BKW67" s="242"/>
      <c r="BKX67" s="242"/>
      <c r="BKY67" s="242"/>
      <c r="BKZ67" s="242"/>
      <c r="BLA67" s="108"/>
      <c r="BLB67" s="243"/>
      <c r="BLC67" s="243"/>
      <c r="BLD67" s="243"/>
      <c r="BLE67" s="242"/>
      <c r="BLF67" s="242"/>
      <c r="BLG67" s="242"/>
      <c r="BLH67" s="242"/>
      <c r="BLI67" s="242"/>
      <c r="BLJ67" s="242"/>
      <c r="BLK67" s="242"/>
      <c r="BLL67" s="242"/>
      <c r="BLM67" s="242"/>
      <c r="BLN67" s="108"/>
      <c r="BLO67" s="243"/>
      <c r="BLP67" s="243"/>
      <c r="BLQ67" s="243"/>
      <c r="BLR67" s="242"/>
      <c r="BLS67" s="242"/>
      <c r="BLT67" s="242"/>
      <c r="BLU67" s="242"/>
      <c r="BLV67" s="242"/>
      <c r="BLW67" s="242"/>
      <c r="BLX67" s="242"/>
      <c r="BLY67" s="242"/>
      <c r="BLZ67" s="242"/>
      <c r="BMA67" s="108"/>
      <c r="BMB67" s="243"/>
      <c r="BMC67" s="243"/>
      <c r="BMD67" s="243"/>
      <c r="BME67" s="242"/>
      <c r="BMF67" s="242"/>
      <c r="BMG67" s="242"/>
      <c r="BMH67" s="242"/>
      <c r="BMI67" s="242"/>
      <c r="BMJ67" s="242"/>
      <c r="BMK67" s="242"/>
      <c r="BML67" s="242"/>
      <c r="BMM67" s="242"/>
      <c r="BMN67" s="108"/>
      <c r="BMO67" s="243"/>
      <c r="BMP67" s="243"/>
      <c r="BMQ67" s="243"/>
      <c r="BMR67" s="242"/>
      <c r="BMS67" s="242"/>
      <c r="BMT67" s="242"/>
      <c r="BMU67" s="242"/>
      <c r="BMV67" s="242"/>
      <c r="BMW67" s="242"/>
      <c r="BMX67" s="242"/>
      <c r="BMY67" s="242"/>
      <c r="BMZ67" s="242"/>
      <c r="BNA67" s="108"/>
      <c r="BNB67" s="243"/>
      <c r="BNC67" s="243"/>
      <c r="BND67" s="243"/>
      <c r="BNE67" s="242"/>
      <c r="BNF67" s="242"/>
      <c r="BNG67" s="242"/>
      <c r="BNH67" s="242"/>
      <c r="BNI67" s="242"/>
      <c r="BNJ67" s="242"/>
      <c r="BNK67" s="242"/>
      <c r="BNL67" s="242"/>
      <c r="BNM67" s="242"/>
      <c r="BNN67" s="108"/>
      <c r="BNO67" s="243"/>
      <c r="BNP67" s="243"/>
      <c r="BNQ67" s="243"/>
      <c r="BNR67" s="242"/>
      <c r="BNS67" s="242"/>
      <c r="BNT67" s="242"/>
      <c r="BNU67" s="242"/>
      <c r="BNV67" s="242"/>
      <c r="BNW67" s="242"/>
      <c r="BNX67" s="242"/>
      <c r="BNY67" s="242"/>
      <c r="BNZ67" s="242"/>
      <c r="BOA67" s="108"/>
      <c r="BOB67" s="243"/>
      <c r="BOC67" s="243"/>
      <c r="BOD67" s="243"/>
      <c r="BOE67" s="242"/>
      <c r="BOF67" s="242"/>
      <c r="BOG67" s="242"/>
      <c r="BOH67" s="242"/>
      <c r="BOI67" s="242"/>
      <c r="BOJ67" s="242"/>
      <c r="BOK67" s="242"/>
      <c r="BOL67" s="242"/>
      <c r="BOM67" s="242"/>
      <c r="BON67" s="108"/>
      <c r="BOO67" s="243"/>
      <c r="BOP67" s="243"/>
      <c r="BOQ67" s="243"/>
      <c r="BOR67" s="242"/>
      <c r="BOS67" s="242"/>
      <c r="BOT67" s="242"/>
      <c r="BOU67" s="242"/>
      <c r="BOV67" s="242"/>
      <c r="BOW67" s="242"/>
      <c r="BOX67" s="242"/>
      <c r="BOY67" s="242"/>
      <c r="BOZ67" s="242"/>
      <c r="BPA67" s="108"/>
      <c r="BPB67" s="243"/>
      <c r="BPC67" s="243"/>
      <c r="BPD67" s="243"/>
      <c r="BPE67" s="242"/>
      <c r="BPF67" s="242"/>
      <c r="BPG67" s="242"/>
      <c r="BPH67" s="242"/>
      <c r="BPI67" s="242"/>
      <c r="BPJ67" s="242"/>
      <c r="BPK67" s="242"/>
      <c r="BPL67" s="242"/>
      <c r="BPM67" s="242"/>
      <c r="BPN67" s="108"/>
      <c r="BPO67" s="243"/>
      <c r="BPP67" s="243"/>
      <c r="BPQ67" s="243"/>
      <c r="BPR67" s="242"/>
      <c r="BPS67" s="242"/>
      <c r="BPT67" s="242"/>
      <c r="BPU67" s="242"/>
      <c r="BPV67" s="242"/>
      <c r="BPW67" s="242"/>
      <c r="BPX67" s="242"/>
      <c r="BPY67" s="242"/>
      <c r="BPZ67" s="242"/>
      <c r="BQA67" s="108"/>
      <c r="BQB67" s="243"/>
      <c r="BQC67" s="243"/>
      <c r="BQD67" s="243"/>
      <c r="BQE67" s="242"/>
      <c r="BQF67" s="242"/>
      <c r="BQG67" s="242"/>
      <c r="BQH67" s="242"/>
      <c r="BQI67" s="242"/>
      <c r="BQJ67" s="242"/>
      <c r="BQK67" s="242"/>
      <c r="BQL67" s="242"/>
      <c r="BQM67" s="242"/>
      <c r="BQN67" s="108"/>
      <c r="BQO67" s="243"/>
      <c r="BQP67" s="243"/>
      <c r="BQQ67" s="243"/>
      <c r="BQR67" s="242"/>
      <c r="BQS67" s="242"/>
      <c r="BQT67" s="242"/>
      <c r="BQU67" s="242"/>
      <c r="BQV67" s="242"/>
      <c r="BQW67" s="242"/>
      <c r="BQX67" s="242"/>
      <c r="BQY67" s="242"/>
      <c r="BQZ67" s="242"/>
      <c r="BRA67" s="108"/>
      <c r="BRB67" s="243"/>
      <c r="BRC67" s="243"/>
      <c r="BRD67" s="243"/>
      <c r="BRE67" s="242"/>
      <c r="BRF67" s="242"/>
      <c r="BRG67" s="242"/>
      <c r="BRH67" s="242"/>
      <c r="BRI67" s="242"/>
      <c r="BRJ67" s="242"/>
      <c r="BRK67" s="242"/>
      <c r="BRL67" s="242"/>
      <c r="BRM67" s="242"/>
      <c r="BRN67" s="108"/>
      <c r="BRO67" s="243"/>
      <c r="BRP67" s="243"/>
      <c r="BRQ67" s="243"/>
      <c r="BRR67" s="242"/>
      <c r="BRS67" s="242"/>
      <c r="BRT67" s="242"/>
      <c r="BRU67" s="242"/>
      <c r="BRV67" s="242"/>
      <c r="BRW67" s="242"/>
      <c r="BRX67" s="242"/>
      <c r="BRY67" s="242"/>
      <c r="BRZ67" s="242"/>
      <c r="BSA67" s="108"/>
      <c r="BSB67" s="243"/>
      <c r="BSC67" s="243"/>
      <c r="BSD67" s="243"/>
      <c r="BSE67" s="242"/>
      <c r="BSF67" s="242"/>
      <c r="BSG67" s="242"/>
      <c r="BSH67" s="242"/>
      <c r="BSI67" s="242"/>
      <c r="BSJ67" s="242"/>
      <c r="BSK67" s="242"/>
      <c r="BSL67" s="242"/>
      <c r="BSM67" s="242"/>
      <c r="BSN67" s="108"/>
      <c r="BSO67" s="243"/>
      <c r="BSP67" s="243"/>
      <c r="BSQ67" s="243"/>
      <c r="BSR67" s="242"/>
      <c r="BSS67" s="242"/>
      <c r="BST67" s="242"/>
      <c r="BSU67" s="242"/>
      <c r="BSV67" s="242"/>
      <c r="BSW67" s="242"/>
      <c r="BSX67" s="242"/>
      <c r="BSY67" s="242"/>
      <c r="BSZ67" s="242"/>
      <c r="BTA67" s="108"/>
      <c r="BTB67" s="243"/>
      <c r="BTC67" s="243"/>
      <c r="BTD67" s="243"/>
      <c r="BTE67" s="242"/>
      <c r="BTF67" s="242"/>
      <c r="BTG67" s="242"/>
      <c r="BTH67" s="242"/>
      <c r="BTI67" s="242"/>
      <c r="BTJ67" s="242"/>
      <c r="BTK67" s="242"/>
      <c r="BTL67" s="242"/>
      <c r="BTM67" s="242"/>
      <c r="BTN67" s="108"/>
      <c r="BTO67" s="243"/>
      <c r="BTP67" s="243"/>
      <c r="BTQ67" s="243"/>
      <c r="BTR67" s="242"/>
      <c r="BTS67" s="242"/>
      <c r="BTT67" s="242"/>
      <c r="BTU67" s="242"/>
      <c r="BTV67" s="242"/>
      <c r="BTW67" s="242"/>
      <c r="BTX67" s="242"/>
      <c r="BTY67" s="242"/>
      <c r="BTZ67" s="242"/>
      <c r="BUA67" s="108"/>
      <c r="BUB67" s="243"/>
      <c r="BUC67" s="243"/>
      <c r="BUD67" s="243"/>
      <c r="BUE67" s="242"/>
      <c r="BUF67" s="242"/>
      <c r="BUG67" s="242"/>
      <c r="BUH67" s="242"/>
      <c r="BUI67" s="242"/>
      <c r="BUJ67" s="242"/>
      <c r="BUK67" s="242"/>
      <c r="BUL67" s="242"/>
      <c r="BUM67" s="242"/>
      <c r="BUN67" s="108"/>
      <c r="BUO67" s="243"/>
      <c r="BUP67" s="243"/>
      <c r="BUQ67" s="243"/>
      <c r="BUR67" s="242"/>
      <c r="BUS67" s="242"/>
      <c r="BUT67" s="242"/>
      <c r="BUU67" s="242"/>
      <c r="BUV67" s="242"/>
      <c r="BUW67" s="242"/>
      <c r="BUX67" s="242"/>
      <c r="BUY67" s="242"/>
      <c r="BUZ67" s="242"/>
      <c r="BVA67" s="108"/>
      <c r="BVB67" s="243"/>
      <c r="BVC67" s="243"/>
      <c r="BVD67" s="243"/>
      <c r="BVE67" s="242"/>
      <c r="BVF67" s="242"/>
      <c r="BVG67" s="242"/>
      <c r="BVH67" s="242"/>
      <c r="BVI67" s="242"/>
      <c r="BVJ67" s="242"/>
      <c r="BVK67" s="242"/>
      <c r="BVL67" s="242"/>
      <c r="BVM67" s="242"/>
      <c r="BVN67" s="108"/>
      <c r="BVO67" s="243"/>
      <c r="BVP67" s="243"/>
      <c r="BVQ67" s="243"/>
      <c r="BVR67" s="242"/>
      <c r="BVS67" s="242"/>
      <c r="BVT67" s="242"/>
      <c r="BVU67" s="242"/>
      <c r="BVV67" s="242"/>
      <c r="BVW67" s="242"/>
      <c r="BVX67" s="242"/>
      <c r="BVY67" s="242"/>
      <c r="BVZ67" s="242"/>
      <c r="BWA67" s="108"/>
      <c r="BWB67" s="243"/>
      <c r="BWC67" s="243"/>
      <c r="BWD67" s="243"/>
      <c r="BWE67" s="242"/>
      <c r="BWF67" s="242"/>
      <c r="BWG67" s="242"/>
      <c r="BWH67" s="242"/>
      <c r="BWI67" s="242"/>
      <c r="BWJ67" s="242"/>
      <c r="BWK67" s="242"/>
      <c r="BWL67" s="242"/>
      <c r="BWM67" s="242"/>
      <c r="BWN67" s="108"/>
      <c r="BWO67" s="243"/>
      <c r="BWP67" s="243"/>
      <c r="BWQ67" s="243"/>
      <c r="BWR67" s="242"/>
      <c r="BWS67" s="242"/>
      <c r="BWT67" s="242"/>
      <c r="BWU67" s="242"/>
      <c r="BWV67" s="242"/>
      <c r="BWW67" s="242"/>
      <c r="BWX67" s="242"/>
      <c r="BWY67" s="242"/>
      <c r="BWZ67" s="242"/>
      <c r="BXA67" s="108"/>
      <c r="BXB67" s="243"/>
      <c r="BXC67" s="243"/>
      <c r="BXD67" s="243"/>
      <c r="BXE67" s="242"/>
      <c r="BXF67" s="242"/>
      <c r="BXG67" s="242"/>
      <c r="BXH67" s="242"/>
      <c r="BXI67" s="242"/>
      <c r="BXJ67" s="242"/>
      <c r="BXK67" s="242"/>
      <c r="BXL67" s="242"/>
      <c r="BXM67" s="242"/>
      <c r="BXN67" s="108"/>
      <c r="BXO67" s="243"/>
      <c r="BXP67" s="243"/>
      <c r="BXQ67" s="243"/>
      <c r="BXR67" s="242"/>
      <c r="BXS67" s="242"/>
      <c r="BXT67" s="242"/>
      <c r="BXU67" s="242"/>
      <c r="BXV67" s="242"/>
      <c r="BXW67" s="242"/>
      <c r="BXX67" s="242"/>
      <c r="BXY67" s="242"/>
      <c r="BXZ67" s="242"/>
      <c r="BYA67" s="108"/>
      <c r="BYB67" s="243"/>
      <c r="BYC67" s="243"/>
      <c r="BYD67" s="243"/>
      <c r="BYE67" s="242"/>
      <c r="BYF67" s="242"/>
      <c r="BYG67" s="242"/>
      <c r="BYH67" s="242"/>
      <c r="BYI67" s="242"/>
      <c r="BYJ67" s="242"/>
      <c r="BYK67" s="242"/>
      <c r="BYL67" s="242"/>
      <c r="BYM67" s="242"/>
      <c r="BYN67" s="108"/>
      <c r="BYO67" s="243"/>
      <c r="BYP67" s="243"/>
      <c r="BYQ67" s="243"/>
      <c r="BYR67" s="242"/>
      <c r="BYS67" s="242"/>
      <c r="BYT67" s="242"/>
      <c r="BYU67" s="242"/>
      <c r="BYV67" s="242"/>
      <c r="BYW67" s="242"/>
      <c r="BYX67" s="242"/>
      <c r="BYY67" s="242"/>
      <c r="BYZ67" s="242"/>
      <c r="BZA67" s="108"/>
      <c r="BZB67" s="243"/>
      <c r="BZC67" s="243"/>
      <c r="BZD67" s="243"/>
      <c r="BZE67" s="242"/>
      <c r="BZF67" s="242"/>
      <c r="BZG67" s="242"/>
      <c r="BZH67" s="242"/>
      <c r="BZI67" s="242"/>
      <c r="BZJ67" s="242"/>
      <c r="BZK67" s="242"/>
      <c r="BZL67" s="242"/>
      <c r="BZM67" s="242"/>
      <c r="BZN67" s="108"/>
      <c r="BZO67" s="243"/>
      <c r="BZP67" s="243"/>
      <c r="BZQ67" s="243"/>
      <c r="BZR67" s="242"/>
      <c r="BZS67" s="242"/>
      <c r="BZT67" s="242"/>
      <c r="BZU67" s="242"/>
      <c r="BZV67" s="242"/>
      <c r="BZW67" s="242"/>
      <c r="BZX67" s="242"/>
      <c r="BZY67" s="242"/>
      <c r="BZZ67" s="242"/>
      <c r="CAA67" s="108"/>
      <c r="CAB67" s="243"/>
      <c r="CAC67" s="243"/>
      <c r="CAD67" s="243"/>
      <c r="CAE67" s="242"/>
      <c r="CAF67" s="242"/>
      <c r="CAG67" s="242"/>
      <c r="CAH67" s="242"/>
      <c r="CAI67" s="242"/>
      <c r="CAJ67" s="242"/>
      <c r="CAK67" s="242"/>
      <c r="CAL67" s="242"/>
      <c r="CAM67" s="242"/>
      <c r="CAN67" s="108"/>
      <c r="CAO67" s="243"/>
      <c r="CAP67" s="243"/>
      <c r="CAQ67" s="243"/>
      <c r="CAR67" s="242"/>
      <c r="CAS67" s="242"/>
      <c r="CAT67" s="242"/>
      <c r="CAU67" s="242"/>
      <c r="CAV67" s="242"/>
      <c r="CAW67" s="242"/>
      <c r="CAX67" s="242"/>
      <c r="CAY67" s="242"/>
      <c r="CAZ67" s="242"/>
      <c r="CBA67" s="108"/>
      <c r="CBB67" s="243"/>
      <c r="CBC67" s="243"/>
      <c r="CBD67" s="243"/>
      <c r="CBE67" s="242"/>
      <c r="CBF67" s="242"/>
      <c r="CBG67" s="242"/>
      <c r="CBH67" s="242"/>
      <c r="CBI67" s="242"/>
      <c r="CBJ67" s="242"/>
      <c r="CBK67" s="242"/>
      <c r="CBL67" s="242"/>
      <c r="CBM67" s="242"/>
      <c r="CBN67" s="108"/>
      <c r="CBO67" s="243"/>
      <c r="CBP67" s="243"/>
      <c r="CBQ67" s="243"/>
      <c r="CBR67" s="242"/>
      <c r="CBS67" s="242"/>
      <c r="CBT67" s="242"/>
      <c r="CBU67" s="242"/>
      <c r="CBV67" s="242"/>
      <c r="CBW67" s="242"/>
      <c r="CBX67" s="242"/>
      <c r="CBY67" s="242"/>
      <c r="CBZ67" s="242"/>
      <c r="CCA67" s="108"/>
      <c r="CCB67" s="243"/>
      <c r="CCC67" s="243"/>
      <c r="CCD67" s="243"/>
      <c r="CCE67" s="242"/>
      <c r="CCF67" s="242"/>
      <c r="CCG67" s="242"/>
      <c r="CCH67" s="242"/>
      <c r="CCI67" s="242"/>
      <c r="CCJ67" s="242"/>
      <c r="CCK67" s="242"/>
      <c r="CCL67" s="242"/>
      <c r="CCM67" s="242"/>
      <c r="CCN67" s="108"/>
      <c r="CCO67" s="243"/>
      <c r="CCP67" s="243"/>
      <c r="CCQ67" s="243"/>
      <c r="CCR67" s="242"/>
      <c r="CCS67" s="242"/>
      <c r="CCT67" s="242"/>
      <c r="CCU67" s="242"/>
      <c r="CCV67" s="242"/>
      <c r="CCW67" s="242"/>
      <c r="CCX67" s="242"/>
      <c r="CCY67" s="242"/>
      <c r="CCZ67" s="242"/>
      <c r="CDA67" s="108"/>
      <c r="CDB67" s="243"/>
      <c r="CDC67" s="243"/>
      <c r="CDD67" s="243"/>
      <c r="CDE67" s="242"/>
      <c r="CDF67" s="242"/>
      <c r="CDG67" s="242"/>
      <c r="CDH67" s="242"/>
      <c r="CDI67" s="242"/>
      <c r="CDJ67" s="242"/>
      <c r="CDK67" s="242"/>
      <c r="CDL67" s="242"/>
      <c r="CDM67" s="242"/>
      <c r="CDN67" s="108"/>
      <c r="CDO67" s="243"/>
      <c r="CDP67" s="243"/>
      <c r="CDQ67" s="243"/>
      <c r="CDR67" s="242"/>
      <c r="CDS67" s="242"/>
      <c r="CDT67" s="242"/>
      <c r="CDU67" s="242"/>
      <c r="CDV67" s="242"/>
      <c r="CDW67" s="242"/>
      <c r="CDX67" s="242"/>
      <c r="CDY67" s="242"/>
      <c r="CDZ67" s="242"/>
      <c r="CEA67" s="108"/>
      <c r="CEB67" s="243"/>
      <c r="CEC67" s="243"/>
      <c r="CED67" s="243"/>
      <c r="CEE67" s="242"/>
      <c r="CEF67" s="242"/>
      <c r="CEG67" s="242"/>
      <c r="CEH67" s="242"/>
      <c r="CEI67" s="242"/>
      <c r="CEJ67" s="242"/>
      <c r="CEK67" s="242"/>
      <c r="CEL67" s="242"/>
      <c r="CEM67" s="242"/>
      <c r="CEN67" s="108"/>
      <c r="CEO67" s="243"/>
      <c r="CEP67" s="243"/>
      <c r="CEQ67" s="243"/>
      <c r="CER67" s="242"/>
      <c r="CES67" s="242"/>
      <c r="CET67" s="242"/>
      <c r="CEU67" s="242"/>
      <c r="CEV67" s="242"/>
      <c r="CEW67" s="242"/>
      <c r="CEX67" s="242"/>
      <c r="CEY67" s="242"/>
      <c r="CEZ67" s="242"/>
      <c r="CFA67" s="108"/>
      <c r="CFB67" s="243"/>
      <c r="CFC67" s="243"/>
      <c r="CFD67" s="243"/>
      <c r="CFE67" s="242"/>
      <c r="CFF67" s="242"/>
      <c r="CFG67" s="242"/>
      <c r="CFH67" s="242"/>
      <c r="CFI67" s="242"/>
      <c r="CFJ67" s="242"/>
      <c r="CFK67" s="242"/>
      <c r="CFL67" s="242"/>
      <c r="CFM67" s="242"/>
      <c r="CFN67" s="108"/>
      <c r="CFO67" s="243"/>
      <c r="CFP67" s="243"/>
      <c r="CFQ67" s="243"/>
      <c r="CFR67" s="242"/>
      <c r="CFS67" s="242"/>
      <c r="CFT67" s="242"/>
      <c r="CFU67" s="242"/>
      <c r="CFV67" s="242"/>
      <c r="CFW67" s="242"/>
      <c r="CFX67" s="242"/>
      <c r="CFY67" s="242"/>
      <c r="CFZ67" s="242"/>
      <c r="CGA67" s="108"/>
      <c r="CGB67" s="243"/>
      <c r="CGC67" s="243"/>
      <c r="CGD67" s="243"/>
      <c r="CGE67" s="242"/>
      <c r="CGF67" s="242"/>
      <c r="CGG67" s="242"/>
      <c r="CGH67" s="242"/>
      <c r="CGI67" s="242"/>
      <c r="CGJ67" s="242"/>
      <c r="CGK67" s="242"/>
      <c r="CGL67" s="242"/>
      <c r="CGM67" s="242"/>
      <c r="CGN67" s="108"/>
      <c r="CGO67" s="243"/>
      <c r="CGP67" s="243"/>
      <c r="CGQ67" s="243"/>
      <c r="CGR67" s="242"/>
      <c r="CGS67" s="242"/>
      <c r="CGT67" s="242"/>
      <c r="CGU67" s="242"/>
      <c r="CGV67" s="242"/>
      <c r="CGW67" s="242"/>
      <c r="CGX67" s="242"/>
      <c r="CGY67" s="242"/>
      <c r="CGZ67" s="242"/>
      <c r="CHA67" s="108"/>
      <c r="CHB67" s="243"/>
      <c r="CHC67" s="243"/>
      <c r="CHD67" s="243"/>
      <c r="CHE67" s="242"/>
      <c r="CHF67" s="242"/>
      <c r="CHG67" s="242"/>
      <c r="CHH67" s="242"/>
      <c r="CHI67" s="242"/>
      <c r="CHJ67" s="242"/>
      <c r="CHK67" s="242"/>
      <c r="CHL67" s="242"/>
      <c r="CHM67" s="242"/>
      <c r="CHN67" s="108"/>
      <c r="CHO67" s="243"/>
      <c r="CHP67" s="243"/>
      <c r="CHQ67" s="243"/>
      <c r="CHR67" s="242"/>
      <c r="CHS67" s="242"/>
      <c r="CHT67" s="242"/>
      <c r="CHU67" s="242"/>
      <c r="CHV67" s="242"/>
      <c r="CHW67" s="242"/>
      <c r="CHX67" s="242"/>
      <c r="CHY67" s="242"/>
      <c r="CHZ67" s="242"/>
      <c r="CIA67" s="108"/>
      <c r="CIB67" s="243"/>
      <c r="CIC67" s="243"/>
      <c r="CID67" s="243"/>
      <c r="CIE67" s="242"/>
      <c r="CIF67" s="242"/>
      <c r="CIG67" s="242"/>
      <c r="CIH67" s="242"/>
      <c r="CII67" s="242"/>
      <c r="CIJ67" s="242"/>
      <c r="CIK67" s="242"/>
      <c r="CIL67" s="242"/>
      <c r="CIM67" s="242"/>
      <c r="CIN67" s="108"/>
      <c r="CIO67" s="243"/>
      <c r="CIP67" s="243"/>
      <c r="CIQ67" s="243"/>
      <c r="CIR67" s="242"/>
      <c r="CIS67" s="242"/>
      <c r="CIT67" s="242"/>
      <c r="CIU67" s="242"/>
      <c r="CIV67" s="242"/>
      <c r="CIW67" s="242"/>
      <c r="CIX67" s="242"/>
      <c r="CIY67" s="242"/>
      <c r="CIZ67" s="242"/>
      <c r="CJA67" s="108"/>
      <c r="CJB67" s="243"/>
      <c r="CJC67" s="243"/>
      <c r="CJD67" s="243"/>
      <c r="CJE67" s="242"/>
      <c r="CJF67" s="242"/>
      <c r="CJG67" s="242"/>
      <c r="CJH67" s="242"/>
      <c r="CJI67" s="242"/>
      <c r="CJJ67" s="242"/>
      <c r="CJK67" s="242"/>
      <c r="CJL67" s="242"/>
      <c r="CJM67" s="242"/>
      <c r="CJN67" s="108"/>
      <c r="CJO67" s="243"/>
      <c r="CJP67" s="243"/>
      <c r="CJQ67" s="243"/>
      <c r="CJR67" s="242"/>
      <c r="CJS67" s="242"/>
      <c r="CJT67" s="242"/>
      <c r="CJU67" s="242"/>
      <c r="CJV67" s="242"/>
      <c r="CJW67" s="242"/>
      <c r="CJX67" s="242"/>
      <c r="CJY67" s="242"/>
      <c r="CJZ67" s="242"/>
      <c r="CKA67" s="108"/>
      <c r="CKB67" s="243"/>
      <c r="CKC67" s="243"/>
      <c r="CKD67" s="243"/>
      <c r="CKE67" s="242"/>
      <c r="CKF67" s="242"/>
      <c r="CKG67" s="242"/>
      <c r="CKH67" s="242"/>
      <c r="CKI67" s="242"/>
      <c r="CKJ67" s="242"/>
      <c r="CKK67" s="242"/>
      <c r="CKL67" s="242"/>
      <c r="CKM67" s="242"/>
      <c r="CKN67" s="108"/>
      <c r="CKO67" s="243"/>
      <c r="CKP67" s="243"/>
      <c r="CKQ67" s="243"/>
      <c r="CKR67" s="242"/>
      <c r="CKS67" s="242"/>
      <c r="CKT67" s="242"/>
      <c r="CKU67" s="242"/>
      <c r="CKV67" s="242"/>
      <c r="CKW67" s="242"/>
      <c r="CKX67" s="242"/>
      <c r="CKY67" s="242"/>
      <c r="CKZ67" s="242"/>
      <c r="CLA67" s="108"/>
      <c r="CLB67" s="243"/>
      <c r="CLC67" s="243"/>
      <c r="CLD67" s="243"/>
      <c r="CLE67" s="242"/>
      <c r="CLF67" s="242"/>
      <c r="CLG67" s="242"/>
      <c r="CLH67" s="242"/>
      <c r="CLI67" s="242"/>
      <c r="CLJ67" s="242"/>
      <c r="CLK67" s="242"/>
      <c r="CLL67" s="242"/>
      <c r="CLM67" s="242"/>
      <c r="CLN67" s="108"/>
      <c r="CLO67" s="243"/>
      <c r="CLP67" s="243"/>
      <c r="CLQ67" s="243"/>
      <c r="CLR67" s="242"/>
      <c r="CLS67" s="242"/>
      <c r="CLT67" s="242"/>
      <c r="CLU67" s="242"/>
      <c r="CLV67" s="242"/>
      <c r="CLW67" s="242"/>
      <c r="CLX67" s="242"/>
      <c r="CLY67" s="242"/>
      <c r="CLZ67" s="242"/>
      <c r="CMA67" s="108"/>
      <c r="CMB67" s="243"/>
      <c r="CMC67" s="243"/>
      <c r="CMD67" s="243"/>
      <c r="CME67" s="242"/>
      <c r="CMF67" s="242"/>
      <c r="CMG67" s="242"/>
      <c r="CMH67" s="242"/>
      <c r="CMI67" s="242"/>
      <c r="CMJ67" s="242"/>
      <c r="CMK67" s="242"/>
      <c r="CML67" s="242"/>
      <c r="CMM67" s="242"/>
      <c r="CMN67" s="108"/>
      <c r="CMO67" s="243"/>
      <c r="CMP67" s="243"/>
      <c r="CMQ67" s="243"/>
      <c r="CMR67" s="242"/>
      <c r="CMS67" s="242"/>
      <c r="CMT67" s="242"/>
      <c r="CMU67" s="242"/>
      <c r="CMV67" s="242"/>
      <c r="CMW67" s="242"/>
      <c r="CMX67" s="242"/>
      <c r="CMY67" s="242"/>
      <c r="CMZ67" s="242"/>
      <c r="CNA67" s="108"/>
      <c r="CNB67" s="243"/>
      <c r="CNC67" s="243"/>
      <c r="CND67" s="243"/>
      <c r="CNE67" s="242"/>
      <c r="CNF67" s="242"/>
      <c r="CNG67" s="242"/>
      <c r="CNH67" s="242"/>
      <c r="CNI67" s="242"/>
      <c r="CNJ67" s="242"/>
      <c r="CNK67" s="242"/>
      <c r="CNL67" s="242"/>
      <c r="CNM67" s="242"/>
      <c r="CNN67" s="108"/>
      <c r="CNO67" s="243"/>
      <c r="CNP67" s="243"/>
      <c r="CNQ67" s="243"/>
      <c r="CNR67" s="242"/>
      <c r="CNS67" s="242"/>
      <c r="CNT67" s="242"/>
      <c r="CNU67" s="242"/>
      <c r="CNV67" s="242"/>
      <c r="CNW67" s="242"/>
      <c r="CNX67" s="242"/>
      <c r="CNY67" s="242"/>
      <c r="CNZ67" s="242"/>
      <c r="COA67" s="108"/>
      <c r="COB67" s="243"/>
      <c r="COC67" s="243"/>
      <c r="COD67" s="243"/>
      <c r="COE67" s="242"/>
      <c r="COF67" s="242"/>
      <c r="COG67" s="242"/>
      <c r="COH67" s="242"/>
      <c r="COI67" s="242"/>
      <c r="COJ67" s="242"/>
      <c r="COK67" s="242"/>
      <c r="COL67" s="242"/>
      <c r="COM67" s="242"/>
      <c r="CON67" s="108"/>
      <c r="COO67" s="243"/>
      <c r="COP67" s="243"/>
      <c r="COQ67" s="243"/>
      <c r="COR67" s="242"/>
      <c r="COS67" s="242"/>
      <c r="COT67" s="242"/>
      <c r="COU67" s="242"/>
      <c r="COV67" s="242"/>
      <c r="COW67" s="242"/>
      <c r="COX67" s="242"/>
      <c r="COY67" s="242"/>
      <c r="COZ67" s="242"/>
      <c r="CPA67" s="108"/>
      <c r="CPB67" s="243"/>
      <c r="CPC67" s="243"/>
      <c r="CPD67" s="243"/>
      <c r="CPE67" s="242"/>
      <c r="CPF67" s="242"/>
      <c r="CPG67" s="242"/>
      <c r="CPH67" s="242"/>
      <c r="CPI67" s="242"/>
      <c r="CPJ67" s="242"/>
      <c r="CPK67" s="242"/>
      <c r="CPL67" s="242"/>
      <c r="CPM67" s="242"/>
      <c r="CPN67" s="108"/>
      <c r="CPO67" s="243"/>
      <c r="CPP67" s="243"/>
      <c r="CPQ67" s="243"/>
      <c r="CPR67" s="242"/>
      <c r="CPS67" s="242"/>
      <c r="CPT67" s="242"/>
      <c r="CPU67" s="242"/>
      <c r="CPV67" s="242"/>
      <c r="CPW67" s="242"/>
      <c r="CPX67" s="242"/>
      <c r="CPY67" s="242"/>
      <c r="CPZ67" s="242"/>
      <c r="CQA67" s="108"/>
      <c r="CQB67" s="243"/>
      <c r="CQC67" s="243"/>
      <c r="CQD67" s="243"/>
      <c r="CQE67" s="242"/>
      <c r="CQF67" s="242"/>
      <c r="CQG67" s="242"/>
      <c r="CQH67" s="242"/>
      <c r="CQI67" s="242"/>
      <c r="CQJ67" s="242"/>
      <c r="CQK67" s="242"/>
      <c r="CQL67" s="242"/>
      <c r="CQM67" s="242"/>
      <c r="CQN67" s="108"/>
      <c r="CQO67" s="243"/>
      <c r="CQP67" s="243"/>
      <c r="CQQ67" s="243"/>
      <c r="CQR67" s="242"/>
      <c r="CQS67" s="242"/>
      <c r="CQT67" s="242"/>
      <c r="CQU67" s="242"/>
      <c r="CQV67" s="242"/>
      <c r="CQW67" s="242"/>
      <c r="CQX67" s="242"/>
      <c r="CQY67" s="242"/>
      <c r="CQZ67" s="242"/>
      <c r="CRA67" s="108"/>
      <c r="CRB67" s="243"/>
      <c r="CRC67" s="243"/>
      <c r="CRD67" s="243"/>
      <c r="CRE67" s="242"/>
      <c r="CRF67" s="242"/>
      <c r="CRG67" s="242"/>
      <c r="CRH67" s="242"/>
      <c r="CRI67" s="242"/>
      <c r="CRJ67" s="242"/>
      <c r="CRK67" s="242"/>
      <c r="CRL67" s="242"/>
      <c r="CRM67" s="242"/>
      <c r="CRN67" s="108"/>
      <c r="CRO67" s="243"/>
      <c r="CRP67" s="243"/>
      <c r="CRQ67" s="243"/>
      <c r="CRR67" s="242"/>
      <c r="CRS67" s="242"/>
      <c r="CRT67" s="242"/>
      <c r="CRU67" s="242"/>
      <c r="CRV67" s="242"/>
      <c r="CRW67" s="242"/>
      <c r="CRX67" s="242"/>
      <c r="CRY67" s="242"/>
      <c r="CRZ67" s="242"/>
      <c r="CSA67" s="108"/>
      <c r="CSB67" s="243"/>
      <c r="CSC67" s="243"/>
      <c r="CSD67" s="243"/>
      <c r="CSE67" s="242"/>
      <c r="CSF67" s="242"/>
      <c r="CSG67" s="242"/>
      <c r="CSH67" s="242"/>
      <c r="CSI67" s="242"/>
      <c r="CSJ67" s="242"/>
      <c r="CSK67" s="242"/>
      <c r="CSL67" s="242"/>
      <c r="CSM67" s="242"/>
      <c r="CSN67" s="108"/>
      <c r="CSO67" s="243"/>
      <c r="CSP67" s="243"/>
      <c r="CSQ67" s="243"/>
      <c r="CSR67" s="242"/>
      <c r="CSS67" s="242"/>
      <c r="CST67" s="242"/>
      <c r="CSU67" s="242"/>
      <c r="CSV67" s="242"/>
      <c r="CSW67" s="242"/>
      <c r="CSX67" s="242"/>
      <c r="CSY67" s="242"/>
      <c r="CSZ67" s="242"/>
      <c r="CTA67" s="108"/>
      <c r="CTB67" s="243"/>
      <c r="CTC67" s="243"/>
      <c r="CTD67" s="243"/>
      <c r="CTE67" s="242"/>
      <c r="CTF67" s="242"/>
      <c r="CTG67" s="242"/>
      <c r="CTH67" s="242"/>
      <c r="CTI67" s="242"/>
      <c r="CTJ67" s="242"/>
      <c r="CTK67" s="242"/>
      <c r="CTL67" s="242"/>
      <c r="CTM67" s="242"/>
      <c r="CTN67" s="108"/>
      <c r="CTO67" s="243"/>
      <c r="CTP67" s="243"/>
      <c r="CTQ67" s="243"/>
      <c r="CTR67" s="242"/>
      <c r="CTS67" s="242"/>
      <c r="CTT67" s="242"/>
      <c r="CTU67" s="242"/>
      <c r="CTV67" s="242"/>
      <c r="CTW67" s="242"/>
      <c r="CTX67" s="242"/>
      <c r="CTY67" s="242"/>
      <c r="CTZ67" s="242"/>
      <c r="CUA67" s="108"/>
      <c r="CUB67" s="243"/>
      <c r="CUC67" s="243"/>
      <c r="CUD67" s="243"/>
      <c r="CUE67" s="242"/>
      <c r="CUF67" s="242"/>
      <c r="CUG67" s="242"/>
      <c r="CUH67" s="242"/>
      <c r="CUI67" s="242"/>
      <c r="CUJ67" s="242"/>
      <c r="CUK67" s="242"/>
      <c r="CUL67" s="242"/>
      <c r="CUM67" s="242"/>
      <c r="CUN67" s="108"/>
      <c r="CUO67" s="243"/>
      <c r="CUP67" s="243"/>
      <c r="CUQ67" s="243"/>
      <c r="CUR67" s="242"/>
      <c r="CUS67" s="242"/>
      <c r="CUT67" s="242"/>
      <c r="CUU67" s="242"/>
      <c r="CUV67" s="242"/>
      <c r="CUW67" s="242"/>
      <c r="CUX67" s="242"/>
      <c r="CUY67" s="242"/>
      <c r="CUZ67" s="242"/>
      <c r="CVA67" s="108"/>
      <c r="CVB67" s="243"/>
      <c r="CVC67" s="243"/>
      <c r="CVD67" s="243"/>
      <c r="CVE67" s="242"/>
      <c r="CVF67" s="242"/>
      <c r="CVG67" s="242"/>
      <c r="CVH67" s="242"/>
      <c r="CVI67" s="242"/>
      <c r="CVJ67" s="242"/>
      <c r="CVK67" s="242"/>
      <c r="CVL67" s="242"/>
      <c r="CVM67" s="242"/>
      <c r="CVN67" s="108"/>
      <c r="CVO67" s="243"/>
      <c r="CVP67" s="243"/>
      <c r="CVQ67" s="243"/>
      <c r="CVR67" s="242"/>
      <c r="CVS67" s="242"/>
      <c r="CVT67" s="242"/>
      <c r="CVU67" s="242"/>
      <c r="CVV67" s="242"/>
      <c r="CVW67" s="242"/>
      <c r="CVX67" s="242"/>
      <c r="CVY67" s="242"/>
      <c r="CVZ67" s="242"/>
      <c r="CWA67" s="108"/>
      <c r="CWB67" s="243"/>
      <c r="CWC67" s="243"/>
      <c r="CWD67" s="243"/>
      <c r="CWE67" s="242"/>
      <c r="CWF67" s="242"/>
      <c r="CWG67" s="242"/>
      <c r="CWH67" s="242"/>
      <c r="CWI67" s="242"/>
      <c r="CWJ67" s="242"/>
      <c r="CWK67" s="242"/>
      <c r="CWL67" s="242"/>
      <c r="CWM67" s="242"/>
      <c r="CWN67" s="108"/>
      <c r="CWO67" s="243"/>
      <c r="CWP67" s="243"/>
      <c r="CWQ67" s="243"/>
      <c r="CWR67" s="242"/>
      <c r="CWS67" s="242"/>
      <c r="CWT67" s="242"/>
      <c r="CWU67" s="242"/>
      <c r="CWV67" s="242"/>
      <c r="CWW67" s="242"/>
      <c r="CWX67" s="242"/>
      <c r="CWY67" s="242"/>
      <c r="CWZ67" s="242"/>
      <c r="CXA67" s="108"/>
      <c r="CXB67" s="243"/>
      <c r="CXC67" s="243"/>
      <c r="CXD67" s="243"/>
      <c r="CXE67" s="242"/>
      <c r="CXF67" s="242"/>
      <c r="CXG67" s="242"/>
      <c r="CXH67" s="242"/>
      <c r="CXI67" s="242"/>
      <c r="CXJ67" s="242"/>
      <c r="CXK67" s="242"/>
      <c r="CXL67" s="242"/>
      <c r="CXM67" s="242"/>
      <c r="CXN67" s="108"/>
      <c r="CXO67" s="243"/>
      <c r="CXP67" s="243"/>
      <c r="CXQ67" s="243"/>
      <c r="CXR67" s="242"/>
      <c r="CXS67" s="242"/>
      <c r="CXT67" s="242"/>
      <c r="CXU67" s="242"/>
      <c r="CXV67" s="242"/>
      <c r="CXW67" s="242"/>
      <c r="CXX67" s="242"/>
      <c r="CXY67" s="242"/>
      <c r="CXZ67" s="242"/>
      <c r="CYA67" s="108"/>
      <c r="CYB67" s="243"/>
      <c r="CYC67" s="243"/>
      <c r="CYD67" s="243"/>
      <c r="CYE67" s="242"/>
      <c r="CYF67" s="242"/>
      <c r="CYG67" s="242"/>
      <c r="CYH67" s="242"/>
      <c r="CYI67" s="242"/>
      <c r="CYJ67" s="242"/>
      <c r="CYK67" s="242"/>
      <c r="CYL67" s="242"/>
      <c r="CYM67" s="242"/>
      <c r="CYN67" s="108"/>
      <c r="CYO67" s="243"/>
      <c r="CYP67" s="243"/>
      <c r="CYQ67" s="243"/>
      <c r="CYR67" s="242"/>
      <c r="CYS67" s="242"/>
      <c r="CYT67" s="242"/>
      <c r="CYU67" s="242"/>
      <c r="CYV67" s="242"/>
      <c r="CYW67" s="242"/>
      <c r="CYX67" s="242"/>
      <c r="CYY67" s="242"/>
      <c r="CYZ67" s="242"/>
      <c r="CZA67" s="108"/>
      <c r="CZB67" s="243"/>
      <c r="CZC67" s="243"/>
      <c r="CZD67" s="243"/>
      <c r="CZE67" s="242"/>
      <c r="CZF67" s="242"/>
      <c r="CZG67" s="242"/>
      <c r="CZH67" s="242"/>
      <c r="CZI67" s="242"/>
      <c r="CZJ67" s="242"/>
      <c r="CZK67" s="242"/>
      <c r="CZL67" s="242"/>
      <c r="CZM67" s="242"/>
      <c r="CZN67" s="108"/>
      <c r="CZO67" s="243"/>
      <c r="CZP67" s="243"/>
      <c r="CZQ67" s="243"/>
      <c r="CZR67" s="242"/>
      <c r="CZS67" s="242"/>
      <c r="CZT67" s="242"/>
      <c r="CZU67" s="242"/>
      <c r="CZV67" s="242"/>
      <c r="CZW67" s="242"/>
      <c r="CZX67" s="242"/>
      <c r="CZY67" s="242"/>
      <c r="CZZ67" s="242"/>
      <c r="DAA67" s="108"/>
      <c r="DAB67" s="243"/>
      <c r="DAC67" s="243"/>
      <c r="DAD67" s="243"/>
      <c r="DAE67" s="242"/>
      <c r="DAF67" s="242"/>
      <c r="DAG67" s="242"/>
      <c r="DAH67" s="242"/>
      <c r="DAI67" s="242"/>
      <c r="DAJ67" s="242"/>
      <c r="DAK67" s="242"/>
      <c r="DAL67" s="242"/>
      <c r="DAM67" s="242"/>
      <c r="DAN67" s="108"/>
      <c r="DAO67" s="243"/>
      <c r="DAP67" s="243"/>
      <c r="DAQ67" s="243"/>
      <c r="DAR67" s="242"/>
      <c r="DAS67" s="242"/>
      <c r="DAT67" s="242"/>
      <c r="DAU67" s="242"/>
      <c r="DAV67" s="242"/>
      <c r="DAW67" s="242"/>
      <c r="DAX67" s="242"/>
      <c r="DAY67" s="242"/>
      <c r="DAZ67" s="242"/>
      <c r="DBA67" s="108"/>
      <c r="DBB67" s="243"/>
      <c r="DBC67" s="243"/>
      <c r="DBD67" s="243"/>
      <c r="DBE67" s="242"/>
      <c r="DBF67" s="242"/>
      <c r="DBG67" s="242"/>
      <c r="DBH67" s="242"/>
      <c r="DBI67" s="242"/>
      <c r="DBJ67" s="242"/>
      <c r="DBK67" s="242"/>
      <c r="DBL67" s="242"/>
      <c r="DBM67" s="242"/>
      <c r="DBN67" s="108"/>
      <c r="DBO67" s="243"/>
      <c r="DBP67" s="243"/>
      <c r="DBQ67" s="243"/>
      <c r="DBR67" s="242"/>
      <c r="DBS67" s="242"/>
      <c r="DBT67" s="242"/>
      <c r="DBU67" s="242"/>
      <c r="DBV67" s="242"/>
      <c r="DBW67" s="242"/>
      <c r="DBX67" s="242"/>
      <c r="DBY67" s="242"/>
      <c r="DBZ67" s="242"/>
      <c r="DCA67" s="108"/>
      <c r="DCB67" s="243"/>
      <c r="DCC67" s="243"/>
      <c r="DCD67" s="243"/>
      <c r="DCE67" s="242"/>
      <c r="DCF67" s="242"/>
      <c r="DCG67" s="242"/>
      <c r="DCH67" s="242"/>
      <c r="DCI67" s="242"/>
      <c r="DCJ67" s="242"/>
      <c r="DCK67" s="242"/>
      <c r="DCL67" s="242"/>
      <c r="DCM67" s="242"/>
      <c r="DCN67" s="108"/>
      <c r="DCO67" s="243"/>
      <c r="DCP67" s="243"/>
      <c r="DCQ67" s="243"/>
      <c r="DCR67" s="242"/>
      <c r="DCS67" s="242"/>
      <c r="DCT67" s="242"/>
      <c r="DCU67" s="242"/>
      <c r="DCV67" s="242"/>
      <c r="DCW67" s="242"/>
      <c r="DCX67" s="242"/>
      <c r="DCY67" s="242"/>
      <c r="DCZ67" s="242"/>
      <c r="DDA67" s="108"/>
      <c r="DDB67" s="243"/>
      <c r="DDC67" s="243"/>
      <c r="DDD67" s="243"/>
      <c r="DDE67" s="242"/>
      <c r="DDF67" s="242"/>
      <c r="DDG67" s="242"/>
      <c r="DDH67" s="242"/>
      <c r="DDI67" s="242"/>
      <c r="DDJ67" s="242"/>
      <c r="DDK67" s="242"/>
      <c r="DDL67" s="242"/>
      <c r="DDM67" s="242"/>
      <c r="DDN67" s="108"/>
      <c r="DDO67" s="243"/>
      <c r="DDP67" s="243"/>
      <c r="DDQ67" s="243"/>
      <c r="DDR67" s="242"/>
      <c r="DDS67" s="242"/>
      <c r="DDT67" s="242"/>
      <c r="DDU67" s="242"/>
      <c r="DDV67" s="242"/>
      <c r="DDW67" s="242"/>
      <c r="DDX67" s="242"/>
      <c r="DDY67" s="242"/>
      <c r="DDZ67" s="242"/>
      <c r="DEA67" s="108"/>
      <c r="DEB67" s="243"/>
      <c r="DEC67" s="243"/>
      <c r="DED67" s="243"/>
      <c r="DEE67" s="242"/>
      <c r="DEF67" s="242"/>
      <c r="DEG67" s="242"/>
      <c r="DEH67" s="242"/>
      <c r="DEI67" s="242"/>
      <c r="DEJ67" s="242"/>
      <c r="DEK67" s="242"/>
      <c r="DEL67" s="242"/>
      <c r="DEM67" s="242"/>
      <c r="DEN67" s="108"/>
      <c r="DEO67" s="243"/>
      <c r="DEP67" s="243"/>
      <c r="DEQ67" s="243"/>
      <c r="DER67" s="242"/>
      <c r="DES67" s="242"/>
      <c r="DET67" s="242"/>
      <c r="DEU67" s="242"/>
      <c r="DEV67" s="242"/>
      <c r="DEW67" s="242"/>
      <c r="DEX67" s="242"/>
      <c r="DEY67" s="242"/>
      <c r="DEZ67" s="242"/>
      <c r="DFA67" s="108"/>
      <c r="DFB67" s="243"/>
      <c r="DFC67" s="243"/>
      <c r="DFD67" s="243"/>
      <c r="DFE67" s="242"/>
      <c r="DFF67" s="242"/>
      <c r="DFG67" s="242"/>
      <c r="DFH67" s="242"/>
      <c r="DFI67" s="242"/>
      <c r="DFJ67" s="242"/>
      <c r="DFK67" s="242"/>
      <c r="DFL67" s="242"/>
      <c r="DFM67" s="242"/>
      <c r="DFN67" s="108"/>
      <c r="DFO67" s="243"/>
      <c r="DFP67" s="243"/>
      <c r="DFQ67" s="243"/>
      <c r="DFR67" s="242"/>
      <c r="DFS67" s="242"/>
      <c r="DFT67" s="242"/>
      <c r="DFU67" s="242"/>
      <c r="DFV67" s="242"/>
      <c r="DFW67" s="242"/>
      <c r="DFX67" s="242"/>
      <c r="DFY67" s="242"/>
      <c r="DFZ67" s="242"/>
      <c r="DGA67" s="108"/>
      <c r="DGB67" s="243"/>
      <c r="DGC67" s="243"/>
      <c r="DGD67" s="243"/>
      <c r="DGE67" s="242"/>
      <c r="DGF67" s="242"/>
      <c r="DGG67" s="242"/>
      <c r="DGH67" s="242"/>
      <c r="DGI67" s="242"/>
      <c r="DGJ67" s="242"/>
      <c r="DGK67" s="242"/>
      <c r="DGL67" s="242"/>
      <c r="DGM67" s="242"/>
      <c r="DGN67" s="108"/>
      <c r="DGO67" s="243"/>
      <c r="DGP67" s="243"/>
      <c r="DGQ67" s="243"/>
      <c r="DGR67" s="242"/>
      <c r="DGS67" s="242"/>
      <c r="DGT67" s="242"/>
      <c r="DGU67" s="242"/>
      <c r="DGV67" s="242"/>
      <c r="DGW67" s="242"/>
      <c r="DGX67" s="242"/>
      <c r="DGY67" s="242"/>
      <c r="DGZ67" s="242"/>
      <c r="DHA67" s="108"/>
      <c r="DHB67" s="243"/>
      <c r="DHC67" s="243"/>
      <c r="DHD67" s="243"/>
      <c r="DHE67" s="242"/>
      <c r="DHF67" s="242"/>
      <c r="DHG67" s="242"/>
      <c r="DHH67" s="242"/>
      <c r="DHI67" s="242"/>
      <c r="DHJ67" s="242"/>
      <c r="DHK67" s="242"/>
      <c r="DHL67" s="242"/>
      <c r="DHM67" s="242"/>
      <c r="DHN67" s="108"/>
      <c r="DHO67" s="243"/>
      <c r="DHP67" s="243"/>
      <c r="DHQ67" s="243"/>
      <c r="DHR67" s="242"/>
      <c r="DHS67" s="242"/>
      <c r="DHT67" s="242"/>
      <c r="DHU67" s="242"/>
      <c r="DHV67" s="242"/>
      <c r="DHW67" s="242"/>
      <c r="DHX67" s="242"/>
      <c r="DHY67" s="242"/>
      <c r="DHZ67" s="242"/>
      <c r="DIA67" s="108"/>
      <c r="DIB67" s="243"/>
      <c r="DIC67" s="243"/>
      <c r="DID67" s="243"/>
      <c r="DIE67" s="242"/>
      <c r="DIF67" s="242"/>
      <c r="DIG67" s="242"/>
      <c r="DIH67" s="242"/>
      <c r="DII67" s="242"/>
      <c r="DIJ67" s="242"/>
      <c r="DIK67" s="242"/>
      <c r="DIL67" s="242"/>
      <c r="DIM67" s="242"/>
      <c r="DIN67" s="108"/>
      <c r="DIO67" s="243"/>
      <c r="DIP67" s="243"/>
      <c r="DIQ67" s="243"/>
      <c r="DIR67" s="242"/>
      <c r="DIS67" s="242"/>
      <c r="DIT67" s="242"/>
      <c r="DIU67" s="242"/>
      <c r="DIV67" s="242"/>
      <c r="DIW67" s="242"/>
      <c r="DIX67" s="242"/>
      <c r="DIY67" s="242"/>
      <c r="DIZ67" s="242"/>
      <c r="DJA67" s="108"/>
      <c r="DJB67" s="243"/>
      <c r="DJC67" s="243"/>
      <c r="DJD67" s="243"/>
      <c r="DJE67" s="242"/>
      <c r="DJF67" s="242"/>
      <c r="DJG67" s="242"/>
      <c r="DJH67" s="242"/>
      <c r="DJI67" s="242"/>
      <c r="DJJ67" s="242"/>
      <c r="DJK67" s="242"/>
      <c r="DJL67" s="242"/>
      <c r="DJM67" s="242"/>
      <c r="DJN67" s="108"/>
      <c r="DJO67" s="243"/>
      <c r="DJP67" s="243"/>
      <c r="DJQ67" s="243"/>
      <c r="DJR67" s="242"/>
      <c r="DJS67" s="242"/>
      <c r="DJT67" s="242"/>
      <c r="DJU67" s="242"/>
      <c r="DJV67" s="242"/>
      <c r="DJW67" s="242"/>
      <c r="DJX67" s="242"/>
      <c r="DJY67" s="242"/>
      <c r="DJZ67" s="242"/>
      <c r="DKA67" s="108"/>
      <c r="DKB67" s="243"/>
      <c r="DKC67" s="243"/>
      <c r="DKD67" s="243"/>
      <c r="DKE67" s="242"/>
      <c r="DKF67" s="242"/>
      <c r="DKG67" s="242"/>
      <c r="DKH67" s="242"/>
      <c r="DKI67" s="242"/>
      <c r="DKJ67" s="242"/>
      <c r="DKK67" s="242"/>
      <c r="DKL67" s="242"/>
      <c r="DKM67" s="242"/>
      <c r="DKN67" s="108"/>
      <c r="DKO67" s="243"/>
      <c r="DKP67" s="243"/>
      <c r="DKQ67" s="243"/>
      <c r="DKR67" s="242"/>
      <c r="DKS67" s="242"/>
      <c r="DKT67" s="242"/>
      <c r="DKU67" s="242"/>
      <c r="DKV67" s="242"/>
      <c r="DKW67" s="242"/>
      <c r="DKX67" s="242"/>
      <c r="DKY67" s="242"/>
      <c r="DKZ67" s="242"/>
      <c r="DLA67" s="108"/>
      <c r="DLB67" s="243"/>
      <c r="DLC67" s="243"/>
      <c r="DLD67" s="243"/>
      <c r="DLE67" s="242"/>
      <c r="DLF67" s="242"/>
      <c r="DLG67" s="242"/>
      <c r="DLH67" s="242"/>
      <c r="DLI67" s="242"/>
      <c r="DLJ67" s="242"/>
      <c r="DLK67" s="242"/>
      <c r="DLL67" s="242"/>
      <c r="DLM67" s="242"/>
      <c r="DLN67" s="108"/>
      <c r="DLO67" s="243"/>
      <c r="DLP67" s="243"/>
      <c r="DLQ67" s="243"/>
      <c r="DLR67" s="242"/>
      <c r="DLS67" s="242"/>
      <c r="DLT67" s="242"/>
      <c r="DLU67" s="242"/>
      <c r="DLV67" s="242"/>
      <c r="DLW67" s="242"/>
      <c r="DLX67" s="242"/>
      <c r="DLY67" s="242"/>
      <c r="DLZ67" s="242"/>
      <c r="DMA67" s="108"/>
      <c r="DMB67" s="243"/>
      <c r="DMC67" s="243"/>
      <c r="DMD67" s="243"/>
      <c r="DME67" s="242"/>
      <c r="DMF67" s="242"/>
      <c r="DMG67" s="242"/>
      <c r="DMH67" s="242"/>
      <c r="DMI67" s="242"/>
      <c r="DMJ67" s="242"/>
      <c r="DMK67" s="242"/>
      <c r="DML67" s="242"/>
      <c r="DMM67" s="242"/>
      <c r="DMN67" s="108"/>
      <c r="DMO67" s="243"/>
      <c r="DMP67" s="243"/>
      <c r="DMQ67" s="243"/>
      <c r="DMR67" s="242"/>
      <c r="DMS67" s="242"/>
      <c r="DMT67" s="242"/>
      <c r="DMU67" s="242"/>
      <c r="DMV67" s="242"/>
      <c r="DMW67" s="242"/>
      <c r="DMX67" s="242"/>
      <c r="DMY67" s="242"/>
      <c r="DMZ67" s="242"/>
      <c r="DNA67" s="108"/>
      <c r="DNB67" s="243"/>
      <c r="DNC67" s="243"/>
      <c r="DND67" s="243"/>
      <c r="DNE67" s="242"/>
      <c r="DNF67" s="242"/>
      <c r="DNG67" s="242"/>
      <c r="DNH67" s="242"/>
      <c r="DNI67" s="242"/>
      <c r="DNJ67" s="242"/>
      <c r="DNK67" s="242"/>
      <c r="DNL67" s="242"/>
      <c r="DNM67" s="242"/>
      <c r="DNN67" s="108"/>
      <c r="DNO67" s="243"/>
      <c r="DNP67" s="243"/>
      <c r="DNQ67" s="243"/>
      <c r="DNR67" s="242"/>
      <c r="DNS67" s="242"/>
      <c r="DNT67" s="242"/>
      <c r="DNU67" s="242"/>
      <c r="DNV67" s="242"/>
      <c r="DNW67" s="242"/>
      <c r="DNX67" s="242"/>
      <c r="DNY67" s="242"/>
      <c r="DNZ67" s="242"/>
      <c r="DOA67" s="108"/>
      <c r="DOB67" s="243"/>
      <c r="DOC67" s="243"/>
      <c r="DOD67" s="243"/>
      <c r="DOE67" s="242"/>
      <c r="DOF67" s="242"/>
      <c r="DOG67" s="242"/>
      <c r="DOH67" s="242"/>
      <c r="DOI67" s="242"/>
      <c r="DOJ67" s="242"/>
      <c r="DOK67" s="242"/>
      <c r="DOL67" s="242"/>
      <c r="DOM67" s="242"/>
      <c r="DON67" s="108"/>
      <c r="DOO67" s="243"/>
      <c r="DOP67" s="243"/>
      <c r="DOQ67" s="243"/>
      <c r="DOR67" s="242"/>
      <c r="DOS67" s="242"/>
      <c r="DOT67" s="242"/>
      <c r="DOU67" s="242"/>
      <c r="DOV67" s="242"/>
      <c r="DOW67" s="242"/>
      <c r="DOX67" s="242"/>
      <c r="DOY67" s="242"/>
      <c r="DOZ67" s="242"/>
      <c r="DPA67" s="108"/>
      <c r="DPB67" s="243"/>
      <c r="DPC67" s="243"/>
      <c r="DPD67" s="243"/>
      <c r="DPE67" s="242"/>
      <c r="DPF67" s="242"/>
      <c r="DPG67" s="242"/>
      <c r="DPH67" s="242"/>
      <c r="DPI67" s="242"/>
      <c r="DPJ67" s="242"/>
      <c r="DPK67" s="242"/>
      <c r="DPL67" s="242"/>
      <c r="DPM67" s="242"/>
      <c r="DPN67" s="108"/>
      <c r="DPO67" s="243"/>
      <c r="DPP67" s="243"/>
      <c r="DPQ67" s="243"/>
      <c r="DPR67" s="242"/>
      <c r="DPS67" s="242"/>
      <c r="DPT67" s="242"/>
      <c r="DPU67" s="242"/>
      <c r="DPV67" s="242"/>
      <c r="DPW67" s="242"/>
      <c r="DPX67" s="242"/>
      <c r="DPY67" s="242"/>
      <c r="DPZ67" s="242"/>
      <c r="DQA67" s="108"/>
      <c r="DQB67" s="243"/>
      <c r="DQC67" s="243"/>
      <c r="DQD67" s="243"/>
      <c r="DQE67" s="242"/>
      <c r="DQF67" s="242"/>
      <c r="DQG67" s="242"/>
      <c r="DQH67" s="242"/>
      <c r="DQI67" s="242"/>
      <c r="DQJ67" s="242"/>
      <c r="DQK67" s="242"/>
      <c r="DQL67" s="242"/>
      <c r="DQM67" s="242"/>
      <c r="DQN67" s="108"/>
      <c r="DQO67" s="243"/>
      <c r="DQP67" s="243"/>
      <c r="DQQ67" s="243"/>
      <c r="DQR67" s="242"/>
      <c r="DQS67" s="242"/>
      <c r="DQT67" s="242"/>
      <c r="DQU67" s="242"/>
      <c r="DQV67" s="242"/>
      <c r="DQW67" s="242"/>
      <c r="DQX67" s="242"/>
      <c r="DQY67" s="242"/>
      <c r="DQZ67" s="242"/>
      <c r="DRA67" s="108"/>
      <c r="DRB67" s="243"/>
      <c r="DRC67" s="243"/>
      <c r="DRD67" s="243"/>
      <c r="DRE67" s="242"/>
      <c r="DRF67" s="242"/>
      <c r="DRG67" s="242"/>
      <c r="DRH67" s="242"/>
      <c r="DRI67" s="242"/>
      <c r="DRJ67" s="242"/>
      <c r="DRK67" s="242"/>
      <c r="DRL67" s="242"/>
      <c r="DRM67" s="242"/>
      <c r="DRN67" s="108"/>
      <c r="DRO67" s="243"/>
      <c r="DRP67" s="243"/>
      <c r="DRQ67" s="243"/>
      <c r="DRR67" s="242"/>
      <c r="DRS67" s="242"/>
      <c r="DRT67" s="242"/>
      <c r="DRU67" s="242"/>
      <c r="DRV67" s="242"/>
      <c r="DRW67" s="242"/>
      <c r="DRX67" s="242"/>
      <c r="DRY67" s="242"/>
      <c r="DRZ67" s="242"/>
      <c r="DSA67" s="108"/>
      <c r="DSB67" s="243"/>
      <c r="DSC67" s="243"/>
      <c r="DSD67" s="243"/>
      <c r="DSE67" s="242"/>
      <c r="DSF67" s="242"/>
      <c r="DSG67" s="242"/>
      <c r="DSH67" s="242"/>
      <c r="DSI67" s="242"/>
      <c r="DSJ67" s="242"/>
      <c r="DSK67" s="242"/>
      <c r="DSL67" s="242"/>
      <c r="DSM67" s="242"/>
      <c r="DSN67" s="108"/>
      <c r="DSO67" s="243"/>
      <c r="DSP67" s="243"/>
      <c r="DSQ67" s="243"/>
      <c r="DSR67" s="242"/>
      <c r="DSS67" s="242"/>
      <c r="DST67" s="242"/>
      <c r="DSU67" s="242"/>
      <c r="DSV67" s="242"/>
      <c r="DSW67" s="242"/>
      <c r="DSX67" s="242"/>
      <c r="DSY67" s="242"/>
      <c r="DSZ67" s="242"/>
      <c r="DTA67" s="108"/>
      <c r="DTB67" s="243"/>
      <c r="DTC67" s="243"/>
      <c r="DTD67" s="243"/>
      <c r="DTE67" s="242"/>
      <c r="DTF67" s="242"/>
      <c r="DTG67" s="242"/>
      <c r="DTH67" s="242"/>
      <c r="DTI67" s="242"/>
      <c r="DTJ67" s="242"/>
      <c r="DTK67" s="242"/>
      <c r="DTL67" s="242"/>
      <c r="DTM67" s="242"/>
      <c r="DTN67" s="108"/>
      <c r="DTO67" s="243"/>
      <c r="DTP67" s="243"/>
      <c r="DTQ67" s="243"/>
      <c r="DTR67" s="242"/>
      <c r="DTS67" s="242"/>
      <c r="DTT67" s="242"/>
      <c r="DTU67" s="242"/>
      <c r="DTV67" s="242"/>
      <c r="DTW67" s="242"/>
      <c r="DTX67" s="242"/>
      <c r="DTY67" s="242"/>
      <c r="DTZ67" s="242"/>
      <c r="DUA67" s="108"/>
      <c r="DUB67" s="243"/>
      <c r="DUC67" s="243"/>
      <c r="DUD67" s="243"/>
      <c r="DUE67" s="242"/>
      <c r="DUF67" s="242"/>
      <c r="DUG67" s="242"/>
      <c r="DUH67" s="242"/>
      <c r="DUI67" s="242"/>
      <c r="DUJ67" s="242"/>
      <c r="DUK67" s="242"/>
      <c r="DUL67" s="242"/>
      <c r="DUM67" s="242"/>
      <c r="DUN67" s="108"/>
      <c r="DUO67" s="243"/>
      <c r="DUP67" s="243"/>
      <c r="DUQ67" s="243"/>
      <c r="DUR67" s="242"/>
      <c r="DUS67" s="242"/>
      <c r="DUT67" s="242"/>
      <c r="DUU67" s="242"/>
      <c r="DUV67" s="242"/>
      <c r="DUW67" s="242"/>
      <c r="DUX67" s="242"/>
      <c r="DUY67" s="242"/>
      <c r="DUZ67" s="242"/>
      <c r="DVA67" s="108"/>
      <c r="DVB67" s="243"/>
      <c r="DVC67" s="243"/>
      <c r="DVD67" s="243"/>
      <c r="DVE67" s="242"/>
      <c r="DVF67" s="242"/>
      <c r="DVG67" s="242"/>
      <c r="DVH67" s="242"/>
      <c r="DVI67" s="242"/>
      <c r="DVJ67" s="242"/>
      <c r="DVK67" s="242"/>
      <c r="DVL67" s="242"/>
      <c r="DVM67" s="242"/>
      <c r="DVN67" s="108"/>
      <c r="DVO67" s="243"/>
      <c r="DVP67" s="243"/>
      <c r="DVQ67" s="243"/>
      <c r="DVR67" s="242"/>
      <c r="DVS67" s="242"/>
      <c r="DVT67" s="242"/>
      <c r="DVU67" s="242"/>
      <c r="DVV67" s="242"/>
      <c r="DVW67" s="242"/>
      <c r="DVX67" s="242"/>
      <c r="DVY67" s="242"/>
      <c r="DVZ67" s="242"/>
      <c r="DWA67" s="108"/>
      <c r="DWB67" s="243"/>
      <c r="DWC67" s="243"/>
      <c r="DWD67" s="243"/>
      <c r="DWE67" s="242"/>
      <c r="DWF67" s="242"/>
      <c r="DWG67" s="242"/>
      <c r="DWH67" s="242"/>
      <c r="DWI67" s="242"/>
      <c r="DWJ67" s="242"/>
      <c r="DWK67" s="242"/>
      <c r="DWL67" s="242"/>
      <c r="DWM67" s="242"/>
      <c r="DWN67" s="108"/>
      <c r="DWO67" s="243"/>
      <c r="DWP67" s="243"/>
      <c r="DWQ67" s="243"/>
      <c r="DWR67" s="242"/>
      <c r="DWS67" s="242"/>
      <c r="DWT67" s="242"/>
      <c r="DWU67" s="242"/>
      <c r="DWV67" s="242"/>
      <c r="DWW67" s="242"/>
      <c r="DWX67" s="242"/>
      <c r="DWY67" s="242"/>
      <c r="DWZ67" s="242"/>
      <c r="DXA67" s="108"/>
      <c r="DXB67" s="243"/>
      <c r="DXC67" s="243"/>
      <c r="DXD67" s="243"/>
      <c r="DXE67" s="242"/>
      <c r="DXF67" s="242"/>
      <c r="DXG67" s="242"/>
      <c r="DXH67" s="242"/>
      <c r="DXI67" s="242"/>
      <c r="DXJ67" s="242"/>
      <c r="DXK67" s="242"/>
      <c r="DXL67" s="242"/>
      <c r="DXM67" s="242"/>
      <c r="DXN67" s="108"/>
      <c r="DXO67" s="243"/>
      <c r="DXP67" s="243"/>
      <c r="DXQ67" s="243"/>
      <c r="DXR67" s="242"/>
      <c r="DXS67" s="242"/>
      <c r="DXT67" s="242"/>
      <c r="DXU67" s="242"/>
      <c r="DXV67" s="242"/>
      <c r="DXW67" s="242"/>
      <c r="DXX67" s="242"/>
      <c r="DXY67" s="242"/>
      <c r="DXZ67" s="242"/>
      <c r="DYA67" s="108"/>
      <c r="DYB67" s="243"/>
      <c r="DYC67" s="243"/>
      <c r="DYD67" s="243"/>
      <c r="DYE67" s="242"/>
      <c r="DYF67" s="242"/>
      <c r="DYG67" s="242"/>
      <c r="DYH67" s="242"/>
      <c r="DYI67" s="242"/>
      <c r="DYJ67" s="242"/>
      <c r="DYK67" s="242"/>
      <c r="DYL67" s="242"/>
      <c r="DYM67" s="242"/>
      <c r="DYN67" s="108"/>
      <c r="DYO67" s="243"/>
      <c r="DYP67" s="243"/>
      <c r="DYQ67" s="243"/>
      <c r="DYR67" s="242"/>
      <c r="DYS67" s="242"/>
      <c r="DYT67" s="242"/>
      <c r="DYU67" s="242"/>
      <c r="DYV67" s="242"/>
      <c r="DYW67" s="242"/>
      <c r="DYX67" s="242"/>
      <c r="DYY67" s="242"/>
      <c r="DYZ67" s="242"/>
      <c r="DZA67" s="108"/>
      <c r="DZB67" s="243"/>
      <c r="DZC67" s="243"/>
      <c r="DZD67" s="243"/>
      <c r="DZE67" s="242"/>
      <c r="DZF67" s="242"/>
      <c r="DZG67" s="242"/>
      <c r="DZH67" s="242"/>
      <c r="DZI67" s="242"/>
      <c r="DZJ67" s="242"/>
      <c r="DZK67" s="242"/>
      <c r="DZL67" s="242"/>
      <c r="DZM67" s="242"/>
      <c r="DZN67" s="108"/>
      <c r="DZO67" s="243"/>
      <c r="DZP67" s="243"/>
      <c r="DZQ67" s="243"/>
      <c r="DZR67" s="242"/>
      <c r="DZS67" s="242"/>
      <c r="DZT67" s="242"/>
      <c r="DZU67" s="242"/>
      <c r="DZV67" s="242"/>
      <c r="DZW67" s="242"/>
      <c r="DZX67" s="242"/>
      <c r="DZY67" s="242"/>
      <c r="DZZ67" s="242"/>
      <c r="EAA67" s="108"/>
      <c r="EAB67" s="243"/>
      <c r="EAC67" s="243"/>
      <c r="EAD67" s="243"/>
      <c r="EAE67" s="242"/>
      <c r="EAF67" s="242"/>
      <c r="EAG67" s="242"/>
      <c r="EAH67" s="242"/>
      <c r="EAI67" s="242"/>
      <c r="EAJ67" s="242"/>
      <c r="EAK67" s="242"/>
      <c r="EAL67" s="242"/>
      <c r="EAM67" s="242"/>
      <c r="EAN67" s="108"/>
      <c r="EAO67" s="243"/>
      <c r="EAP67" s="243"/>
      <c r="EAQ67" s="243"/>
      <c r="EAR67" s="242"/>
      <c r="EAS67" s="242"/>
      <c r="EAT67" s="242"/>
      <c r="EAU67" s="242"/>
      <c r="EAV67" s="242"/>
      <c r="EAW67" s="242"/>
      <c r="EAX67" s="242"/>
      <c r="EAY67" s="242"/>
      <c r="EAZ67" s="242"/>
      <c r="EBA67" s="108"/>
      <c r="EBB67" s="243"/>
      <c r="EBC67" s="243"/>
      <c r="EBD67" s="243"/>
      <c r="EBE67" s="242"/>
      <c r="EBF67" s="242"/>
      <c r="EBG67" s="242"/>
      <c r="EBH67" s="242"/>
      <c r="EBI67" s="242"/>
      <c r="EBJ67" s="242"/>
      <c r="EBK67" s="242"/>
      <c r="EBL67" s="242"/>
      <c r="EBM67" s="242"/>
      <c r="EBN67" s="108"/>
      <c r="EBO67" s="243"/>
      <c r="EBP67" s="243"/>
      <c r="EBQ67" s="243"/>
      <c r="EBR67" s="242"/>
      <c r="EBS67" s="242"/>
      <c r="EBT67" s="242"/>
      <c r="EBU67" s="242"/>
      <c r="EBV67" s="242"/>
      <c r="EBW67" s="242"/>
      <c r="EBX67" s="242"/>
      <c r="EBY67" s="242"/>
      <c r="EBZ67" s="242"/>
      <c r="ECA67" s="108"/>
      <c r="ECB67" s="243"/>
      <c r="ECC67" s="243"/>
      <c r="ECD67" s="243"/>
      <c r="ECE67" s="242"/>
      <c r="ECF67" s="242"/>
      <c r="ECG67" s="242"/>
      <c r="ECH67" s="242"/>
      <c r="ECI67" s="242"/>
      <c r="ECJ67" s="242"/>
      <c r="ECK67" s="242"/>
      <c r="ECL67" s="242"/>
      <c r="ECM67" s="242"/>
      <c r="ECN67" s="108"/>
      <c r="ECO67" s="243"/>
      <c r="ECP67" s="243"/>
      <c r="ECQ67" s="243"/>
      <c r="ECR67" s="242"/>
      <c r="ECS67" s="242"/>
      <c r="ECT67" s="242"/>
      <c r="ECU67" s="242"/>
      <c r="ECV67" s="242"/>
      <c r="ECW67" s="242"/>
      <c r="ECX67" s="242"/>
      <c r="ECY67" s="242"/>
      <c r="ECZ67" s="242"/>
      <c r="EDA67" s="108"/>
      <c r="EDB67" s="243"/>
      <c r="EDC67" s="243"/>
      <c r="EDD67" s="243"/>
      <c r="EDE67" s="242"/>
      <c r="EDF67" s="242"/>
      <c r="EDG67" s="242"/>
      <c r="EDH67" s="242"/>
      <c r="EDI67" s="242"/>
      <c r="EDJ67" s="242"/>
      <c r="EDK67" s="242"/>
      <c r="EDL67" s="242"/>
      <c r="EDM67" s="242"/>
      <c r="EDN67" s="108"/>
      <c r="EDO67" s="243"/>
      <c r="EDP67" s="243"/>
      <c r="EDQ67" s="243"/>
      <c r="EDR67" s="242"/>
      <c r="EDS67" s="242"/>
      <c r="EDT67" s="242"/>
      <c r="EDU67" s="242"/>
      <c r="EDV67" s="242"/>
      <c r="EDW67" s="242"/>
      <c r="EDX67" s="242"/>
      <c r="EDY67" s="242"/>
      <c r="EDZ67" s="242"/>
      <c r="EEA67" s="108"/>
      <c r="EEB67" s="243"/>
      <c r="EEC67" s="243"/>
      <c r="EED67" s="243"/>
      <c r="EEE67" s="242"/>
      <c r="EEF67" s="242"/>
      <c r="EEG67" s="242"/>
      <c r="EEH67" s="242"/>
      <c r="EEI67" s="242"/>
      <c r="EEJ67" s="242"/>
      <c r="EEK67" s="242"/>
      <c r="EEL67" s="242"/>
      <c r="EEM67" s="242"/>
      <c r="EEN67" s="108"/>
      <c r="EEO67" s="243"/>
      <c r="EEP67" s="243"/>
      <c r="EEQ67" s="243"/>
      <c r="EER67" s="242"/>
      <c r="EES67" s="242"/>
      <c r="EET67" s="242"/>
      <c r="EEU67" s="242"/>
      <c r="EEV67" s="242"/>
      <c r="EEW67" s="242"/>
      <c r="EEX67" s="242"/>
      <c r="EEY67" s="242"/>
      <c r="EEZ67" s="242"/>
      <c r="EFA67" s="108"/>
      <c r="EFB67" s="243"/>
      <c r="EFC67" s="243"/>
      <c r="EFD67" s="243"/>
      <c r="EFE67" s="242"/>
      <c r="EFF67" s="242"/>
      <c r="EFG67" s="242"/>
      <c r="EFH67" s="242"/>
      <c r="EFI67" s="242"/>
      <c r="EFJ67" s="242"/>
      <c r="EFK67" s="242"/>
      <c r="EFL67" s="242"/>
      <c r="EFM67" s="242"/>
      <c r="EFN67" s="108"/>
      <c r="EFO67" s="243"/>
      <c r="EFP67" s="243"/>
      <c r="EFQ67" s="243"/>
      <c r="EFR67" s="242"/>
      <c r="EFS67" s="242"/>
      <c r="EFT67" s="242"/>
      <c r="EFU67" s="242"/>
      <c r="EFV67" s="242"/>
      <c r="EFW67" s="242"/>
      <c r="EFX67" s="242"/>
      <c r="EFY67" s="242"/>
      <c r="EFZ67" s="242"/>
      <c r="EGA67" s="108"/>
      <c r="EGB67" s="243"/>
      <c r="EGC67" s="243"/>
      <c r="EGD67" s="243"/>
      <c r="EGE67" s="242"/>
      <c r="EGF67" s="242"/>
      <c r="EGG67" s="242"/>
      <c r="EGH67" s="242"/>
      <c r="EGI67" s="242"/>
      <c r="EGJ67" s="242"/>
      <c r="EGK67" s="242"/>
      <c r="EGL67" s="242"/>
      <c r="EGM67" s="242"/>
      <c r="EGN67" s="108"/>
      <c r="EGO67" s="243"/>
      <c r="EGP67" s="243"/>
      <c r="EGQ67" s="243"/>
      <c r="EGR67" s="242"/>
      <c r="EGS67" s="242"/>
      <c r="EGT67" s="242"/>
      <c r="EGU67" s="242"/>
      <c r="EGV67" s="242"/>
      <c r="EGW67" s="242"/>
      <c r="EGX67" s="242"/>
      <c r="EGY67" s="242"/>
      <c r="EGZ67" s="242"/>
      <c r="EHA67" s="108"/>
      <c r="EHB67" s="243"/>
      <c r="EHC67" s="243"/>
      <c r="EHD67" s="243"/>
      <c r="EHE67" s="242"/>
      <c r="EHF67" s="242"/>
      <c r="EHG67" s="242"/>
      <c r="EHH67" s="242"/>
      <c r="EHI67" s="242"/>
      <c r="EHJ67" s="242"/>
      <c r="EHK67" s="242"/>
      <c r="EHL67" s="242"/>
      <c r="EHM67" s="242"/>
      <c r="EHN67" s="108"/>
      <c r="EHO67" s="243"/>
      <c r="EHP67" s="243"/>
      <c r="EHQ67" s="243"/>
      <c r="EHR67" s="242"/>
      <c r="EHS67" s="242"/>
      <c r="EHT67" s="242"/>
      <c r="EHU67" s="242"/>
      <c r="EHV67" s="242"/>
      <c r="EHW67" s="242"/>
      <c r="EHX67" s="242"/>
      <c r="EHY67" s="242"/>
      <c r="EHZ67" s="242"/>
      <c r="EIA67" s="108"/>
      <c r="EIB67" s="243"/>
      <c r="EIC67" s="243"/>
      <c r="EID67" s="243"/>
      <c r="EIE67" s="242"/>
      <c r="EIF67" s="242"/>
      <c r="EIG67" s="242"/>
      <c r="EIH67" s="242"/>
      <c r="EII67" s="242"/>
      <c r="EIJ67" s="242"/>
      <c r="EIK67" s="242"/>
      <c r="EIL67" s="242"/>
      <c r="EIM67" s="242"/>
      <c r="EIN67" s="108"/>
      <c r="EIO67" s="243"/>
      <c r="EIP67" s="243"/>
      <c r="EIQ67" s="243"/>
      <c r="EIR67" s="242"/>
      <c r="EIS67" s="242"/>
      <c r="EIT67" s="242"/>
      <c r="EIU67" s="242"/>
      <c r="EIV67" s="242"/>
      <c r="EIW67" s="242"/>
      <c r="EIX67" s="242"/>
      <c r="EIY67" s="242"/>
      <c r="EIZ67" s="242"/>
      <c r="EJA67" s="108"/>
      <c r="EJB67" s="243"/>
      <c r="EJC67" s="243"/>
      <c r="EJD67" s="243"/>
      <c r="EJE67" s="242"/>
      <c r="EJF67" s="242"/>
      <c r="EJG67" s="242"/>
      <c r="EJH67" s="242"/>
      <c r="EJI67" s="242"/>
      <c r="EJJ67" s="242"/>
      <c r="EJK67" s="242"/>
      <c r="EJL67" s="242"/>
      <c r="EJM67" s="242"/>
      <c r="EJN67" s="108"/>
      <c r="EJO67" s="243"/>
      <c r="EJP67" s="243"/>
      <c r="EJQ67" s="243"/>
      <c r="EJR67" s="242"/>
      <c r="EJS67" s="242"/>
      <c r="EJT67" s="242"/>
      <c r="EJU67" s="242"/>
      <c r="EJV67" s="242"/>
      <c r="EJW67" s="242"/>
      <c r="EJX67" s="242"/>
      <c r="EJY67" s="242"/>
      <c r="EJZ67" s="242"/>
      <c r="EKA67" s="108"/>
      <c r="EKB67" s="243"/>
      <c r="EKC67" s="243"/>
      <c r="EKD67" s="243"/>
      <c r="EKE67" s="242"/>
      <c r="EKF67" s="242"/>
      <c r="EKG67" s="242"/>
      <c r="EKH67" s="242"/>
      <c r="EKI67" s="242"/>
      <c r="EKJ67" s="242"/>
      <c r="EKK67" s="242"/>
      <c r="EKL67" s="242"/>
      <c r="EKM67" s="242"/>
      <c r="EKN67" s="108"/>
      <c r="EKO67" s="243"/>
      <c r="EKP67" s="243"/>
      <c r="EKQ67" s="243"/>
      <c r="EKR67" s="242"/>
      <c r="EKS67" s="242"/>
      <c r="EKT67" s="242"/>
      <c r="EKU67" s="242"/>
      <c r="EKV67" s="242"/>
      <c r="EKW67" s="242"/>
      <c r="EKX67" s="242"/>
      <c r="EKY67" s="242"/>
      <c r="EKZ67" s="242"/>
      <c r="ELA67" s="108"/>
      <c r="ELB67" s="243"/>
      <c r="ELC67" s="243"/>
      <c r="ELD67" s="243"/>
      <c r="ELE67" s="242"/>
      <c r="ELF67" s="242"/>
      <c r="ELG67" s="242"/>
      <c r="ELH67" s="242"/>
      <c r="ELI67" s="242"/>
      <c r="ELJ67" s="242"/>
      <c r="ELK67" s="242"/>
      <c r="ELL67" s="242"/>
      <c r="ELM67" s="242"/>
      <c r="ELN67" s="108"/>
      <c r="ELO67" s="243"/>
      <c r="ELP67" s="243"/>
      <c r="ELQ67" s="243"/>
      <c r="ELR67" s="242"/>
      <c r="ELS67" s="242"/>
      <c r="ELT67" s="242"/>
      <c r="ELU67" s="242"/>
      <c r="ELV67" s="242"/>
      <c r="ELW67" s="242"/>
      <c r="ELX67" s="242"/>
      <c r="ELY67" s="242"/>
      <c r="ELZ67" s="242"/>
      <c r="EMA67" s="108"/>
      <c r="EMB67" s="243"/>
      <c r="EMC67" s="243"/>
      <c r="EMD67" s="243"/>
      <c r="EME67" s="242"/>
      <c r="EMF67" s="242"/>
      <c r="EMG67" s="242"/>
      <c r="EMH67" s="242"/>
      <c r="EMI67" s="242"/>
      <c r="EMJ67" s="242"/>
      <c r="EMK67" s="242"/>
      <c r="EML67" s="242"/>
      <c r="EMM67" s="242"/>
      <c r="EMN67" s="108"/>
      <c r="EMO67" s="243"/>
      <c r="EMP67" s="243"/>
      <c r="EMQ67" s="243"/>
      <c r="EMR67" s="242"/>
      <c r="EMS67" s="242"/>
      <c r="EMT67" s="242"/>
      <c r="EMU67" s="242"/>
      <c r="EMV67" s="242"/>
      <c r="EMW67" s="242"/>
      <c r="EMX67" s="242"/>
      <c r="EMY67" s="242"/>
      <c r="EMZ67" s="242"/>
      <c r="ENA67" s="108"/>
      <c r="ENB67" s="243"/>
      <c r="ENC67" s="243"/>
      <c r="END67" s="243"/>
      <c r="ENE67" s="242"/>
      <c r="ENF67" s="242"/>
      <c r="ENG67" s="242"/>
      <c r="ENH67" s="242"/>
      <c r="ENI67" s="242"/>
      <c r="ENJ67" s="242"/>
      <c r="ENK67" s="242"/>
      <c r="ENL67" s="242"/>
      <c r="ENM67" s="242"/>
      <c r="ENN67" s="108"/>
      <c r="ENO67" s="243"/>
      <c r="ENP67" s="243"/>
      <c r="ENQ67" s="243"/>
      <c r="ENR67" s="242"/>
      <c r="ENS67" s="242"/>
      <c r="ENT67" s="242"/>
      <c r="ENU67" s="242"/>
      <c r="ENV67" s="242"/>
      <c r="ENW67" s="242"/>
      <c r="ENX67" s="242"/>
      <c r="ENY67" s="242"/>
      <c r="ENZ67" s="242"/>
      <c r="EOA67" s="108"/>
      <c r="EOB67" s="243"/>
      <c r="EOC67" s="243"/>
      <c r="EOD67" s="243"/>
      <c r="EOE67" s="242"/>
      <c r="EOF67" s="242"/>
      <c r="EOG67" s="242"/>
      <c r="EOH67" s="242"/>
      <c r="EOI67" s="242"/>
      <c r="EOJ67" s="242"/>
      <c r="EOK67" s="242"/>
      <c r="EOL67" s="242"/>
      <c r="EOM67" s="242"/>
      <c r="EON67" s="108"/>
      <c r="EOO67" s="243"/>
      <c r="EOP67" s="243"/>
      <c r="EOQ67" s="243"/>
      <c r="EOR67" s="242"/>
      <c r="EOS67" s="242"/>
      <c r="EOT67" s="242"/>
      <c r="EOU67" s="242"/>
      <c r="EOV67" s="242"/>
      <c r="EOW67" s="242"/>
      <c r="EOX67" s="242"/>
      <c r="EOY67" s="242"/>
      <c r="EOZ67" s="242"/>
      <c r="EPA67" s="108"/>
      <c r="EPB67" s="243"/>
      <c r="EPC67" s="243"/>
      <c r="EPD67" s="243"/>
      <c r="EPE67" s="242"/>
      <c r="EPF67" s="242"/>
      <c r="EPG67" s="242"/>
      <c r="EPH67" s="242"/>
      <c r="EPI67" s="242"/>
      <c r="EPJ67" s="242"/>
      <c r="EPK67" s="242"/>
      <c r="EPL67" s="242"/>
      <c r="EPM67" s="242"/>
      <c r="EPN67" s="108"/>
      <c r="EPO67" s="243"/>
      <c r="EPP67" s="243"/>
      <c r="EPQ67" s="243"/>
      <c r="EPR67" s="242"/>
      <c r="EPS67" s="242"/>
      <c r="EPT67" s="242"/>
      <c r="EPU67" s="242"/>
      <c r="EPV67" s="242"/>
      <c r="EPW67" s="242"/>
      <c r="EPX67" s="242"/>
      <c r="EPY67" s="242"/>
      <c r="EPZ67" s="242"/>
      <c r="EQA67" s="108"/>
      <c r="EQB67" s="243"/>
      <c r="EQC67" s="243"/>
      <c r="EQD67" s="243"/>
      <c r="EQE67" s="242"/>
      <c r="EQF67" s="242"/>
      <c r="EQG67" s="242"/>
      <c r="EQH67" s="242"/>
      <c r="EQI67" s="242"/>
      <c r="EQJ67" s="242"/>
      <c r="EQK67" s="242"/>
      <c r="EQL67" s="242"/>
      <c r="EQM67" s="242"/>
      <c r="EQN67" s="108"/>
      <c r="EQO67" s="243"/>
      <c r="EQP67" s="243"/>
      <c r="EQQ67" s="243"/>
      <c r="EQR67" s="242"/>
      <c r="EQS67" s="242"/>
      <c r="EQT67" s="242"/>
      <c r="EQU67" s="242"/>
      <c r="EQV67" s="242"/>
      <c r="EQW67" s="242"/>
      <c r="EQX67" s="242"/>
      <c r="EQY67" s="242"/>
      <c r="EQZ67" s="242"/>
      <c r="ERA67" s="108"/>
      <c r="ERB67" s="243"/>
      <c r="ERC67" s="243"/>
      <c r="ERD67" s="243"/>
      <c r="ERE67" s="242"/>
      <c r="ERF67" s="242"/>
      <c r="ERG67" s="242"/>
      <c r="ERH67" s="242"/>
      <c r="ERI67" s="242"/>
      <c r="ERJ67" s="242"/>
      <c r="ERK67" s="242"/>
      <c r="ERL67" s="242"/>
      <c r="ERM67" s="242"/>
      <c r="ERN67" s="108"/>
      <c r="ERO67" s="243"/>
      <c r="ERP67" s="243"/>
      <c r="ERQ67" s="243"/>
      <c r="ERR67" s="242"/>
      <c r="ERS67" s="242"/>
      <c r="ERT67" s="242"/>
      <c r="ERU67" s="242"/>
      <c r="ERV67" s="242"/>
      <c r="ERW67" s="242"/>
      <c r="ERX67" s="242"/>
      <c r="ERY67" s="242"/>
      <c r="ERZ67" s="242"/>
      <c r="ESA67" s="108"/>
      <c r="ESB67" s="243"/>
      <c r="ESC67" s="243"/>
      <c r="ESD67" s="243"/>
      <c r="ESE67" s="242"/>
      <c r="ESF67" s="242"/>
      <c r="ESG67" s="242"/>
      <c r="ESH67" s="242"/>
      <c r="ESI67" s="242"/>
      <c r="ESJ67" s="242"/>
      <c r="ESK67" s="242"/>
      <c r="ESL67" s="242"/>
      <c r="ESM67" s="242"/>
      <c r="ESN67" s="108"/>
      <c r="ESO67" s="243"/>
      <c r="ESP67" s="243"/>
      <c r="ESQ67" s="243"/>
      <c r="ESR67" s="242"/>
      <c r="ESS67" s="242"/>
      <c r="EST67" s="242"/>
      <c r="ESU67" s="242"/>
      <c r="ESV67" s="242"/>
      <c r="ESW67" s="242"/>
      <c r="ESX67" s="242"/>
      <c r="ESY67" s="242"/>
      <c r="ESZ67" s="242"/>
      <c r="ETA67" s="108"/>
      <c r="ETB67" s="243"/>
      <c r="ETC67" s="243"/>
      <c r="ETD67" s="243"/>
      <c r="ETE67" s="242"/>
      <c r="ETF67" s="242"/>
      <c r="ETG67" s="242"/>
      <c r="ETH67" s="242"/>
      <c r="ETI67" s="242"/>
      <c r="ETJ67" s="242"/>
      <c r="ETK67" s="242"/>
      <c r="ETL67" s="242"/>
      <c r="ETM67" s="242"/>
      <c r="ETN67" s="108"/>
      <c r="ETO67" s="243"/>
      <c r="ETP67" s="243"/>
      <c r="ETQ67" s="243"/>
      <c r="ETR67" s="242"/>
      <c r="ETS67" s="242"/>
      <c r="ETT67" s="242"/>
      <c r="ETU67" s="242"/>
      <c r="ETV67" s="242"/>
      <c r="ETW67" s="242"/>
      <c r="ETX67" s="242"/>
      <c r="ETY67" s="242"/>
      <c r="ETZ67" s="242"/>
      <c r="EUA67" s="108"/>
      <c r="EUB67" s="243"/>
      <c r="EUC67" s="243"/>
      <c r="EUD67" s="243"/>
      <c r="EUE67" s="242"/>
      <c r="EUF67" s="242"/>
      <c r="EUG67" s="242"/>
      <c r="EUH67" s="242"/>
      <c r="EUI67" s="242"/>
      <c r="EUJ67" s="242"/>
      <c r="EUK67" s="242"/>
      <c r="EUL67" s="242"/>
      <c r="EUM67" s="242"/>
      <c r="EUN67" s="108"/>
      <c r="EUO67" s="243"/>
      <c r="EUP67" s="243"/>
      <c r="EUQ67" s="243"/>
      <c r="EUR67" s="242"/>
      <c r="EUS67" s="242"/>
      <c r="EUT67" s="242"/>
      <c r="EUU67" s="242"/>
      <c r="EUV67" s="242"/>
      <c r="EUW67" s="242"/>
      <c r="EUX67" s="242"/>
      <c r="EUY67" s="242"/>
      <c r="EUZ67" s="242"/>
      <c r="EVA67" s="108"/>
      <c r="EVB67" s="243"/>
      <c r="EVC67" s="243"/>
      <c r="EVD67" s="243"/>
      <c r="EVE67" s="242"/>
      <c r="EVF67" s="242"/>
      <c r="EVG67" s="242"/>
      <c r="EVH67" s="242"/>
      <c r="EVI67" s="242"/>
      <c r="EVJ67" s="242"/>
      <c r="EVK67" s="242"/>
      <c r="EVL67" s="242"/>
      <c r="EVM67" s="242"/>
      <c r="EVN67" s="108"/>
      <c r="EVO67" s="243"/>
      <c r="EVP67" s="243"/>
      <c r="EVQ67" s="243"/>
      <c r="EVR67" s="242"/>
      <c r="EVS67" s="242"/>
      <c r="EVT67" s="242"/>
      <c r="EVU67" s="242"/>
      <c r="EVV67" s="242"/>
      <c r="EVW67" s="242"/>
      <c r="EVX67" s="242"/>
      <c r="EVY67" s="242"/>
      <c r="EVZ67" s="242"/>
      <c r="EWA67" s="108"/>
      <c r="EWB67" s="243"/>
      <c r="EWC67" s="243"/>
      <c r="EWD67" s="243"/>
      <c r="EWE67" s="242"/>
      <c r="EWF67" s="242"/>
      <c r="EWG67" s="242"/>
      <c r="EWH67" s="242"/>
      <c r="EWI67" s="242"/>
      <c r="EWJ67" s="242"/>
      <c r="EWK67" s="242"/>
      <c r="EWL67" s="242"/>
      <c r="EWM67" s="242"/>
      <c r="EWN67" s="108"/>
      <c r="EWO67" s="243"/>
      <c r="EWP67" s="243"/>
      <c r="EWQ67" s="243"/>
      <c r="EWR67" s="242"/>
      <c r="EWS67" s="242"/>
      <c r="EWT67" s="242"/>
      <c r="EWU67" s="242"/>
      <c r="EWV67" s="242"/>
      <c r="EWW67" s="242"/>
      <c r="EWX67" s="242"/>
      <c r="EWY67" s="242"/>
      <c r="EWZ67" s="242"/>
      <c r="EXA67" s="108"/>
      <c r="EXB67" s="243"/>
      <c r="EXC67" s="243"/>
      <c r="EXD67" s="243"/>
      <c r="EXE67" s="242"/>
      <c r="EXF67" s="242"/>
      <c r="EXG67" s="242"/>
      <c r="EXH67" s="242"/>
      <c r="EXI67" s="242"/>
      <c r="EXJ67" s="242"/>
      <c r="EXK67" s="242"/>
      <c r="EXL67" s="242"/>
      <c r="EXM67" s="242"/>
      <c r="EXN67" s="108"/>
      <c r="EXO67" s="243"/>
      <c r="EXP67" s="243"/>
      <c r="EXQ67" s="243"/>
      <c r="EXR67" s="242"/>
      <c r="EXS67" s="242"/>
      <c r="EXT67" s="242"/>
      <c r="EXU67" s="242"/>
      <c r="EXV67" s="242"/>
      <c r="EXW67" s="242"/>
      <c r="EXX67" s="242"/>
      <c r="EXY67" s="242"/>
      <c r="EXZ67" s="242"/>
      <c r="EYA67" s="108"/>
      <c r="EYB67" s="243"/>
      <c r="EYC67" s="243"/>
      <c r="EYD67" s="243"/>
      <c r="EYE67" s="242"/>
      <c r="EYF67" s="242"/>
      <c r="EYG67" s="242"/>
      <c r="EYH67" s="242"/>
      <c r="EYI67" s="242"/>
      <c r="EYJ67" s="242"/>
      <c r="EYK67" s="242"/>
      <c r="EYL67" s="242"/>
      <c r="EYM67" s="242"/>
      <c r="EYN67" s="108"/>
      <c r="EYO67" s="243"/>
      <c r="EYP67" s="243"/>
      <c r="EYQ67" s="243"/>
      <c r="EYR67" s="242"/>
      <c r="EYS67" s="242"/>
      <c r="EYT67" s="242"/>
      <c r="EYU67" s="242"/>
      <c r="EYV67" s="242"/>
      <c r="EYW67" s="242"/>
      <c r="EYX67" s="242"/>
      <c r="EYY67" s="242"/>
      <c r="EYZ67" s="242"/>
      <c r="EZA67" s="108"/>
      <c r="EZB67" s="243"/>
      <c r="EZC67" s="243"/>
      <c r="EZD67" s="243"/>
      <c r="EZE67" s="242"/>
      <c r="EZF67" s="242"/>
      <c r="EZG67" s="242"/>
      <c r="EZH67" s="242"/>
      <c r="EZI67" s="242"/>
      <c r="EZJ67" s="242"/>
      <c r="EZK67" s="242"/>
      <c r="EZL67" s="242"/>
      <c r="EZM67" s="242"/>
      <c r="EZN67" s="108"/>
      <c r="EZO67" s="243"/>
      <c r="EZP67" s="243"/>
      <c r="EZQ67" s="243"/>
      <c r="EZR67" s="242"/>
      <c r="EZS67" s="242"/>
      <c r="EZT67" s="242"/>
      <c r="EZU67" s="242"/>
      <c r="EZV67" s="242"/>
      <c r="EZW67" s="242"/>
      <c r="EZX67" s="242"/>
      <c r="EZY67" s="242"/>
      <c r="EZZ67" s="242"/>
      <c r="FAA67" s="108"/>
      <c r="FAB67" s="243"/>
      <c r="FAC67" s="243"/>
      <c r="FAD67" s="243"/>
      <c r="FAE67" s="242"/>
      <c r="FAF67" s="242"/>
      <c r="FAG67" s="242"/>
      <c r="FAH67" s="242"/>
      <c r="FAI67" s="242"/>
      <c r="FAJ67" s="242"/>
      <c r="FAK67" s="242"/>
      <c r="FAL67" s="242"/>
      <c r="FAM67" s="242"/>
      <c r="FAN67" s="108"/>
      <c r="FAO67" s="243"/>
      <c r="FAP67" s="243"/>
      <c r="FAQ67" s="243"/>
      <c r="FAR67" s="242"/>
      <c r="FAS67" s="242"/>
      <c r="FAT67" s="242"/>
      <c r="FAU67" s="242"/>
      <c r="FAV67" s="242"/>
      <c r="FAW67" s="242"/>
      <c r="FAX67" s="242"/>
      <c r="FAY67" s="242"/>
      <c r="FAZ67" s="242"/>
      <c r="FBA67" s="108"/>
      <c r="FBB67" s="243"/>
      <c r="FBC67" s="243"/>
      <c r="FBD67" s="243"/>
      <c r="FBE67" s="242"/>
      <c r="FBF67" s="242"/>
      <c r="FBG67" s="242"/>
      <c r="FBH67" s="242"/>
      <c r="FBI67" s="242"/>
      <c r="FBJ67" s="242"/>
      <c r="FBK67" s="242"/>
      <c r="FBL67" s="242"/>
      <c r="FBM67" s="242"/>
      <c r="FBN67" s="108"/>
      <c r="FBO67" s="243"/>
      <c r="FBP67" s="243"/>
      <c r="FBQ67" s="243"/>
      <c r="FBR67" s="242"/>
      <c r="FBS67" s="242"/>
      <c r="FBT67" s="242"/>
      <c r="FBU67" s="242"/>
      <c r="FBV67" s="242"/>
      <c r="FBW67" s="242"/>
      <c r="FBX67" s="242"/>
      <c r="FBY67" s="242"/>
      <c r="FBZ67" s="242"/>
      <c r="FCA67" s="108"/>
      <c r="FCB67" s="243"/>
      <c r="FCC67" s="243"/>
      <c r="FCD67" s="243"/>
      <c r="FCE67" s="242"/>
      <c r="FCF67" s="242"/>
      <c r="FCG67" s="242"/>
      <c r="FCH67" s="242"/>
      <c r="FCI67" s="242"/>
      <c r="FCJ67" s="242"/>
      <c r="FCK67" s="242"/>
      <c r="FCL67" s="242"/>
      <c r="FCM67" s="242"/>
      <c r="FCN67" s="108"/>
      <c r="FCO67" s="243"/>
      <c r="FCP67" s="243"/>
      <c r="FCQ67" s="243"/>
      <c r="FCR67" s="242"/>
      <c r="FCS67" s="242"/>
      <c r="FCT67" s="242"/>
      <c r="FCU67" s="242"/>
      <c r="FCV67" s="242"/>
      <c r="FCW67" s="242"/>
      <c r="FCX67" s="242"/>
      <c r="FCY67" s="242"/>
      <c r="FCZ67" s="242"/>
      <c r="FDA67" s="108"/>
      <c r="FDB67" s="243"/>
      <c r="FDC67" s="243"/>
      <c r="FDD67" s="243"/>
      <c r="FDE67" s="242"/>
      <c r="FDF67" s="242"/>
      <c r="FDG67" s="242"/>
      <c r="FDH67" s="242"/>
      <c r="FDI67" s="242"/>
      <c r="FDJ67" s="242"/>
      <c r="FDK67" s="242"/>
      <c r="FDL67" s="242"/>
      <c r="FDM67" s="242"/>
      <c r="FDN67" s="108"/>
      <c r="FDO67" s="243"/>
      <c r="FDP67" s="243"/>
      <c r="FDQ67" s="243"/>
      <c r="FDR67" s="242"/>
      <c r="FDS67" s="242"/>
      <c r="FDT67" s="242"/>
      <c r="FDU67" s="242"/>
      <c r="FDV67" s="242"/>
      <c r="FDW67" s="242"/>
      <c r="FDX67" s="242"/>
      <c r="FDY67" s="242"/>
      <c r="FDZ67" s="242"/>
      <c r="FEA67" s="108"/>
      <c r="FEB67" s="243"/>
      <c r="FEC67" s="243"/>
      <c r="FED67" s="243"/>
      <c r="FEE67" s="242"/>
      <c r="FEF67" s="242"/>
      <c r="FEG67" s="242"/>
      <c r="FEH67" s="242"/>
      <c r="FEI67" s="242"/>
      <c r="FEJ67" s="242"/>
      <c r="FEK67" s="242"/>
      <c r="FEL67" s="242"/>
      <c r="FEM67" s="242"/>
      <c r="FEN67" s="108"/>
      <c r="FEO67" s="243"/>
      <c r="FEP67" s="243"/>
      <c r="FEQ67" s="243"/>
      <c r="FER67" s="242"/>
      <c r="FES67" s="242"/>
      <c r="FET67" s="242"/>
      <c r="FEU67" s="242"/>
      <c r="FEV67" s="242"/>
      <c r="FEW67" s="242"/>
      <c r="FEX67" s="242"/>
      <c r="FEY67" s="242"/>
      <c r="FEZ67" s="242"/>
      <c r="FFA67" s="108"/>
      <c r="FFB67" s="243"/>
      <c r="FFC67" s="243"/>
      <c r="FFD67" s="243"/>
      <c r="FFE67" s="242"/>
      <c r="FFF67" s="242"/>
      <c r="FFG67" s="242"/>
      <c r="FFH67" s="242"/>
      <c r="FFI67" s="242"/>
      <c r="FFJ67" s="242"/>
      <c r="FFK67" s="242"/>
      <c r="FFL67" s="242"/>
      <c r="FFM67" s="242"/>
      <c r="FFN67" s="108"/>
      <c r="FFO67" s="243"/>
      <c r="FFP67" s="243"/>
      <c r="FFQ67" s="243"/>
      <c r="FFR67" s="242"/>
      <c r="FFS67" s="242"/>
      <c r="FFT67" s="242"/>
      <c r="FFU67" s="242"/>
      <c r="FFV67" s="242"/>
      <c r="FFW67" s="242"/>
      <c r="FFX67" s="242"/>
      <c r="FFY67" s="242"/>
      <c r="FFZ67" s="242"/>
      <c r="FGA67" s="108"/>
      <c r="FGB67" s="243"/>
      <c r="FGC67" s="243"/>
      <c r="FGD67" s="243"/>
      <c r="FGE67" s="242"/>
      <c r="FGF67" s="242"/>
      <c r="FGG67" s="242"/>
      <c r="FGH67" s="242"/>
      <c r="FGI67" s="242"/>
      <c r="FGJ67" s="242"/>
      <c r="FGK67" s="242"/>
      <c r="FGL67" s="242"/>
      <c r="FGM67" s="242"/>
      <c r="FGN67" s="108"/>
      <c r="FGO67" s="243"/>
      <c r="FGP67" s="243"/>
      <c r="FGQ67" s="243"/>
      <c r="FGR67" s="242"/>
      <c r="FGS67" s="242"/>
      <c r="FGT67" s="242"/>
      <c r="FGU67" s="242"/>
      <c r="FGV67" s="242"/>
      <c r="FGW67" s="242"/>
      <c r="FGX67" s="242"/>
      <c r="FGY67" s="242"/>
      <c r="FGZ67" s="242"/>
      <c r="FHA67" s="108"/>
      <c r="FHB67" s="243"/>
      <c r="FHC67" s="243"/>
      <c r="FHD67" s="243"/>
      <c r="FHE67" s="242"/>
      <c r="FHF67" s="242"/>
      <c r="FHG67" s="242"/>
      <c r="FHH67" s="242"/>
      <c r="FHI67" s="242"/>
      <c r="FHJ67" s="242"/>
      <c r="FHK67" s="242"/>
      <c r="FHL67" s="242"/>
      <c r="FHM67" s="242"/>
      <c r="FHN67" s="108"/>
      <c r="FHO67" s="243"/>
      <c r="FHP67" s="243"/>
      <c r="FHQ67" s="243"/>
      <c r="FHR67" s="242"/>
      <c r="FHS67" s="242"/>
      <c r="FHT67" s="242"/>
      <c r="FHU67" s="242"/>
      <c r="FHV67" s="242"/>
      <c r="FHW67" s="242"/>
      <c r="FHX67" s="242"/>
      <c r="FHY67" s="242"/>
      <c r="FHZ67" s="242"/>
      <c r="FIA67" s="108"/>
      <c r="FIB67" s="243"/>
      <c r="FIC67" s="243"/>
      <c r="FID67" s="243"/>
      <c r="FIE67" s="242"/>
      <c r="FIF67" s="242"/>
      <c r="FIG67" s="242"/>
      <c r="FIH67" s="242"/>
      <c r="FII67" s="242"/>
      <c r="FIJ67" s="242"/>
      <c r="FIK67" s="242"/>
      <c r="FIL67" s="242"/>
      <c r="FIM67" s="242"/>
      <c r="FIN67" s="108"/>
      <c r="FIO67" s="243"/>
      <c r="FIP67" s="243"/>
      <c r="FIQ67" s="243"/>
      <c r="FIR67" s="242"/>
      <c r="FIS67" s="242"/>
      <c r="FIT67" s="242"/>
      <c r="FIU67" s="242"/>
      <c r="FIV67" s="242"/>
      <c r="FIW67" s="242"/>
      <c r="FIX67" s="242"/>
      <c r="FIY67" s="242"/>
      <c r="FIZ67" s="242"/>
      <c r="FJA67" s="108"/>
      <c r="FJB67" s="243"/>
      <c r="FJC67" s="243"/>
      <c r="FJD67" s="243"/>
      <c r="FJE67" s="242"/>
      <c r="FJF67" s="242"/>
      <c r="FJG67" s="242"/>
      <c r="FJH67" s="242"/>
      <c r="FJI67" s="242"/>
      <c r="FJJ67" s="242"/>
      <c r="FJK67" s="242"/>
      <c r="FJL67" s="242"/>
      <c r="FJM67" s="242"/>
      <c r="FJN67" s="108"/>
      <c r="FJO67" s="243"/>
      <c r="FJP67" s="243"/>
      <c r="FJQ67" s="243"/>
      <c r="FJR67" s="242"/>
      <c r="FJS67" s="242"/>
      <c r="FJT67" s="242"/>
      <c r="FJU67" s="242"/>
      <c r="FJV67" s="242"/>
      <c r="FJW67" s="242"/>
      <c r="FJX67" s="242"/>
      <c r="FJY67" s="242"/>
      <c r="FJZ67" s="242"/>
      <c r="FKA67" s="108"/>
      <c r="FKB67" s="243"/>
      <c r="FKC67" s="243"/>
      <c r="FKD67" s="243"/>
      <c r="FKE67" s="242"/>
      <c r="FKF67" s="242"/>
      <c r="FKG67" s="242"/>
      <c r="FKH67" s="242"/>
      <c r="FKI67" s="242"/>
      <c r="FKJ67" s="242"/>
      <c r="FKK67" s="242"/>
      <c r="FKL67" s="242"/>
      <c r="FKM67" s="242"/>
      <c r="FKN67" s="108"/>
      <c r="FKO67" s="243"/>
      <c r="FKP67" s="243"/>
      <c r="FKQ67" s="243"/>
      <c r="FKR67" s="242"/>
      <c r="FKS67" s="242"/>
      <c r="FKT67" s="242"/>
      <c r="FKU67" s="242"/>
      <c r="FKV67" s="242"/>
      <c r="FKW67" s="242"/>
      <c r="FKX67" s="242"/>
      <c r="FKY67" s="242"/>
      <c r="FKZ67" s="242"/>
      <c r="FLA67" s="108"/>
      <c r="FLB67" s="243"/>
      <c r="FLC67" s="243"/>
      <c r="FLD67" s="243"/>
      <c r="FLE67" s="242"/>
      <c r="FLF67" s="242"/>
      <c r="FLG67" s="242"/>
      <c r="FLH67" s="242"/>
      <c r="FLI67" s="242"/>
      <c r="FLJ67" s="242"/>
      <c r="FLK67" s="242"/>
      <c r="FLL67" s="242"/>
      <c r="FLM67" s="242"/>
      <c r="FLN67" s="108"/>
      <c r="FLO67" s="243"/>
      <c r="FLP67" s="243"/>
      <c r="FLQ67" s="243"/>
      <c r="FLR67" s="242"/>
      <c r="FLS67" s="242"/>
      <c r="FLT67" s="242"/>
      <c r="FLU67" s="242"/>
      <c r="FLV67" s="242"/>
      <c r="FLW67" s="242"/>
      <c r="FLX67" s="242"/>
      <c r="FLY67" s="242"/>
      <c r="FLZ67" s="242"/>
      <c r="FMA67" s="108"/>
      <c r="FMB67" s="243"/>
      <c r="FMC67" s="243"/>
      <c r="FMD67" s="243"/>
      <c r="FME67" s="242"/>
      <c r="FMF67" s="242"/>
      <c r="FMG67" s="242"/>
      <c r="FMH67" s="242"/>
      <c r="FMI67" s="242"/>
      <c r="FMJ67" s="242"/>
      <c r="FMK67" s="242"/>
      <c r="FML67" s="242"/>
      <c r="FMM67" s="242"/>
      <c r="FMN67" s="108"/>
      <c r="FMO67" s="243"/>
      <c r="FMP67" s="243"/>
      <c r="FMQ67" s="243"/>
      <c r="FMR67" s="242"/>
      <c r="FMS67" s="242"/>
      <c r="FMT67" s="242"/>
      <c r="FMU67" s="242"/>
      <c r="FMV67" s="242"/>
      <c r="FMW67" s="242"/>
      <c r="FMX67" s="242"/>
      <c r="FMY67" s="242"/>
      <c r="FMZ67" s="242"/>
      <c r="FNA67" s="108"/>
      <c r="FNB67" s="243"/>
      <c r="FNC67" s="243"/>
      <c r="FND67" s="243"/>
      <c r="FNE67" s="242"/>
      <c r="FNF67" s="242"/>
      <c r="FNG67" s="242"/>
      <c r="FNH67" s="242"/>
      <c r="FNI67" s="242"/>
      <c r="FNJ67" s="242"/>
      <c r="FNK67" s="242"/>
      <c r="FNL67" s="242"/>
      <c r="FNM67" s="242"/>
      <c r="FNN67" s="108"/>
      <c r="FNO67" s="243"/>
      <c r="FNP67" s="243"/>
      <c r="FNQ67" s="243"/>
      <c r="FNR67" s="242"/>
      <c r="FNS67" s="242"/>
      <c r="FNT67" s="242"/>
      <c r="FNU67" s="242"/>
      <c r="FNV67" s="242"/>
      <c r="FNW67" s="242"/>
      <c r="FNX67" s="242"/>
      <c r="FNY67" s="242"/>
      <c r="FNZ67" s="242"/>
      <c r="FOA67" s="108"/>
      <c r="FOB67" s="243"/>
      <c r="FOC67" s="243"/>
      <c r="FOD67" s="243"/>
      <c r="FOE67" s="242"/>
      <c r="FOF67" s="242"/>
      <c r="FOG67" s="242"/>
      <c r="FOH67" s="242"/>
      <c r="FOI67" s="242"/>
      <c r="FOJ67" s="242"/>
      <c r="FOK67" s="242"/>
      <c r="FOL67" s="242"/>
      <c r="FOM67" s="242"/>
      <c r="FON67" s="108"/>
      <c r="FOO67" s="243"/>
      <c r="FOP67" s="243"/>
      <c r="FOQ67" s="243"/>
      <c r="FOR67" s="242"/>
      <c r="FOS67" s="242"/>
      <c r="FOT67" s="242"/>
      <c r="FOU67" s="242"/>
      <c r="FOV67" s="242"/>
      <c r="FOW67" s="242"/>
      <c r="FOX67" s="242"/>
      <c r="FOY67" s="242"/>
      <c r="FOZ67" s="242"/>
      <c r="FPA67" s="108"/>
      <c r="FPB67" s="243"/>
      <c r="FPC67" s="243"/>
      <c r="FPD67" s="243"/>
      <c r="FPE67" s="242"/>
      <c r="FPF67" s="242"/>
      <c r="FPG67" s="242"/>
      <c r="FPH67" s="242"/>
      <c r="FPI67" s="242"/>
      <c r="FPJ67" s="242"/>
      <c r="FPK67" s="242"/>
      <c r="FPL67" s="242"/>
      <c r="FPM67" s="242"/>
      <c r="FPN67" s="108"/>
      <c r="FPO67" s="243"/>
      <c r="FPP67" s="243"/>
      <c r="FPQ67" s="243"/>
      <c r="FPR67" s="242"/>
      <c r="FPS67" s="242"/>
      <c r="FPT67" s="242"/>
      <c r="FPU67" s="242"/>
      <c r="FPV67" s="242"/>
      <c r="FPW67" s="242"/>
      <c r="FPX67" s="242"/>
      <c r="FPY67" s="242"/>
      <c r="FPZ67" s="242"/>
      <c r="FQA67" s="108"/>
      <c r="FQB67" s="243"/>
      <c r="FQC67" s="243"/>
      <c r="FQD67" s="243"/>
      <c r="FQE67" s="242"/>
      <c r="FQF67" s="242"/>
      <c r="FQG67" s="242"/>
      <c r="FQH67" s="242"/>
      <c r="FQI67" s="242"/>
      <c r="FQJ67" s="242"/>
      <c r="FQK67" s="242"/>
      <c r="FQL67" s="242"/>
      <c r="FQM67" s="242"/>
      <c r="FQN67" s="108"/>
      <c r="FQO67" s="243"/>
      <c r="FQP67" s="243"/>
      <c r="FQQ67" s="243"/>
      <c r="FQR67" s="242"/>
      <c r="FQS67" s="242"/>
      <c r="FQT67" s="242"/>
      <c r="FQU67" s="242"/>
      <c r="FQV67" s="242"/>
      <c r="FQW67" s="242"/>
      <c r="FQX67" s="242"/>
      <c r="FQY67" s="242"/>
      <c r="FQZ67" s="242"/>
      <c r="FRA67" s="108"/>
      <c r="FRB67" s="243"/>
      <c r="FRC67" s="243"/>
      <c r="FRD67" s="243"/>
      <c r="FRE67" s="242"/>
      <c r="FRF67" s="242"/>
      <c r="FRG67" s="242"/>
      <c r="FRH67" s="242"/>
      <c r="FRI67" s="242"/>
      <c r="FRJ67" s="242"/>
      <c r="FRK67" s="242"/>
      <c r="FRL67" s="242"/>
      <c r="FRM67" s="242"/>
      <c r="FRN67" s="108"/>
      <c r="FRO67" s="243"/>
      <c r="FRP67" s="243"/>
      <c r="FRQ67" s="243"/>
      <c r="FRR67" s="242"/>
      <c r="FRS67" s="242"/>
      <c r="FRT67" s="242"/>
      <c r="FRU67" s="242"/>
      <c r="FRV67" s="242"/>
      <c r="FRW67" s="242"/>
      <c r="FRX67" s="242"/>
      <c r="FRY67" s="242"/>
      <c r="FRZ67" s="242"/>
      <c r="FSA67" s="108"/>
      <c r="FSB67" s="243"/>
      <c r="FSC67" s="243"/>
      <c r="FSD67" s="243"/>
      <c r="FSE67" s="242"/>
      <c r="FSF67" s="242"/>
      <c r="FSG67" s="242"/>
      <c r="FSH67" s="242"/>
      <c r="FSI67" s="242"/>
      <c r="FSJ67" s="242"/>
      <c r="FSK67" s="242"/>
      <c r="FSL67" s="242"/>
      <c r="FSM67" s="242"/>
      <c r="FSN67" s="108"/>
      <c r="FSO67" s="243"/>
      <c r="FSP67" s="243"/>
      <c r="FSQ67" s="243"/>
      <c r="FSR67" s="242"/>
      <c r="FSS67" s="242"/>
      <c r="FST67" s="242"/>
      <c r="FSU67" s="242"/>
      <c r="FSV67" s="242"/>
      <c r="FSW67" s="242"/>
      <c r="FSX67" s="242"/>
      <c r="FSY67" s="242"/>
      <c r="FSZ67" s="242"/>
      <c r="FTA67" s="108"/>
      <c r="FTB67" s="243"/>
      <c r="FTC67" s="243"/>
      <c r="FTD67" s="243"/>
      <c r="FTE67" s="242"/>
      <c r="FTF67" s="242"/>
      <c r="FTG67" s="242"/>
      <c r="FTH67" s="242"/>
      <c r="FTI67" s="242"/>
      <c r="FTJ67" s="242"/>
      <c r="FTK67" s="242"/>
      <c r="FTL67" s="242"/>
      <c r="FTM67" s="242"/>
      <c r="FTN67" s="108"/>
      <c r="FTO67" s="243"/>
      <c r="FTP67" s="243"/>
      <c r="FTQ67" s="243"/>
      <c r="FTR67" s="242"/>
      <c r="FTS67" s="242"/>
      <c r="FTT67" s="242"/>
      <c r="FTU67" s="242"/>
      <c r="FTV67" s="242"/>
      <c r="FTW67" s="242"/>
      <c r="FTX67" s="242"/>
      <c r="FTY67" s="242"/>
      <c r="FTZ67" s="242"/>
      <c r="FUA67" s="108"/>
      <c r="FUB67" s="243"/>
      <c r="FUC67" s="243"/>
      <c r="FUD67" s="243"/>
      <c r="FUE67" s="242"/>
      <c r="FUF67" s="242"/>
      <c r="FUG67" s="242"/>
      <c r="FUH67" s="242"/>
      <c r="FUI67" s="242"/>
      <c r="FUJ67" s="242"/>
      <c r="FUK67" s="242"/>
      <c r="FUL67" s="242"/>
      <c r="FUM67" s="242"/>
      <c r="FUN67" s="108"/>
      <c r="FUO67" s="243"/>
      <c r="FUP67" s="243"/>
      <c r="FUQ67" s="243"/>
      <c r="FUR67" s="242"/>
      <c r="FUS67" s="242"/>
      <c r="FUT67" s="242"/>
      <c r="FUU67" s="242"/>
      <c r="FUV67" s="242"/>
      <c r="FUW67" s="242"/>
      <c r="FUX67" s="242"/>
      <c r="FUY67" s="242"/>
      <c r="FUZ67" s="242"/>
      <c r="FVA67" s="108"/>
      <c r="FVB67" s="243"/>
      <c r="FVC67" s="243"/>
      <c r="FVD67" s="243"/>
      <c r="FVE67" s="242"/>
      <c r="FVF67" s="242"/>
      <c r="FVG67" s="242"/>
      <c r="FVH67" s="242"/>
      <c r="FVI67" s="242"/>
      <c r="FVJ67" s="242"/>
      <c r="FVK67" s="242"/>
      <c r="FVL67" s="242"/>
      <c r="FVM67" s="242"/>
      <c r="FVN67" s="108"/>
      <c r="FVO67" s="243"/>
      <c r="FVP67" s="243"/>
      <c r="FVQ67" s="243"/>
      <c r="FVR67" s="242"/>
      <c r="FVS67" s="242"/>
      <c r="FVT67" s="242"/>
      <c r="FVU67" s="242"/>
      <c r="FVV67" s="242"/>
      <c r="FVW67" s="242"/>
      <c r="FVX67" s="242"/>
      <c r="FVY67" s="242"/>
      <c r="FVZ67" s="242"/>
      <c r="FWA67" s="108"/>
      <c r="FWB67" s="243"/>
      <c r="FWC67" s="243"/>
      <c r="FWD67" s="243"/>
      <c r="FWE67" s="242"/>
      <c r="FWF67" s="242"/>
      <c r="FWG67" s="242"/>
      <c r="FWH67" s="242"/>
      <c r="FWI67" s="242"/>
      <c r="FWJ67" s="242"/>
      <c r="FWK67" s="242"/>
      <c r="FWL67" s="242"/>
      <c r="FWM67" s="242"/>
      <c r="FWN67" s="108"/>
      <c r="FWO67" s="243"/>
      <c r="FWP67" s="243"/>
      <c r="FWQ67" s="243"/>
      <c r="FWR67" s="242"/>
      <c r="FWS67" s="242"/>
      <c r="FWT67" s="242"/>
      <c r="FWU67" s="242"/>
      <c r="FWV67" s="242"/>
      <c r="FWW67" s="242"/>
      <c r="FWX67" s="242"/>
      <c r="FWY67" s="242"/>
      <c r="FWZ67" s="242"/>
      <c r="FXA67" s="108"/>
      <c r="FXB67" s="243"/>
      <c r="FXC67" s="243"/>
      <c r="FXD67" s="243"/>
      <c r="FXE67" s="242"/>
      <c r="FXF67" s="242"/>
      <c r="FXG67" s="242"/>
      <c r="FXH67" s="242"/>
      <c r="FXI67" s="242"/>
      <c r="FXJ67" s="242"/>
      <c r="FXK67" s="242"/>
      <c r="FXL67" s="242"/>
      <c r="FXM67" s="242"/>
      <c r="FXN67" s="108"/>
      <c r="FXO67" s="243"/>
      <c r="FXP67" s="243"/>
      <c r="FXQ67" s="243"/>
      <c r="FXR67" s="242"/>
      <c r="FXS67" s="242"/>
      <c r="FXT67" s="242"/>
      <c r="FXU67" s="242"/>
      <c r="FXV67" s="242"/>
      <c r="FXW67" s="242"/>
      <c r="FXX67" s="242"/>
      <c r="FXY67" s="242"/>
      <c r="FXZ67" s="242"/>
      <c r="FYA67" s="108"/>
      <c r="FYB67" s="243"/>
      <c r="FYC67" s="243"/>
      <c r="FYD67" s="243"/>
      <c r="FYE67" s="242"/>
      <c r="FYF67" s="242"/>
      <c r="FYG67" s="242"/>
      <c r="FYH67" s="242"/>
      <c r="FYI67" s="242"/>
      <c r="FYJ67" s="242"/>
      <c r="FYK67" s="242"/>
      <c r="FYL67" s="242"/>
      <c r="FYM67" s="242"/>
      <c r="FYN67" s="108"/>
      <c r="FYO67" s="243"/>
      <c r="FYP67" s="243"/>
      <c r="FYQ67" s="243"/>
      <c r="FYR67" s="242"/>
      <c r="FYS67" s="242"/>
      <c r="FYT67" s="242"/>
      <c r="FYU67" s="242"/>
      <c r="FYV67" s="242"/>
      <c r="FYW67" s="242"/>
      <c r="FYX67" s="242"/>
      <c r="FYY67" s="242"/>
      <c r="FYZ67" s="242"/>
      <c r="FZA67" s="108"/>
      <c r="FZB67" s="243"/>
      <c r="FZC67" s="243"/>
      <c r="FZD67" s="243"/>
      <c r="FZE67" s="242"/>
      <c r="FZF67" s="242"/>
      <c r="FZG67" s="242"/>
      <c r="FZH67" s="242"/>
      <c r="FZI67" s="242"/>
      <c r="FZJ67" s="242"/>
      <c r="FZK67" s="242"/>
      <c r="FZL67" s="242"/>
      <c r="FZM67" s="242"/>
      <c r="FZN67" s="108"/>
      <c r="FZO67" s="243"/>
      <c r="FZP67" s="243"/>
      <c r="FZQ67" s="243"/>
      <c r="FZR67" s="242"/>
      <c r="FZS67" s="242"/>
      <c r="FZT67" s="242"/>
      <c r="FZU67" s="242"/>
      <c r="FZV67" s="242"/>
      <c r="FZW67" s="242"/>
      <c r="FZX67" s="242"/>
      <c r="FZY67" s="242"/>
      <c r="FZZ67" s="242"/>
      <c r="GAA67" s="108"/>
      <c r="GAB67" s="243"/>
      <c r="GAC67" s="243"/>
      <c r="GAD67" s="243"/>
      <c r="GAE67" s="242"/>
      <c r="GAF67" s="242"/>
      <c r="GAG67" s="242"/>
      <c r="GAH67" s="242"/>
      <c r="GAI67" s="242"/>
      <c r="GAJ67" s="242"/>
      <c r="GAK67" s="242"/>
      <c r="GAL67" s="242"/>
      <c r="GAM67" s="242"/>
      <c r="GAN67" s="108"/>
      <c r="GAO67" s="243"/>
      <c r="GAP67" s="243"/>
      <c r="GAQ67" s="243"/>
      <c r="GAR67" s="242"/>
      <c r="GAS67" s="242"/>
      <c r="GAT67" s="242"/>
      <c r="GAU67" s="242"/>
      <c r="GAV67" s="242"/>
      <c r="GAW67" s="242"/>
      <c r="GAX67" s="242"/>
      <c r="GAY67" s="242"/>
      <c r="GAZ67" s="242"/>
      <c r="GBA67" s="108"/>
      <c r="GBB67" s="243"/>
      <c r="GBC67" s="243"/>
      <c r="GBD67" s="243"/>
      <c r="GBE67" s="242"/>
      <c r="GBF67" s="242"/>
      <c r="GBG67" s="242"/>
      <c r="GBH67" s="242"/>
      <c r="GBI67" s="242"/>
      <c r="GBJ67" s="242"/>
      <c r="GBK67" s="242"/>
      <c r="GBL67" s="242"/>
      <c r="GBM67" s="242"/>
      <c r="GBN67" s="108"/>
      <c r="GBO67" s="243"/>
      <c r="GBP67" s="243"/>
      <c r="GBQ67" s="243"/>
      <c r="GBR67" s="242"/>
      <c r="GBS67" s="242"/>
      <c r="GBT67" s="242"/>
      <c r="GBU67" s="242"/>
      <c r="GBV67" s="242"/>
      <c r="GBW67" s="242"/>
      <c r="GBX67" s="242"/>
      <c r="GBY67" s="242"/>
      <c r="GBZ67" s="242"/>
      <c r="GCA67" s="108"/>
      <c r="GCB67" s="243"/>
      <c r="GCC67" s="243"/>
      <c r="GCD67" s="243"/>
      <c r="GCE67" s="242"/>
      <c r="GCF67" s="242"/>
      <c r="GCG67" s="242"/>
      <c r="GCH67" s="242"/>
      <c r="GCI67" s="242"/>
      <c r="GCJ67" s="242"/>
      <c r="GCK67" s="242"/>
      <c r="GCL67" s="242"/>
      <c r="GCM67" s="242"/>
      <c r="GCN67" s="108"/>
      <c r="GCO67" s="243"/>
      <c r="GCP67" s="243"/>
      <c r="GCQ67" s="243"/>
      <c r="GCR67" s="242"/>
      <c r="GCS67" s="242"/>
      <c r="GCT67" s="242"/>
      <c r="GCU67" s="242"/>
      <c r="GCV67" s="242"/>
      <c r="GCW67" s="242"/>
      <c r="GCX67" s="242"/>
      <c r="GCY67" s="242"/>
      <c r="GCZ67" s="242"/>
      <c r="GDA67" s="108"/>
      <c r="GDB67" s="243"/>
      <c r="GDC67" s="243"/>
      <c r="GDD67" s="243"/>
      <c r="GDE67" s="242"/>
      <c r="GDF67" s="242"/>
      <c r="GDG67" s="242"/>
      <c r="GDH67" s="242"/>
      <c r="GDI67" s="242"/>
      <c r="GDJ67" s="242"/>
      <c r="GDK67" s="242"/>
      <c r="GDL67" s="242"/>
      <c r="GDM67" s="242"/>
      <c r="GDN67" s="108"/>
      <c r="GDO67" s="243"/>
      <c r="GDP67" s="243"/>
      <c r="GDQ67" s="243"/>
      <c r="GDR67" s="242"/>
      <c r="GDS67" s="242"/>
      <c r="GDT67" s="242"/>
      <c r="GDU67" s="242"/>
      <c r="GDV67" s="242"/>
      <c r="GDW67" s="242"/>
      <c r="GDX67" s="242"/>
      <c r="GDY67" s="242"/>
      <c r="GDZ67" s="242"/>
      <c r="GEA67" s="108"/>
      <c r="GEB67" s="243"/>
      <c r="GEC67" s="243"/>
      <c r="GED67" s="243"/>
      <c r="GEE67" s="242"/>
      <c r="GEF67" s="242"/>
      <c r="GEG67" s="242"/>
      <c r="GEH67" s="242"/>
      <c r="GEI67" s="242"/>
      <c r="GEJ67" s="242"/>
      <c r="GEK67" s="242"/>
      <c r="GEL67" s="242"/>
      <c r="GEM67" s="242"/>
      <c r="GEN67" s="108"/>
      <c r="GEO67" s="243"/>
      <c r="GEP67" s="243"/>
      <c r="GEQ67" s="243"/>
      <c r="GER67" s="242"/>
      <c r="GES67" s="242"/>
      <c r="GET67" s="242"/>
      <c r="GEU67" s="242"/>
      <c r="GEV67" s="242"/>
      <c r="GEW67" s="242"/>
      <c r="GEX67" s="242"/>
      <c r="GEY67" s="242"/>
      <c r="GEZ67" s="242"/>
      <c r="GFA67" s="108"/>
      <c r="GFB67" s="243"/>
      <c r="GFC67" s="243"/>
      <c r="GFD67" s="243"/>
      <c r="GFE67" s="242"/>
      <c r="GFF67" s="242"/>
      <c r="GFG67" s="242"/>
      <c r="GFH67" s="242"/>
      <c r="GFI67" s="242"/>
      <c r="GFJ67" s="242"/>
      <c r="GFK67" s="242"/>
      <c r="GFL67" s="242"/>
      <c r="GFM67" s="242"/>
      <c r="GFN67" s="108"/>
      <c r="GFO67" s="243"/>
      <c r="GFP67" s="243"/>
      <c r="GFQ67" s="243"/>
      <c r="GFR67" s="242"/>
      <c r="GFS67" s="242"/>
      <c r="GFT67" s="242"/>
      <c r="GFU67" s="242"/>
      <c r="GFV67" s="242"/>
      <c r="GFW67" s="242"/>
      <c r="GFX67" s="242"/>
      <c r="GFY67" s="242"/>
      <c r="GFZ67" s="242"/>
      <c r="GGA67" s="108"/>
      <c r="GGB67" s="243"/>
      <c r="GGC67" s="243"/>
      <c r="GGD67" s="243"/>
      <c r="GGE67" s="242"/>
      <c r="GGF67" s="242"/>
      <c r="GGG67" s="242"/>
      <c r="GGH67" s="242"/>
      <c r="GGI67" s="242"/>
      <c r="GGJ67" s="242"/>
      <c r="GGK67" s="242"/>
      <c r="GGL67" s="242"/>
      <c r="GGM67" s="242"/>
      <c r="GGN67" s="108"/>
      <c r="GGO67" s="243"/>
      <c r="GGP67" s="243"/>
      <c r="GGQ67" s="243"/>
      <c r="GGR67" s="242"/>
      <c r="GGS67" s="242"/>
      <c r="GGT67" s="242"/>
      <c r="GGU67" s="242"/>
      <c r="GGV67" s="242"/>
      <c r="GGW67" s="242"/>
      <c r="GGX67" s="242"/>
      <c r="GGY67" s="242"/>
      <c r="GGZ67" s="242"/>
      <c r="GHA67" s="108"/>
      <c r="GHB67" s="243"/>
      <c r="GHC67" s="243"/>
      <c r="GHD67" s="243"/>
      <c r="GHE67" s="242"/>
      <c r="GHF67" s="242"/>
      <c r="GHG67" s="242"/>
      <c r="GHH67" s="242"/>
      <c r="GHI67" s="242"/>
      <c r="GHJ67" s="242"/>
      <c r="GHK67" s="242"/>
      <c r="GHL67" s="242"/>
      <c r="GHM67" s="242"/>
      <c r="GHN67" s="108"/>
      <c r="GHO67" s="243"/>
      <c r="GHP67" s="243"/>
      <c r="GHQ67" s="243"/>
      <c r="GHR67" s="242"/>
      <c r="GHS67" s="242"/>
      <c r="GHT67" s="242"/>
      <c r="GHU67" s="242"/>
      <c r="GHV67" s="242"/>
      <c r="GHW67" s="242"/>
      <c r="GHX67" s="242"/>
      <c r="GHY67" s="242"/>
      <c r="GHZ67" s="242"/>
      <c r="GIA67" s="108"/>
      <c r="GIB67" s="243"/>
      <c r="GIC67" s="243"/>
      <c r="GID67" s="243"/>
      <c r="GIE67" s="242"/>
      <c r="GIF67" s="242"/>
      <c r="GIG67" s="242"/>
      <c r="GIH67" s="242"/>
      <c r="GII67" s="242"/>
      <c r="GIJ67" s="242"/>
      <c r="GIK67" s="242"/>
      <c r="GIL67" s="242"/>
      <c r="GIM67" s="242"/>
      <c r="GIN67" s="108"/>
      <c r="GIO67" s="243"/>
      <c r="GIP67" s="243"/>
      <c r="GIQ67" s="243"/>
      <c r="GIR67" s="242"/>
      <c r="GIS67" s="242"/>
      <c r="GIT67" s="242"/>
      <c r="GIU67" s="242"/>
      <c r="GIV67" s="242"/>
      <c r="GIW67" s="242"/>
      <c r="GIX67" s="242"/>
      <c r="GIY67" s="242"/>
      <c r="GIZ67" s="242"/>
      <c r="GJA67" s="108"/>
      <c r="GJB67" s="243"/>
      <c r="GJC67" s="243"/>
      <c r="GJD67" s="243"/>
      <c r="GJE67" s="242"/>
      <c r="GJF67" s="242"/>
      <c r="GJG67" s="242"/>
      <c r="GJH67" s="242"/>
      <c r="GJI67" s="242"/>
      <c r="GJJ67" s="242"/>
      <c r="GJK67" s="242"/>
      <c r="GJL67" s="242"/>
      <c r="GJM67" s="242"/>
      <c r="GJN67" s="108"/>
      <c r="GJO67" s="243"/>
      <c r="GJP67" s="243"/>
      <c r="GJQ67" s="243"/>
      <c r="GJR67" s="242"/>
      <c r="GJS67" s="242"/>
      <c r="GJT67" s="242"/>
      <c r="GJU67" s="242"/>
      <c r="GJV67" s="242"/>
      <c r="GJW67" s="242"/>
      <c r="GJX67" s="242"/>
      <c r="GJY67" s="242"/>
      <c r="GJZ67" s="242"/>
      <c r="GKA67" s="108"/>
      <c r="GKB67" s="243"/>
      <c r="GKC67" s="243"/>
      <c r="GKD67" s="243"/>
      <c r="GKE67" s="242"/>
      <c r="GKF67" s="242"/>
      <c r="GKG67" s="242"/>
      <c r="GKH67" s="242"/>
      <c r="GKI67" s="242"/>
      <c r="GKJ67" s="242"/>
      <c r="GKK67" s="242"/>
      <c r="GKL67" s="242"/>
      <c r="GKM67" s="242"/>
      <c r="GKN67" s="108"/>
      <c r="GKO67" s="243"/>
      <c r="GKP67" s="243"/>
      <c r="GKQ67" s="243"/>
      <c r="GKR67" s="242"/>
      <c r="GKS67" s="242"/>
      <c r="GKT67" s="242"/>
      <c r="GKU67" s="242"/>
      <c r="GKV67" s="242"/>
      <c r="GKW67" s="242"/>
      <c r="GKX67" s="242"/>
      <c r="GKY67" s="242"/>
      <c r="GKZ67" s="242"/>
      <c r="GLA67" s="108"/>
      <c r="GLB67" s="243"/>
      <c r="GLC67" s="243"/>
      <c r="GLD67" s="243"/>
      <c r="GLE67" s="242"/>
      <c r="GLF67" s="242"/>
      <c r="GLG67" s="242"/>
      <c r="GLH67" s="242"/>
      <c r="GLI67" s="242"/>
      <c r="GLJ67" s="242"/>
      <c r="GLK67" s="242"/>
      <c r="GLL67" s="242"/>
      <c r="GLM67" s="242"/>
      <c r="GLN67" s="108"/>
      <c r="GLO67" s="243"/>
      <c r="GLP67" s="243"/>
      <c r="GLQ67" s="243"/>
      <c r="GLR67" s="242"/>
      <c r="GLS67" s="242"/>
      <c r="GLT67" s="242"/>
      <c r="GLU67" s="242"/>
      <c r="GLV67" s="242"/>
      <c r="GLW67" s="242"/>
      <c r="GLX67" s="242"/>
      <c r="GLY67" s="242"/>
      <c r="GLZ67" s="242"/>
      <c r="GMA67" s="108"/>
      <c r="GMB67" s="243"/>
      <c r="GMC67" s="243"/>
      <c r="GMD67" s="243"/>
      <c r="GME67" s="242"/>
      <c r="GMF67" s="242"/>
      <c r="GMG67" s="242"/>
      <c r="GMH67" s="242"/>
      <c r="GMI67" s="242"/>
      <c r="GMJ67" s="242"/>
      <c r="GMK67" s="242"/>
      <c r="GML67" s="242"/>
      <c r="GMM67" s="242"/>
      <c r="GMN67" s="108"/>
      <c r="GMO67" s="243"/>
      <c r="GMP67" s="243"/>
      <c r="GMQ67" s="243"/>
      <c r="GMR67" s="242"/>
      <c r="GMS67" s="242"/>
      <c r="GMT67" s="242"/>
      <c r="GMU67" s="242"/>
      <c r="GMV67" s="242"/>
      <c r="GMW67" s="242"/>
      <c r="GMX67" s="242"/>
      <c r="GMY67" s="242"/>
      <c r="GMZ67" s="242"/>
      <c r="GNA67" s="108"/>
      <c r="GNB67" s="243"/>
      <c r="GNC67" s="243"/>
      <c r="GND67" s="243"/>
      <c r="GNE67" s="242"/>
      <c r="GNF67" s="242"/>
      <c r="GNG67" s="242"/>
      <c r="GNH67" s="242"/>
      <c r="GNI67" s="242"/>
      <c r="GNJ67" s="242"/>
      <c r="GNK67" s="242"/>
      <c r="GNL67" s="242"/>
      <c r="GNM67" s="242"/>
      <c r="GNN67" s="108"/>
      <c r="GNO67" s="243"/>
      <c r="GNP67" s="243"/>
      <c r="GNQ67" s="243"/>
      <c r="GNR67" s="242"/>
      <c r="GNS67" s="242"/>
      <c r="GNT67" s="242"/>
      <c r="GNU67" s="242"/>
      <c r="GNV67" s="242"/>
      <c r="GNW67" s="242"/>
      <c r="GNX67" s="242"/>
      <c r="GNY67" s="242"/>
      <c r="GNZ67" s="242"/>
      <c r="GOA67" s="108"/>
      <c r="GOB67" s="243"/>
      <c r="GOC67" s="243"/>
      <c r="GOD67" s="243"/>
      <c r="GOE67" s="242"/>
      <c r="GOF67" s="242"/>
      <c r="GOG67" s="242"/>
      <c r="GOH67" s="242"/>
      <c r="GOI67" s="242"/>
      <c r="GOJ67" s="242"/>
      <c r="GOK67" s="242"/>
      <c r="GOL67" s="242"/>
      <c r="GOM67" s="242"/>
      <c r="GON67" s="108"/>
      <c r="GOO67" s="243"/>
      <c r="GOP67" s="243"/>
      <c r="GOQ67" s="243"/>
      <c r="GOR67" s="242"/>
      <c r="GOS67" s="242"/>
      <c r="GOT67" s="242"/>
      <c r="GOU67" s="242"/>
      <c r="GOV67" s="242"/>
      <c r="GOW67" s="242"/>
      <c r="GOX67" s="242"/>
      <c r="GOY67" s="242"/>
      <c r="GOZ67" s="242"/>
      <c r="GPA67" s="108"/>
      <c r="GPB67" s="243"/>
      <c r="GPC67" s="243"/>
      <c r="GPD67" s="243"/>
      <c r="GPE67" s="242"/>
      <c r="GPF67" s="242"/>
      <c r="GPG67" s="242"/>
      <c r="GPH67" s="242"/>
      <c r="GPI67" s="242"/>
      <c r="GPJ67" s="242"/>
      <c r="GPK67" s="242"/>
      <c r="GPL67" s="242"/>
      <c r="GPM67" s="242"/>
      <c r="GPN67" s="108"/>
      <c r="GPO67" s="243"/>
      <c r="GPP67" s="243"/>
      <c r="GPQ67" s="243"/>
      <c r="GPR67" s="242"/>
      <c r="GPS67" s="242"/>
      <c r="GPT67" s="242"/>
      <c r="GPU67" s="242"/>
      <c r="GPV67" s="242"/>
      <c r="GPW67" s="242"/>
      <c r="GPX67" s="242"/>
      <c r="GPY67" s="242"/>
      <c r="GPZ67" s="242"/>
      <c r="GQA67" s="108"/>
      <c r="GQB67" s="243"/>
      <c r="GQC67" s="243"/>
      <c r="GQD67" s="243"/>
      <c r="GQE67" s="242"/>
      <c r="GQF67" s="242"/>
      <c r="GQG67" s="242"/>
      <c r="GQH67" s="242"/>
      <c r="GQI67" s="242"/>
      <c r="GQJ67" s="242"/>
      <c r="GQK67" s="242"/>
      <c r="GQL67" s="242"/>
      <c r="GQM67" s="242"/>
      <c r="GQN67" s="108"/>
      <c r="GQO67" s="243"/>
      <c r="GQP67" s="243"/>
      <c r="GQQ67" s="243"/>
      <c r="GQR67" s="242"/>
      <c r="GQS67" s="242"/>
      <c r="GQT67" s="242"/>
      <c r="GQU67" s="242"/>
      <c r="GQV67" s="242"/>
      <c r="GQW67" s="242"/>
      <c r="GQX67" s="242"/>
      <c r="GQY67" s="242"/>
      <c r="GQZ67" s="242"/>
      <c r="GRA67" s="108"/>
      <c r="GRB67" s="243"/>
      <c r="GRC67" s="243"/>
      <c r="GRD67" s="243"/>
      <c r="GRE67" s="242"/>
      <c r="GRF67" s="242"/>
      <c r="GRG67" s="242"/>
      <c r="GRH67" s="242"/>
      <c r="GRI67" s="242"/>
      <c r="GRJ67" s="242"/>
      <c r="GRK67" s="242"/>
      <c r="GRL67" s="242"/>
      <c r="GRM67" s="242"/>
      <c r="GRN67" s="108"/>
      <c r="GRO67" s="243"/>
      <c r="GRP67" s="243"/>
      <c r="GRQ67" s="243"/>
      <c r="GRR67" s="242"/>
      <c r="GRS67" s="242"/>
      <c r="GRT67" s="242"/>
      <c r="GRU67" s="242"/>
      <c r="GRV67" s="242"/>
      <c r="GRW67" s="242"/>
      <c r="GRX67" s="242"/>
      <c r="GRY67" s="242"/>
      <c r="GRZ67" s="242"/>
      <c r="GSA67" s="108"/>
      <c r="GSB67" s="243"/>
      <c r="GSC67" s="243"/>
      <c r="GSD67" s="243"/>
      <c r="GSE67" s="242"/>
      <c r="GSF67" s="242"/>
      <c r="GSG67" s="242"/>
      <c r="GSH67" s="242"/>
      <c r="GSI67" s="242"/>
      <c r="GSJ67" s="242"/>
      <c r="GSK67" s="242"/>
      <c r="GSL67" s="242"/>
      <c r="GSM67" s="242"/>
      <c r="GSN67" s="108"/>
      <c r="GSO67" s="243"/>
      <c r="GSP67" s="243"/>
      <c r="GSQ67" s="243"/>
      <c r="GSR67" s="242"/>
      <c r="GSS67" s="242"/>
      <c r="GST67" s="242"/>
      <c r="GSU67" s="242"/>
      <c r="GSV67" s="242"/>
      <c r="GSW67" s="242"/>
      <c r="GSX67" s="242"/>
      <c r="GSY67" s="242"/>
      <c r="GSZ67" s="242"/>
      <c r="GTA67" s="108"/>
      <c r="GTB67" s="243"/>
      <c r="GTC67" s="243"/>
      <c r="GTD67" s="243"/>
      <c r="GTE67" s="242"/>
      <c r="GTF67" s="242"/>
      <c r="GTG67" s="242"/>
      <c r="GTH67" s="242"/>
      <c r="GTI67" s="242"/>
      <c r="GTJ67" s="242"/>
      <c r="GTK67" s="242"/>
      <c r="GTL67" s="242"/>
      <c r="GTM67" s="242"/>
      <c r="GTN67" s="108"/>
      <c r="GTO67" s="243"/>
      <c r="GTP67" s="243"/>
      <c r="GTQ67" s="243"/>
      <c r="GTR67" s="242"/>
      <c r="GTS67" s="242"/>
      <c r="GTT67" s="242"/>
      <c r="GTU67" s="242"/>
      <c r="GTV67" s="242"/>
      <c r="GTW67" s="242"/>
      <c r="GTX67" s="242"/>
      <c r="GTY67" s="242"/>
      <c r="GTZ67" s="242"/>
      <c r="GUA67" s="108"/>
      <c r="GUB67" s="243"/>
      <c r="GUC67" s="243"/>
      <c r="GUD67" s="243"/>
      <c r="GUE67" s="242"/>
      <c r="GUF67" s="242"/>
      <c r="GUG67" s="242"/>
      <c r="GUH67" s="242"/>
      <c r="GUI67" s="242"/>
      <c r="GUJ67" s="242"/>
      <c r="GUK67" s="242"/>
      <c r="GUL67" s="242"/>
      <c r="GUM67" s="242"/>
      <c r="GUN67" s="108"/>
      <c r="GUO67" s="243"/>
      <c r="GUP67" s="243"/>
      <c r="GUQ67" s="243"/>
      <c r="GUR67" s="242"/>
      <c r="GUS67" s="242"/>
      <c r="GUT67" s="242"/>
      <c r="GUU67" s="242"/>
      <c r="GUV67" s="242"/>
      <c r="GUW67" s="242"/>
      <c r="GUX67" s="242"/>
      <c r="GUY67" s="242"/>
      <c r="GUZ67" s="242"/>
      <c r="GVA67" s="108"/>
      <c r="GVB67" s="243"/>
      <c r="GVC67" s="243"/>
      <c r="GVD67" s="243"/>
      <c r="GVE67" s="242"/>
      <c r="GVF67" s="242"/>
      <c r="GVG67" s="242"/>
      <c r="GVH67" s="242"/>
      <c r="GVI67" s="242"/>
      <c r="GVJ67" s="242"/>
      <c r="GVK67" s="242"/>
      <c r="GVL67" s="242"/>
      <c r="GVM67" s="242"/>
      <c r="GVN67" s="108"/>
      <c r="GVO67" s="243"/>
      <c r="GVP67" s="243"/>
      <c r="GVQ67" s="243"/>
      <c r="GVR67" s="242"/>
      <c r="GVS67" s="242"/>
      <c r="GVT67" s="242"/>
      <c r="GVU67" s="242"/>
      <c r="GVV67" s="242"/>
      <c r="GVW67" s="242"/>
      <c r="GVX67" s="242"/>
      <c r="GVY67" s="242"/>
      <c r="GVZ67" s="242"/>
      <c r="GWA67" s="108"/>
      <c r="GWB67" s="243"/>
      <c r="GWC67" s="243"/>
      <c r="GWD67" s="243"/>
      <c r="GWE67" s="242"/>
      <c r="GWF67" s="242"/>
      <c r="GWG67" s="242"/>
      <c r="GWH67" s="242"/>
      <c r="GWI67" s="242"/>
      <c r="GWJ67" s="242"/>
      <c r="GWK67" s="242"/>
      <c r="GWL67" s="242"/>
      <c r="GWM67" s="242"/>
      <c r="GWN67" s="108"/>
      <c r="GWO67" s="243"/>
      <c r="GWP67" s="243"/>
      <c r="GWQ67" s="243"/>
      <c r="GWR67" s="242"/>
      <c r="GWS67" s="242"/>
      <c r="GWT67" s="242"/>
      <c r="GWU67" s="242"/>
      <c r="GWV67" s="242"/>
      <c r="GWW67" s="242"/>
      <c r="GWX67" s="242"/>
      <c r="GWY67" s="242"/>
      <c r="GWZ67" s="242"/>
      <c r="GXA67" s="108"/>
      <c r="GXB67" s="243"/>
      <c r="GXC67" s="243"/>
      <c r="GXD67" s="243"/>
      <c r="GXE67" s="242"/>
      <c r="GXF67" s="242"/>
      <c r="GXG67" s="242"/>
      <c r="GXH67" s="242"/>
      <c r="GXI67" s="242"/>
      <c r="GXJ67" s="242"/>
      <c r="GXK67" s="242"/>
      <c r="GXL67" s="242"/>
      <c r="GXM67" s="242"/>
      <c r="GXN67" s="108"/>
      <c r="GXO67" s="243"/>
      <c r="GXP67" s="243"/>
      <c r="GXQ67" s="243"/>
      <c r="GXR67" s="242"/>
      <c r="GXS67" s="242"/>
      <c r="GXT67" s="242"/>
      <c r="GXU67" s="242"/>
      <c r="GXV67" s="242"/>
      <c r="GXW67" s="242"/>
      <c r="GXX67" s="242"/>
      <c r="GXY67" s="242"/>
      <c r="GXZ67" s="242"/>
      <c r="GYA67" s="108"/>
      <c r="GYB67" s="243"/>
      <c r="GYC67" s="243"/>
      <c r="GYD67" s="243"/>
      <c r="GYE67" s="242"/>
      <c r="GYF67" s="242"/>
      <c r="GYG67" s="242"/>
      <c r="GYH67" s="242"/>
      <c r="GYI67" s="242"/>
      <c r="GYJ67" s="242"/>
      <c r="GYK67" s="242"/>
      <c r="GYL67" s="242"/>
      <c r="GYM67" s="242"/>
      <c r="GYN67" s="108"/>
      <c r="GYO67" s="243"/>
      <c r="GYP67" s="243"/>
      <c r="GYQ67" s="243"/>
      <c r="GYR67" s="242"/>
      <c r="GYS67" s="242"/>
      <c r="GYT67" s="242"/>
      <c r="GYU67" s="242"/>
      <c r="GYV67" s="242"/>
      <c r="GYW67" s="242"/>
      <c r="GYX67" s="242"/>
      <c r="GYY67" s="242"/>
      <c r="GYZ67" s="242"/>
      <c r="GZA67" s="108"/>
      <c r="GZB67" s="243"/>
      <c r="GZC67" s="243"/>
      <c r="GZD67" s="243"/>
      <c r="GZE67" s="242"/>
      <c r="GZF67" s="242"/>
      <c r="GZG67" s="242"/>
      <c r="GZH67" s="242"/>
      <c r="GZI67" s="242"/>
      <c r="GZJ67" s="242"/>
      <c r="GZK67" s="242"/>
      <c r="GZL67" s="242"/>
      <c r="GZM67" s="242"/>
      <c r="GZN67" s="108"/>
      <c r="GZO67" s="243"/>
      <c r="GZP67" s="243"/>
      <c r="GZQ67" s="243"/>
      <c r="GZR67" s="242"/>
      <c r="GZS67" s="242"/>
      <c r="GZT67" s="242"/>
      <c r="GZU67" s="242"/>
      <c r="GZV67" s="242"/>
      <c r="GZW67" s="242"/>
      <c r="GZX67" s="242"/>
      <c r="GZY67" s="242"/>
      <c r="GZZ67" s="242"/>
      <c r="HAA67" s="108"/>
      <c r="HAB67" s="243"/>
      <c r="HAC67" s="243"/>
      <c r="HAD67" s="243"/>
      <c r="HAE67" s="242"/>
      <c r="HAF67" s="242"/>
      <c r="HAG67" s="242"/>
      <c r="HAH67" s="242"/>
      <c r="HAI67" s="242"/>
      <c r="HAJ67" s="242"/>
      <c r="HAK67" s="242"/>
      <c r="HAL67" s="242"/>
      <c r="HAM67" s="242"/>
      <c r="HAN67" s="108"/>
      <c r="HAO67" s="243"/>
      <c r="HAP67" s="243"/>
      <c r="HAQ67" s="243"/>
      <c r="HAR67" s="242"/>
      <c r="HAS67" s="242"/>
      <c r="HAT67" s="242"/>
      <c r="HAU67" s="242"/>
      <c r="HAV67" s="242"/>
      <c r="HAW67" s="242"/>
      <c r="HAX67" s="242"/>
      <c r="HAY67" s="242"/>
      <c r="HAZ67" s="242"/>
      <c r="HBA67" s="108"/>
      <c r="HBB67" s="243"/>
      <c r="HBC67" s="243"/>
      <c r="HBD67" s="243"/>
      <c r="HBE67" s="242"/>
      <c r="HBF67" s="242"/>
      <c r="HBG67" s="242"/>
      <c r="HBH67" s="242"/>
      <c r="HBI67" s="242"/>
      <c r="HBJ67" s="242"/>
      <c r="HBK67" s="242"/>
      <c r="HBL67" s="242"/>
      <c r="HBM67" s="242"/>
      <c r="HBN67" s="108"/>
      <c r="HBO67" s="243"/>
      <c r="HBP67" s="243"/>
      <c r="HBQ67" s="243"/>
      <c r="HBR67" s="242"/>
      <c r="HBS67" s="242"/>
      <c r="HBT67" s="242"/>
      <c r="HBU67" s="242"/>
      <c r="HBV67" s="242"/>
      <c r="HBW67" s="242"/>
      <c r="HBX67" s="242"/>
      <c r="HBY67" s="242"/>
      <c r="HBZ67" s="242"/>
      <c r="HCA67" s="108"/>
      <c r="HCB67" s="243"/>
      <c r="HCC67" s="243"/>
      <c r="HCD67" s="243"/>
      <c r="HCE67" s="242"/>
      <c r="HCF67" s="242"/>
      <c r="HCG67" s="242"/>
      <c r="HCH67" s="242"/>
      <c r="HCI67" s="242"/>
      <c r="HCJ67" s="242"/>
      <c r="HCK67" s="242"/>
      <c r="HCL67" s="242"/>
      <c r="HCM67" s="242"/>
      <c r="HCN67" s="108"/>
      <c r="HCO67" s="243"/>
      <c r="HCP67" s="243"/>
      <c r="HCQ67" s="243"/>
      <c r="HCR67" s="242"/>
      <c r="HCS67" s="242"/>
      <c r="HCT67" s="242"/>
      <c r="HCU67" s="242"/>
      <c r="HCV67" s="242"/>
      <c r="HCW67" s="242"/>
      <c r="HCX67" s="242"/>
      <c r="HCY67" s="242"/>
      <c r="HCZ67" s="242"/>
      <c r="HDA67" s="108"/>
      <c r="HDB67" s="243"/>
      <c r="HDC67" s="243"/>
      <c r="HDD67" s="243"/>
      <c r="HDE67" s="242"/>
      <c r="HDF67" s="242"/>
      <c r="HDG67" s="242"/>
      <c r="HDH67" s="242"/>
      <c r="HDI67" s="242"/>
      <c r="HDJ67" s="242"/>
      <c r="HDK67" s="242"/>
      <c r="HDL67" s="242"/>
      <c r="HDM67" s="242"/>
      <c r="HDN67" s="108"/>
      <c r="HDO67" s="243"/>
      <c r="HDP67" s="243"/>
      <c r="HDQ67" s="243"/>
      <c r="HDR67" s="242"/>
      <c r="HDS67" s="242"/>
      <c r="HDT67" s="242"/>
      <c r="HDU67" s="242"/>
      <c r="HDV67" s="242"/>
      <c r="HDW67" s="242"/>
      <c r="HDX67" s="242"/>
      <c r="HDY67" s="242"/>
      <c r="HDZ67" s="242"/>
      <c r="HEA67" s="108"/>
      <c r="HEB67" s="243"/>
      <c r="HEC67" s="243"/>
      <c r="HED67" s="243"/>
      <c r="HEE67" s="242"/>
      <c r="HEF67" s="242"/>
      <c r="HEG67" s="242"/>
      <c r="HEH67" s="242"/>
      <c r="HEI67" s="242"/>
      <c r="HEJ67" s="242"/>
      <c r="HEK67" s="242"/>
      <c r="HEL67" s="242"/>
      <c r="HEM67" s="242"/>
      <c r="HEN67" s="108"/>
      <c r="HEO67" s="243"/>
      <c r="HEP67" s="243"/>
      <c r="HEQ67" s="243"/>
      <c r="HER67" s="242"/>
      <c r="HES67" s="242"/>
      <c r="HET67" s="242"/>
      <c r="HEU67" s="242"/>
      <c r="HEV67" s="242"/>
      <c r="HEW67" s="242"/>
      <c r="HEX67" s="242"/>
      <c r="HEY67" s="242"/>
      <c r="HEZ67" s="242"/>
      <c r="HFA67" s="108"/>
      <c r="HFB67" s="243"/>
      <c r="HFC67" s="243"/>
      <c r="HFD67" s="243"/>
      <c r="HFE67" s="242"/>
      <c r="HFF67" s="242"/>
      <c r="HFG67" s="242"/>
      <c r="HFH67" s="242"/>
      <c r="HFI67" s="242"/>
      <c r="HFJ67" s="242"/>
      <c r="HFK67" s="242"/>
      <c r="HFL67" s="242"/>
      <c r="HFM67" s="242"/>
      <c r="HFN67" s="108"/>
      <c r="HFO67" s="243"/>
      <c r="HFP67" s="243"/>
      <c r="HFQ67" s="243"/>
      <c r="HFR67" s="242"/>
      <c r="HFS67" s="242"/>
      <c r="HFT67" s="242"/>
      <c r="HFU67" s="242"/>
      <c r="HFV67" s="242"/>
      <c r="HFW67" s="242"/>
      <c r="HFX67" s="242"/>
      <c r="HFY67" s="242"/>
      <c r="HFZ67" s="242"/>
      <c r="HGA67" s="108"/>
      <c r="HGB67" s="243"/>
      <c r="HGC67" s="243"/>
      <c r="HGD67" s="243"/>
      <c r="HGE67" s="242"/>
      <c r="HGF67" s="242"/>
      <c r="HGG67" s="242"/>
      <c r="HGH67" s="242"/>
      <c r="HGI67" s="242"/>
      <c r="HGJ67" s="242"/>
      <c r="HGK67" s="242"/>
      <c r="HGL67" s="242"/>
      <c r="HGM67" s="242"/>
      <c r="HGN67" s="108"/>
      <c r="HGO67" s="243"/>
      <c r="HGP67" s="243"/>
      <c r="HGQ67" s="243"/>
      <c r="HGR67" s="242"/>
      <c r="HGS67" s="242"/>
      <c r="HGT67" s="242"/>
      <c r="HGU67" s="242"/>
      <c r="HGV67" s="242"/>
      <c r="HGW67" s="242"/>
      <c r="HGX67" s="242"/>
      <c r="HGY67" s="242"/>
      <c r="HGZ67" s="242"/>
      <c r="HHA67" s="108"/>
      <c r="HHB67" s="243"/>
      <c r="HHC67" s="243"/>
      <c r="HHD67" s="243"/>
      <c r="HHE67" s="242"/>
      <c r="HHF67" s="242"/>
      <c r="HHG67" s="242"/>
      <c r="HHH67" s="242"/>
      <c r="HHI67" s="242"/>
      <c r="HHJ67" s="242"/>
      <c r="HHK67" s="242"/>
      <c r="HHL67" s="242"/>
      <c r="HHM67" s="242"/>
      <c r="HHN67" s="108"/>
      <c r="HHO67" s="243"/>
      <c r="HHP67" s="243"/>
      <c r="HHQ67" s="243"/>
      <c r="HHR67" s="242"/>
      <c r="HHS67" s="242"/>
      <c r="HHT67" s="242"/>
      <c r="HHU67" s="242"/>
      <c r="HHV67" s="242"/>
      <c r="HHW67" s="242"/>
      <c r="HHX67" s="242"/>
      <c r="HHY67" s="242"/>
      <c r="HHZ67" s="242"/>
      <c r="HIA67" s="108"/>
      <c r="HIB67" s="243"/>
      <c r="HIC67" s="243"/>
      <c r="HID67" s="243"/>
      <c r="HIE67" s="242"/>
      <c r="HIF67" s="242"/>
      <c r="HIG67" s="242"/>
      <c r="HIH67" s="242"/>
      <c r="HII67" s="242"/>
      <c r="HIJ67" s="242"/>
      <c r="HIK67" s="242"/>
      <c r="HIL67" s="242"/>
      <c r="HIM67" s="242"/>
      <c r="HIN67" s="108"/>
      <c r="HIO67" s="243"/>
      <c r="HIP67" s="243"/>
      <c r="HIQ67" s="243"/>
      <c r="HIR67" s="242"/>
      <c r="HIS67" s="242"/>
      <c r="HIT67" s="242"/>
      <c r="HIU67" s="242"/>
      <c r="HIV67" s="242"/>
      <c r="HIW67" s="242"/>
      <c r="HIX67" s="242"/>
      <c r="HIY67" s="242"/>
      <c r="HIZ67" s="242"/>
      <c r="HJA67" s="108"/>
      <c r="HJB67" s="243"/>
      <c r="HJC67" s="243"/>
      <c r="HJD67" s="243"/>
      <c r="HJE67" s="242"/>
      <c r="HJF67" s="242"/>
      <c r="HJG67" s="242"/>
      <c r="HJH67" s="242"/>
      <c r="HJI67" s="242"/>
      <c r="HJJ67" s="242"/>
      <c r="HJK67" s="242"/>
      <c r="HJL67" s="242"/>
      <c r="HJM67" s="242"/>
      <c r="HJN67" s="108"/>
      <c r="HJO67" s="243"/>
      <c r="HJP67" s="243"/>
      <c r="HJQ67" s="243"/>
      <c r="HJR67" s="242"/>
      <c r="HJS67" s="242"/>
      <c r="HJT67" s="242"/>
      <c r="HJU67" s="242"/>
      <c r="HJV67" s="242"/>
      <c r="HJW67" s="242"/>
      <c r="HJX67" s="242"/>
      <c r="HJY67" s="242"/>
      <c r="HJZ67" s="242"/>
      <c r="HKA67" s="108"/>
      <c r="HKB67" s="243"/>
      <c r="HKC67" s="243"/>
      <c r="HKD67" s="243"/>
      <c r="HKE67" s="242"/>
      <c r="HKF67" s="242"/>
      <c r="HKG67" s="242"/>
      <c r="HKH67" s="242"/>
      <c r="HKI67" s="242"/>
      <c r="HKJ67" s="242"/>
      <c r="HKK67" s="242"/>
      <c r="HKL67" s="242"/>
      <c r="HKM67" s="242"/>
      <c r="HKN67" s="108"/>
      <c r="HKO67" s="243"/>
      <c r="HKP67" s="243"/>
      <c r="HKQ67" s="243"/>
      <c r="HKR67" s="242"/>
      <c r="HKS67" s="242"/>
      <c r="HKT67" s="242"/>
      <c r="HKU67" s="242"/>
      <c r="HKV67" s="242"/>
      <c r="HKW67" s="242"/>
      <c r="HKX67" s="242"/>
      <c r="HKY67" s="242"/>
      <c r="HKZ67" s="242"/>
      <c r="HLA67" s="108"/>
      <c r="HLB67" s="243"/>
      <c r="HLC67" s="243"/>
      <c r="HLD67" s="243"/>
      <c r="HLE67" s="242"/>
      <c r="HLF67" s="242"/>
      <c r="HLG67" s="242"/>
      <c r="HLH67" s="242"/>
      <c r="HLI67" s="242"/>
      <c r="HLJ67" s="242"/>
      <c r="HLK67" s="242"/>
      <c r="HLL67" s="242"/>
      <c r="HLM67" s="242"/>
      <c r="HLN67" s="108"/>
      <c r="HLO67" s="243"/>
      <c r="HLP67" s="243"/>
      <c r="HLQ67" s="243"/>
      <c r="HLR67" s="242"/>
      <c r="HLS67" s="242"/>
      <c r="HLT67" s="242"/>
      <c r="HLU67" s="242"/>
      <c r="HLV67" s="242"/>
      <c r="HLW67" s="242"/>
      <c r="HLX67" s="242"/>
      <c r="HLY67" s="242"/>
      <c r="HLZ67" s="242"/>
      <c r="HMA67" s="108"/>
      <c r="HMB67" s="243"/>
      <c r="HMC67" s="243"/>
      <c r="HMD67" s="243"/>
      <c r="HME67" s="242"/>
      <c r="HMF67" s="242"/>
      <c r="HMG67" s="242"/>
      <c r="HMH67" s="242"/>
      <c r="HMI67" s="242"/>
      <c r="HMJ67" s="242"/>
      <c r="HMK67" s="242"/>
      <c r="HML67" s="242"/>
      <c r="HMM67" s="242"/>
      <c r="HMN67" s="108"/>
      <c r="HMO67" s="243"/>
      <c r="HMP67" s="243"/>
      <c r="HMQ67" s="243"/>
      <c r="HMR67" s="242"/>
      <c r="HMS67" s="242"/>
      <c r="HMT67" s="242"/>
      <c r="HMU67" s="242"/>
      <c r="HMV67" s="242"/>
      <c r="HMW67" s="242"/>
      <c r="HMX67" s="242"/>
      <c r="HMY67" s="242"/>
      <c r="HMZ67" s="242"/>
      <c r="HNA67" s="108"/>
      <c r="HNB67" s="243"/>
      <c r="HNC67" s="243"/>
      <c r="HND67" s="243"/>
      <c r="HNE67" s="242"/>
      <c r="HNF67" s="242"/>
      <c r="HNG67" s="242"/>
      <c r="HNH67" s="242"/>
      <c r="HNI67" s="242"/>
      <c r="HNJ67" s="242"/>
      <c r="HNK67" s="242"/>
      <c r="HNL67" s="242"/>
      <c r="HNM67" s="242"/>
      <c r="HNN67" s="108"/>
      <c r="HNO67" s="243"/>
      <c r="HNP67" s="243"/>
      <c r="HNQ67" s="243"/>
      <c r="HNR67" s="242"/>
      <c r="HNS67" s="242"/>
      <c r="HNT67" s="242"/>
      <c r="HNU67" s="242"/>
      <c r="HNV67" s="242"/>
      <c r="HNW67" s="242"/>
      <c r="HNX67" s="242"/>
      <c r="HNY67" s="242"/>
      <c r="HNZ67" s="242"/>
      <c r="HOA67" s="108"/>
      <c r="HOB67" s="243"/>
      <c r="HOC67" s="243"/>
      <c r="HOD67" s="243"/>
      <c r="HOE67" s="242"/>
      <c r="HOF67" s="242"/>
      <c r="HOG67" s="242"/>
      <c r="HOH67" s="242"/>
      <c r="HOI67" s="242"/>
      <c r="HOJ67" s="242"/>
      <c r="HOK67" s="242"/>
      <c r="HOL67" s="242"/>
      <c r="HOM67" s="242"/>
      <c r="HON67" s="108"/>
      <c r="HOO67" s="243"/>
      <c r="HOP67" s="243"/>
      <c r="HOQ67" s="243"/>
      <c r="HOR67" s="242"/>
      <c r="HOS67" s="242"/>
      <c r="HOT67" s="242"/>
      <c r="HOU67" s="242"/>
      <c r="HOV67" s="242"/>
      <c r="HOW67" s="242"/>
      <c r="HOX67" s="242"/>
      <c r="HOY67" s="242"/>
      <c r="HOZ67" s="242"/>
      <c r="HPA67" s="108"/>
      <c r="HPB67" s="243"/>
      <c r="HPC67" s="243"/>
      <c r="HPD67" s="243"/>
      <c r="HPE67" s="242"/>
      <c r="HPF67" s="242"/>
      <c r="HPG67" s="242"/>
      <c r="HPH67" s="242"/>
      <c r="HPI67" s="242"/>
      <c r="HPJ67" s="242"/>
      <c r="HPK67" s="242"/>
      <c r="HPL67" s="242"/>
      <c r="HPM67" s="242"/>
      <c r="HPN67" s="108"/>
      <c r="HPO67" s="243"/>
      <c r="HPP67" s="243"/>
      <c r="HPQ67" s="243"/>
      <c r="HPR67" s="242"/>
      <c r="HPS67" s="242"/>
      <c r="HPT67" s="242"/>
      <c r="HPU67" s="242"/>
      <c r="HPV67" s="242"/>
      <c r="HPW67" s="242"/>
      <c r="HPX67" s="242"/>
      <c r="HPY67" s="242"/>
      <c r="HPZ67" s="242"/>
      <c r="HQA67" s="108"/>
      <c r="HQB67" s="243"/>
      <c r="HQC67" s="243"/>
      <c r="HQD67" s="243"/>
      <c r="HQE67" s="242"/>
      <c r="HQF67" s="242"/>
      <c r="HQG67" s="242"/>
      <c r="HQH67" s="242"/>
      <c r="HQI67" s="242"/>
      <c r="HQJ67" s="242"/>
      <c r="HQK67" s="242"/>
      <c r="HQL67" s="242"/>
      <c r="HQM67" s="242"/>
      <c r="HQN67" s="108"/>
      <c r="HQO67" s="243"/>
      <c r="HQP67" s="243"/>
      <c r="HQQ67" s="243"/>
      <c r="HQR67" s="242"/>
      <c r="HQS67" s="242"/>
      <c r="HQT67" s="242"/>
      <c r="HQU67" s="242"/>
      <c r="HQV67" s="242"/>
      <c r="HQW67" s="242"/>
      <c r="HQX67" s="242"/>
      <c r="HQY67" s="242"/>
      <c r="HQZ67" s="242"/>
      <c r="HRA67" s="108"/>
      <c r="HRB67" s="243"/>
      <c r="HRC67" s="243"/>
      <c r="HRD67" s="243"/>
      <c r="HRE67" s="242"/>
      <c r="HRF67" s="242"/>
      <c r="HRG67" s="242"/>
      <c r="HRH67" s="242"/>
      <c r="HRI67" s="242"/>
      <c r="HRJ67" s="242"/>
      <c r="HRK67" s="242"/>
      <c r="HRL67" s="242"/>
      <c r="HRM67" s="242"/>
      <c r="HRN67" s="108"/>
      <c r="HRO67" s="243"/>
      <c r="HRP67" s="243"/>
      <c r="HRQ67" s="243"/>
      <c r="HRR67" s="242"/>
      <c r="HRS67" s="242"/>
      <c r="HRT67" s="242"/>
      <c r="HRU67" s="242"/>
      <c r="HRV67" s="242"/>
      <c r="HRW67" s="242"/>
      <c r="HRX67" s="242"/>
      <c r="HRY67" s="242"/>
      <c r="HRZ67" s="242"/>
      <c r="HSA67" s="108"/>
      <c r="HSB67" s="243"/>
      <c r="HSC67" s="243"/>
      <c r="HSD67" s="243"/>
      <c r="HSE67" s="242"/>
      <c r="HSF67" s="242"/>
      <c r="HSG67" s="242"/>
      <c r="HSH67" s="242"/>
      <c r="HSI67" s="242"/>
      <c r="HSJ67" s="242"/>
      <c r="HSK67" s="242"/>
      <c r="HSL67" s="242"/>
      <c r="HSM67" s="242"/>
      <c r="HSN67" s="108"/>
      <c r="HSO67" s="243"/>
      <c r="HSP67" s="243"/>
      <c r="HSQ67" s="243"/>
      <c r="HSR67" s="242"/>
      <c r="HSS67" s="242"/>
      <c r="HST67" s="242"/>
      <c r="HSU67" s="242"/>
      <c r="HSV67" s="242"/>
      <c r="HSW67" s="242"/>
      <c r="HSX67" s="242"/>
      <c r="HSY67" s="242"/>
      <c r="HSZ67" s="242"/>
      <c r="HTA67" s="108"/>
      <c r="HTB67" s="243"/>
      <c r="HTC67" s="243"/>
      <c r="HTD67" s="243"/>
      <c r="HTE67" s="242"/>
      <c r="HTF67" s="242"/>
      <c r="HTG67" s="242"/>
      <c r="HTH67" s="242"/>
      <c r="HTI67" s="242"/>
      <c r="HTJ67" s="242"/>
      <c r="HTK67" s="242"/>
      <c r="HTL67" s="242"/>
      <c r="HTM67" s="242"/>
      <c r="HTN67" s="108"/>
      <c r="HTO67" s="243"/>
      <c r="HTP67" s="243"/>
      <c r="HTQ67" s="243"/>
      <c r="HTR67" s="242"/>
      <c r="HTS67" s="242"/>
      <c r="HTT67" s="242"/>
      <c r="HTU67" s="242"/>
      <c r="HTV67" s="242"/>
      <c r="HTW67" s="242"/>
      <c r="HTX67" s="242"/>
      <c r="HTY67" s="242"/>
      <c r="HTZ67" s="242"/>
      <c r="HUA67" s="108"/>
      <c r="HUB67" s="243"/>
      <c r="HUC67" s="243"/>
      <c r="HUD67" s="243"/>
      <c r="HUE67" s="242"/>
      <c r="HUF67" s="242"/>
      <c r="HUG67" s="242"/>
      <c r="HUH67" s="242"/>
      <c r="HUI67" s="242"/>
      <c r="HUJ67" s="242"/>
      <c r="HUK67" s="242"/>
      <c r="HUL67" s="242"/>
      <c r="HUM67" s="242"/>
      <c r="HUN67" s="108"/>
      <c r="HUO67" s="243"/>
      <c r="HUP67" s="243"/>
      <c r="HUQ67" s="243"/>
      <c r="HUR67" s="242"/>
      <c r="HUS67" s="242"/>
      <c r="HUT67" s="242"/>
      <c r="HUU67" s="242"/>
      <c r="HUV67" s="242"/>
      <c r="HUW67" s="242"/>
      <c r="HUX67" s="242"/>
      <c r="HUY67" s="242"/>
      <c r="HUZ67" s="242"/>
      <c r="HVA67" s="108"/>
      <c r="HVB67" s="243"/>
      <c r="HVC67" s="243"/>
      <c r="HVD67" s="243"/>
      <c r="HVE67" s="242"/>
      <c r="HVF67" s="242"/>
      <c r="HVG67" s="242"/>
      <c r="HVH67" s="242"/>
      <c r="HVI67" s="242"/>
      <c r="HVJ67" s="242"/>
      <c r="HVK67" s="242"/>
      <c r="HVL67" s="242"/>
      <c r="HVM67" s="242"/>
      <c r="HVN67" s="108"/>
      <c r="HVO67" s="243"/>
      <c r="HVP67" s="243"/>
      <c r="HVQ67" s="243"/>
      <c r="HVR67" s="242"/>
      <c r="HVS67" s="242"/>
      <c r="HVT67" s="242"/>
      <c r="HVU67" s="242"/>
      <c r="HVV67" s="242"/>
      <c r="HVW67" s="242"/>
      <c r="HVX67" s="242"/>
      <c r="HVY67" s="242"/>
      <c r="HVZ67" s="242"/>
      <c r="HWA67" s="108"/>
      <c r="HWB67" s="243"/>
      <c r="HWC67" s="243"/>
      <c r="HWD67" s="243"/>
      <c r="HWE67" s="242"/>
      <c r="HWF67" s="242"/>
      <c r="HWG67" s="242"/>
      <c r="HWH67" s="242"/>
      <c r="HWI67" s="242"/>
      <c r="HWJ67" s="242"/>
      <c r="HWK67" s="242"/>
      <c r="HWL67" s="242"/>
      <c r="HWM67" s="242"/>
      <c r="HWN67" s="108"/>
      <c r="HWO67" s="243"/>
      <c r="HWP67" s="243"/>
      <c r="HWQ67" s="243"/>
      <c r="HWR67" s="242"/>
      <c r="HWS67" s="242"/>
      <c r="HWT67" s="242"/>
      <c r="HWU67" s="242"/>
      <c r="HWV67" s="242"/>
      <c r="HWW67" s="242"/>
      <c r="HWX67" s="242"/>
      <c r="HWY67" s="242"/>
      <c r="HWZ67" s="242"/>
      <c r="HXA67" s="108"/>
      <c r="HXB67" s="243"/>
      <c r="HXC67" s="243"/>
      <c r="HXD67" s="243"/>
      <c r="HXE67" s="242"/>
      <c r="HXF67" s="242"/>
      <c r="HXG67" s="242"/>
      <c r="HXH67" s="242"/>
      <c r="HXI67" s="242"/>
      <c r="HXJ67" s="242"/>
      <c r="HXK67" s="242"/>
      <c r="HXL67" s="242"/>
      <c r="HXM67" s="242"/>
      <c r="HXN67" s="108"/>
      <c r="HXO67" s="243"/>
      <c r="HXP67" s="243"/>
      <c r="HXQ67" s="243"/>
      <c r="HXR67" s="242"/>
      <c r="HXS67" s="242"/>
      <c r="HXT67" s="242"/>
      <c r="HXU67" s="242"/>
      <c r="HXV67" s="242"/>
      <c r="HXW67" s="242"/>
      <c r="HXX67" s="242"/>
      <c r="HXY67" s="242"/>
      <c r="HXZ67" s="242"/>
      <c r="HYA67" s="108"/>
      <c r="HYB67" s="243"/>
      <c r="HYC67" s="243"/>
      <c r="HYD67" s="243"/>
      <c r="HYE67" s="242"/>
      <c r="HYF67" s="242"/>
      <c r="HYG67" s="242"/>
      <c r="HYH67" s="242"/>
      <c r="HYI67" s="242"/>
      <c r="HYJ67" s="242"/>
      <c r="HYK67" s="242"/>
      <c r="HYL67" s="242"/>
      <c r="HYM67" s="242"/>
      <c r="HYN67" s="108"/>
      <c r="HYO67" s="243"/>
      <c r="HYP67" s="243"/>
      <c r="HYQ67" s="243"/>
      <c r="HYR67" s="242"/>
      <c r="HYS67" s="242"/>
      <c r="HYT67" s="242"/>
      <c r="HYU67" s="242"/>
      <c r="HYV67" s="242"/>
      <c r="HYW67" s="242"/>
      <c r="HYX67" s="242"/>
      <c r="HYY67" s="242"/>
      <c r="HYZ67" s="242"/>
      <c r="HZA67" s="108"/>
      <c r="HZB67" s="243"/>
      <c r="HZC67" s="243"/>
      <c r="HZD67" s="243"/>
      <c r="HZE67" s="242"/>
      <c r="HZF67" s="242"/>
      <c r="HZG67" s="242"/>
      <c r="HZH67" s="242"/>
      <c r="HZI67" s="242"/>
      <c r="HZJ67" s="242"/>
      <c r="HZK67" s="242"/>
      <c r="HZL67" s="242"/>
      <c r="HZM67" s="242"/>
      <c r="HZN67" s="108"/>
      <c r="HZO67" s="243"/>
      <c r="HZP67" s="243"/>
      <c r="HZQ67" s="243"/>
      <c r="HZR67" s="242"/>
      <c r="HZS67" s="242"/>
      <c r="HZT67" s="242"/>
      <c r="HZU67" s="242"/>
      <c r="HZV67" s="242"/>
      <c r="HZW67" s="242"/>
      <c r="HZX67" s="242"/>
      <c r="HZY67" s="242"/>
      <c r="HZZ67" s="242"/>
      <c r="IAA67" s="108"/>
      <c r="IAB67" s="243"/>
      <c r="IAC67" s="243"/>
      <c r="IAD67" s="243"/>
      <c r="IAE67" s="242"/>
      <c r="IAF67" s="242"/>
      <c r="IAG67" s="242"/>
      <c r="IAH67" s="242"/>
      <c r="IAI67" s="242"/>
      <c r="IAJ67" s="242"/>
      <c r="IAK67" s="242"/>
      <c r="IAL67" s="242"/>
      <c r="IAM67" s="242"/>
      <c r="IAN67" s="108"/>
      <c r="IAO67" s="243"/>
      <c r="IAP67" s="243"/>
      <c r="IAQ67" s="243"/>
      <c r="IAR67" s="242"/>
      <c r="IAS67" s="242"/>
      <c r="IAT67" s="242"/>
      <c r="IAU67" s="242"/>
      <c r="IAV67" s="242"/>
      <c r="IAW67" s="242"/>
      <c r="IAX67" s="242"/>
      <c r="IAY67" s="242"/>
      <c r="IAZ67" s="242"/>
      <c r="IBA67" s="108"/>
      <c r="IBB67" s="243"/>
      <c r="IBC67" s="243"/>
      <c r="IBD67" s="243"/>
      <c r="IBE67" s="242"/>
      <c r="IBF67" s="242"/>
      <c r="IBG67" s="242"/>
      <c r="IBH67" s="242"/>
      <c r="IBI67" s="242"/>
      <c r="IBJ67" s="242"/>
      <c r="IBK67" s="242"/>
      <c r="IBL67" s="242"/>
      <c r="IBM67" s="242"/>
      <c r="IBN67" s="108"/>
      <c r="IBO67" s="243"/>
      <c r="IBP67" s="243"/>
      <c r="IBQ67" s="243"/>
      <c r="IBR67" s="242"/>
      <c r="IBS67" s="242"/>
      <c r="IBT67" s="242"/>
      <c r="IBU67" s="242"/>
      <c r="IBV67" s="242"/>
      <c r="IBW67" s="242"/>
      <c r="IBX67" s="242"/>
      <c r="IBY67" s="242"/>
      <c r="IBZ67" s="242"/>
      <c r="ICA67" s="108"/>
      <c r="ICB67" s="243"/>
      <c r="ICC67" s="243"/>
      <c r="ICD67" s="243"/>
      <c r="ICE67" s="242"/>
      <c r="ICF67" s="242"/>
      <c r="ICG67" s="242"/>
      <c r="ICH67" s="242"/>
      <c r="ICI67" s="242"/>
      <c r="ICJ67" s="242"/>
      <c r="ICK67" s="242"/>
      <c r="ICL67" s="242"/>
      <c r="ICM67" s="242"/>
      <c r="ICN67" s="108"/>
      <c r="ICO67" s="243"/>
      <c r="ICP67" s="243"/>
      <c r="ICQ67" s="243"/>
      <c r="ICR67" s="242"/>
      <c r="ICS67" s="242"/>
      <c r="ICT67" s="242"/>
      <c r="ICU67" s="242"/>
      <c r="ICV67" s="242"/>
      <c r="ICW67" s="242"/>
      <c r="ICX67" s="242"/>
      <c r="ICY67" s="242"/>
      <c r="ICZ67" s="242"/>
      <c r="IDA67" s="108"/>
      <c r="IDB67" s="243"/>
      <c r="IDC67" s="243"/>
      <c r="IDD67" s="243"/>
      <c r="IDE67" s="242"/>
      <c r="IDF67" s="242"/>
      <c r="IDG67" s="242"/>
      <c r="IDH67" s="242"/>
      <c r="IDI67" s="242"/>
      <c r="IDJ67" s="242"/>
      <c r="IDK67" s="242"/>
      <c r="IDL67" s="242"/>
      <c r="IDM67" s="242"/>
      <c r="IDN67" s="108"/>
      <c r="IDO67" s="243"/>
      <c r="IDP67" s="243"/>
      <c r="IDQ67" s="243"/>
      <c r="IDR67" s="242"/>
      <c r="IDS67" s="242"/>
      <c r="IDT67" s="242"/>
      <c r="IDU67" s="242"/>
      <c r="IDV67" s="242"/>
      <c r="IDW67" s="242"/>
      <c r="IDX67" s="242"/>
      <c r="IDY67" s="242"/>
      <c r="IDZ67" s="242"/>
      <c r="IEA67" s="108"/>
      <c r="IEB67" s="243"/>
      <c r="IEC67" s="243"/>
      <c r="IED67" s="243"/>
      <c r="IEE67" s="242"/>
      <c r="IEF67" s="242"/>
      <c r="IEG67" s="242"/>
      <c r="IEH67" s="242"/>
      <c r="IEI67" s="242"/>
      <c r="IEJ67" s="242"/>
      <c r="IEK67" s="242"/>
      <c r="IEL67" s="242"/>
      <c r="IEM67" s="242"/>
      <c r="IEN67" s="108"/>
      <c r="IEO67" s="243"/>
      <c r="IEP67" s="243"/>
      <c r="IEQ67" s="243"/>
      <c r="IER67" s="242"/>
      <c r="IES67" s="242"/>
      <c r="IET67" s="242"/>
      <c r="IEU67" s="242"/>
      <c r="IEV67" s="242"/>
      <c r="IEW67" s="242"/>
      <c r="IEX67" s="242"/>
      <c r="IEY67" s="242"/>
      <c r="IEZ67" s="242"/>
      <c r="IFA67" s="108"/>
      <c r="IFB67" s="243"/>
      <c r="IFC67" s="243"/>
      <c r="IFD67" s="243"/>
      <c r="IFE67" s="242"/>
      <c r="IFF67" s="242"/>
      <c r="IFG67" s="242"/>
      <c r="IFH67" s="242"/>
      <c r="IFI67" s="242"/>
      <c r="IFJ67" s="242"/>
      <c r="IFK67" s="242"/>
      <c r="IFL67" s="242"/>
      <c r="IFM67" s="242"/>
      <c r="IFN67" s="108"/>
      <c r="IFO67" s="243"/>
      <c r="IFP67" s="243"/>
      <c r="IFQ67" s="243"/>
      <c r="IFR67" s="242"/>
      <c r="IFS67" s="242"/>
      <c r="IFT67" s="242"/>
      <c r="IFU67" s="242"/>
      <c r="IFV67" s="242"/>
      <c r="IFW67" s="242"/>
      <c r="IFX67" s="242"/>
      <c r="IFY67" s="242"/>
      <c r="IFZ67" s="242"/>
      <c r="IGA67" s="108"/>
      <c r="IGB67" s="243"/>
      <c r="IGC67" s="243"/>
      <c r="IGD67" s="243"/>
      <c r="IGE67" s="242"/>
      <c r="IGF67" s="242"/>
      <c r="IGG67" s="242"/>
      <c r="IGH67" s="242"/>
      <c r="IGI67" s="242"/>
      <c r="IGJ67" s="242"/>
      <c r="IGK67" s="242"/>
      <c r="IGL67" s="242"/>
      <c r="IGM67" s="242"/>
      <c r="IGN67" s="108"/>
      <c r="IGO67" s="243"/>
      <c r="IGP67" s="243"/>
      <c r="IGQ67" s="243"/>
      <c r="IGR67" s="242"/>
      <c r="IGS67" s="242"/>
      <c r="IGT67" s="242"/>
      <c r="IGU67" s="242"/>
      <c r="IGV67" s="242"/>
      <c r="IGW67" s="242"/>
      <c r="IGX67" s="242"/>
      <c r="IGY67" s="242"/>
      <c r="IGZ67" s="242"/>
      <c r="IHA67" s="108"/>
      <c r="IHB67" s="243"/>
      <c r="IHC67" s="243"/>
      <c r="IHD67" s="243"/>
      <c r="IHE67" s="242"/>
      <c r="IHF67" s="242"/>
      <c r="IHG67" s="242"/>
      <c r="IHH67" s="242"/>
      <c r="IHI67" s="242"/>
      <c r="IHJ67" s="242"/>
      <c r="IHK67" s="242"/>
      <c r="IHL67" s="242"/>
      <c r="IHM67" s="242"/>
      <c r="IHN67" s="108"/>
      <c r="IHO67" s="243"/>
      <c r="IHP67" s="243"/>
      <c r="IHQ67" s="243"/>
      <c r="IHR67" s="242"/>
      <c r="IHS67" s="242"/>
      <c r="IHT67" s="242"/>
      <c r="IHU67" s="242"/>
      <c r="IHV67" s="242"/>
      <c r="IHW67" s="242"/>
      <c r="IHX67" s="242"/>
      <c r="IHY67" s="242"/>
      <c r="IHZ67" s="242"/>
      <c r="IIA67" s="108"/>
      <c r="IIB67" s="243"/>
      <c r="IIC67" s="243"/>
      <c r="IID67" s="243"/>
      <c r="IIE67" s="242"/>
      <c r="IIF67" s="242"/>
      <c r="IIG67" s="242"/>
      <c r="IIH67" s="242"/>
      <c r="III67" s="242"/>
      <c r="IIJ67" s="242"/>
      <c r="IIK67" s="242"/>
      <c r="IIL67" s="242"/>
      <c r="IIM67" s="242"/>
      <c r="IIN67" s="108"/>
      <c r="IIO67" s="243"/>
      <c r="IIP67" s="243"/>
      <c r="IIQ67" s="243"/>
      <c r="IIR67" s="242"/>
      <c r="IIS67" s="242"/>
      <c r="IIT67" s="242"/>
      <c r="IIU67" s="242"/>
      <c r="IIV67" s="242"/>
      <c r="IIW67" s="242"/>
      <c r="IIX67" s="242"/>
      <c r="IIY67" s="242"/>
      <c r="IIZ67" s="242"/>
      <c r="IJA67" s="108"/>
      <c r="IJB67" s="243"/>
      <c r="IJC67" s="243"/>
      <c r="IJD67" s="243"/>
      <c r="IJE67" s="242"/>
      <c r="IJF67" s="242"/>
      <c r="IJG67" s="242"/>
      <c r="IJH67" s="242"/>
      <c r="IJI67" s="242"/>
      <c r="IJJ67" s="242"/>
      <c r="IJK67" s="242"/>
      <c r="IJL67" s="242"/>
      <c r="IJM67" s="242"/>
      <c r="IJN67" s="108"/>
      <c r="IJO67" s="243"/>
      <c r="IJP67" s="243"/>
      <c r="IJQ67" s="243"/>
      <c r="IJR67" s="242"/>
      <c r="IJS67" s="242"/>
      <c r="IJT67" s="242"/>
      <c r="IJU67" s="242"/>
      <c r="IJV67" s="242"/>
      <c r="IJW67" s="242"/>
      <c r="IJX67" s="242"/>
      <c r="IJY67" s="242"/>
      <c r="IJZ67" s="242"/>
      <c r="IKA67" s="108"/>
      <c r="IKB67" s="243"/>
      <c r="IKC67" s="243"/>
      <c r="IKD67" s="243"/>
      <c r="IKE67" s="242"/>
      <c r="IKF67" s="242"/>
      <c r="IKG67" s="242"/>
      <c r="IKH67" s="242"/>
      <c r="IKI67" s="242"/>
      <c r="IKJ67" s="242"/>
      <c r="IKK67" s="242"/>
      <c r="IKL67" s="242"/>
      <c r="IKM67" s="242"/>
      <c r="IKN67" s="108"/>
      <c r="IKO67" s="243"/>
      <c r="IKP67" s="243"/>
      <c r="IKQ67" s="243"/>
      <c r="IKR67" s="242"/>
      <c r="IKS67" s="242"/>
      <c r="IKT67" s="242"/>
      <c r="IKU67" s="242"/>
      <c r="IKV67" s="242"/>
      <c r="IKW67" s="242"/>
      <c r="IKX67" s="242"/>
      <c r="IKY67" s="242"/>
      <c r="IKZ67" s="242"/>
      <c r="ILA67" s="108"/>
      <c r="ILB67" s="243"/>
      <c r="ILC67" s="243"/>
      <c r="ILD67" s="243"/>
      <c r="ILE67" s="242"/>
      <c r="ILF67" s="242"/>
      <c r="ILG67" s="242"/>
      <c r="ILH67" s="242"/>
      <c r="ILI67" s="242"/>
      <c r="ILJ67" s="242"/>
      <c r="ILK67" s="242"/>
      <c r="ILL67" s="242"/>
      <c r="ILM67" s="242"/>
      <c r="ILN67" s="108"/>
      <c r="ILO67" s="243"/>
      <c r="ILP67" s="243"/>
      <c r="ILQ67" s="243"/>
      <c r="ILR67" s="242"/>
      <c r="ILS67" s="242"/>
      <c r="ILT67" s="242"/>
      <c r="ILU67" s="242"/>
      <c r="ILV67" s="242"/>
      <c r="ILW67" s="242"/>
      <c r="ILX67" s="242"/>
      <c r="ILY67" s="242"/>
      <c r="ILZ67" s="242"/>
      <c r="IMA67" s="108"/>
      <c r="IMB67" s="243"/>
      <c r="IMC67" s="243"/>
      <c r="IMD67" s="243"/>
      <c r="IME67" s="242"/>
      <c r="IMF67" s="242"/>
      <c r="IMG67" s="242"/>
      <c r="IMH67" s="242"/>
      <c r="IMI67" s="242"/>
      <c r="IMJ67" s="242"/>
      <c r="IMK67" s="242"/>
      <c r="IML67" s="242"/>
      <c r="IMM67" s="242"/>
      <c r="IMN67" s="108"/>
      <c r="IMO67" s="243"/>
      <c r="IMP67" s="243"/>
      <c r="IMQ67" s="243"/>
      <c r="IMR67" s="242"/>
      <c r="IMS67" s="242"/>
      <c r="IMT67" s="242"/>
      <c r="IMU67" s="242"/>
      <c r="IMV67" s="242"/>
      <c r="IMW67" s="242"/>
      <c r="IMX67" s="242"/>
      <c r="IMY67" s="242"/>
      <c r="IMZ67" s="242"/>
      <c r="INA67" s="108"/>
      <c r="INB67" s="243"/>
      <c r="INC67" s="243"/>
      <c r="IND67" s="243"/>
      <c r="INE67" s="242"/>
      <c r="INF67" s="242"/>
      <c r="ING67" s="242"/>
      <c r="INH67" s="242"/>
      <c r="INI67" s="242"/>
      <c r="INJ67" s="242"/>
      <c r="INK67" s="242"/>
      <c r="INL67" s="242"/>
      <c r="INM67" s="242"/>
      <c r="INN67" s="108"/>
      <c r="INO67" s="243"/>
      <c r="INP67" s="243"/>
      <c r="INQ67" s="243"/>
      <c r="INR67" s="242"/>
      <c r="INS67" s="242"/>
      <c r="INT67" s="242"/>
      <c r="INU67" s="242"/>
      <c r="INV67" s="242"/>
      <c r="INW67" s="242"/>
      <c r="INX67" s="242"/>
      <c r="INY67" s="242"/>
      <c r="INZ67" s="242"/>
      <c r="IOA67" s="108"/>
      <c r="IOB67" s="243"/>
      <c r="IOC67" s="243"/>
      <c r="IOD67" s="243"/>
      <c r="IOE67" s="242"/>
      <c r="IOF67" s="242"/>
      <c r="IOG67" s="242"/>
      <c r="IOH67" s="242"/>
      <c r="IOI67" s="242"/>
      <c r="IOJ67" s="242"/>
      <c r="IOK67" s="242"/>
      <c r="IOL67" s="242"/>
      <c r="IOM67" s="242"/>
      <c r="ION67" s="108"/>
      <c r="IOO67" s="243"/>
      <c r="IOP67" s="243"/>
      <c r="IOQ67" s="243"/>
      <c r="IOR67" s="242"/>
      <c r="IOS67" s="242"/>
      <c r="IOT67" s="242"/>
      <c r="IOU67" s="242"/>
      <c r="IOV67" s="242"/>
      <c r="IOW67" s="242"/>
      <c r="IOX67" s="242"/>
      <c r="IOY67" s="242"/>
      <c r="IOZ67" s="242"/>
      <c r="IPA67" s="108"/>
      <c r="IPB67" s="243"/>
      <c r="IPC67" s="243"/>
      <c r="IPD67" s="243"/>
      <c r="IPE67" s="242"/>
      <c r="IPF67" s="242"/>
      <c r="IPG67" s="242"/>
      <c r="IPH67" s="242"/>
      <c r="IPI67" s="242"/>
      <c r="IPJ67" s="242"/>
      <c r="IPK67" s="242"/>
      <c r="IPL67" s="242"/>
      <c r="IPM67" s="242"/>
      <c r="IPN67" s="108"/>
      <c r="IPO67" s="243"/>
      <c r="IPP67" s="243"/>
      <c r="IPQ67" s="243"/>
      <c r="IPR67" s="242"/>
      <c r="IPS67" s="242"/>
      <c r="IPT67" s="242"/>
      <c r="IPU67" s="242"/>
      <c r="IPV67" s="242"/>
      <c r="IPW67" s="242"/>
      <c r="IPX67" s="242"/>
      <c r="IPY67" s="242"/>
      <c r="IPZ67" s="242"/>
      <c r="IQA67" s="108"/>
      <c r="IQB67" s="243"/>
      <c r="IQC67" s="243"/>
      <c r="IQD67" s="243"/>
      <c r="IQE67" s="242"/>
      <c r="IQF67" s="242"/>
      <c r="IQG67" s="242"/>
      <c r="IQH67" s="242"/>
      <c r="IQI67" s="242"/>
      <c r="IQJ67" s="242"/>
      <c r="IQK67" s="242"/>
      <c r="IQL67" s="242"/>
      <c r="IQM67" s="242"/>
      <c r="IQN67" s="108"/>
      <c r="IQO67" s="243"/>
      <c r="IQP67" s="243"/>
      <c r="IQQ67" s="243"/>
      <c r="IQR67" s="242"/>
      <c r="IQS67" s="242"/>
      <c r="IQT67" s="242"/>
      <c r="IQU67" s="242"/>
      <c r="IQV67" s="242"/>
      <c r="IQW67" s="242"/>
      <c r="IQX67" s="242"/>
      <c r="IQY67" s="242"/>
      <c r="IQZ67" s="242"/>
      <c r="IRA67" s="108"/>
      <c r="IRB67" s="243"/>
      <c r="IRC67" s="243"/>
      <c r="IRD67" s="243"/>
      <c r="IRE67" s="242"/>
      <c r="IRF67" s="242"/>
      <c r="IRG67" s="242"/>
      <c r="IRH67" s="242"/>
      <c r="IRI67" s="242"/>
      <c r="IRJ67" s="242"/>
      <c r="IRK67" s="242"/>
      <c r="IRL67" s="242"/>
      <c r="IRM67" s="242"/>
      <c r="IRN67" s="108"/>
      <c r="IRO67" s="243"/>
      <c r="IRP67" s="243"/>
      <c r="IRQ67" s="243"/>
      <c r="IRR67" s="242"/>
      <c r="IRS67" s="242"/>
      <c r="IRT67" s="242"/>
      <c r="IRU67" s="242"/>
      <c r="IRV67" s="242"/>
      <c r="IRW67" s="242"/>
      <c r="IRX67" s="242"/>
      <c r="IRY67" s="242"/>
      <c r="IRZ67" s="242"/>
      <c r="ISA67" s="108"/>
      <c r="ISB67" s="243"/>
      <c r="ISC67" s="243"/>
      <c r="ISD67" s="243"/>
      <c r="ISE67" s="242"/>
      <c r="ISF67" s="242"/>
      <c r="ISG67" s="242"/>
      <c r="ISH67" s="242"/>
      <c r="ISI67" s="242"/>
      <c r="ISJ67" s="242"/>
      <c r="ISK67" s="242"/>
      <c r="ISL67" s="242"/>
      <c r="ISM67" s="242"/>
      <c r="ISN67" s="108"/>
      <c r="ISO67" s="243"/>
      <c r="ISP67" s="243"/>
      <c r="ISQ67" s="243"/>
      <c r="ISR67" s="242"/>
      <c r="ISS67" s="242"/>
      <c r="IST67" s="242"/>
      <c r="ISU67" s="242"/>
      <c r="ISV67" s="242"/>
      <c r="ISW67" s="242"/>
      <c r="ISX67" s="242"/>
      <c r="ISY67" s="242"/>
      <c r="ISZ67" s="242"/>
      <c r="ITA67" s="108"/>
      <c r="ITB67" s="243"/>
      <c r="ITC67" s="243"/>
      <c r="ITD67" s="243"/>
      <c r="ITE67" s="242"/>
      <c r="ITF67" s="242"/>
      <c r="ITG67" s="242"/>
      <c r="ITH67" s="242"/>
      <c r="ITI67" s="242"/>
      <c r="ITJ67" s="242"/>
      <c r="ITK67" s="242"/>
      <c r="ITL67" s="242"/>
      <c r="ITM67" s="242"/>
      <c r="ITN67" s="108"/>
      <c r="ITO67" s="243"/>
      <c r="ITP67" s="243"/>
      <c r="ITQ67" s="243"/>
      <c r="ITR67" s="242"/>
      <c r="ITS67" s="242"/>
      <c r="ITT67" s="242"/>
      <c r="ITU67" s="242"/>
      <c r="ITV67" s="242"/>
      <c r="ITW67" s="242"/>
      <c r="ITX67" s="242"/>
      <c r="ITY67" s="242"/>
      <c r="ITZ67" s="242"/>
      <c r="IUA67" s="108"/>
      <c r="IUB67" s="243"/>
      <c r="IUC67" s="243"/>
      <c r="IUD67" s="243"/>
      <c r="IUE67" s="242"/>
      <c r="IUF67" s="242"/>
      <c r="IUG67" s="242"/>
      <c r="IUH67" s="242"/>
      <c r="IUI67" s="242"/>
      <c r="IUJ67" s="242"/>
      <c r="IUK67" s="242"/>
      <c r="IUL67" s="242"/>
      <c r="IUM67" s="242"/>
      <c r="IUN67" s="108"/>
      <c r="IUO67" s="243"/>
      <c r="IUP67" s="243"/>
      <c r="IUQ67" s="243"/>
      <c r="IUR67" s="242"/>
      <c r="IUS67" s="242"/>
      <c r="IUT67" s="242"/>
      <c r="IUU67" s="242"/>
      <c r="IUV67" s="242"/>
      <c r="IUW67" s="242"/>
      <c r="IUX67" s="242"/>
      <c r="IUY67" s="242"/>
      <c r="IUZ67" s="242"/>
      <c r="IVA67" s="108"/>
      <c r="IVB67" s="243"/>
      <c r="IVC67" s="243"/>
      <c r="IVD67" s="243"/>
      <c r="IVE67" s="242"/>
      <c r="IVF67" s="242"/>
      <c r="IVG67" s="242"/>
      <c r="IVH67" s="242"/>
      <c r="IVI67" s="242"/>
      <c r="IVJ67" s="242"/>
      <c r="IVK67" s="242"/>
      <c r="IVL67" s="242"/>
      <c r="IVM67" s="242"/>
      <c r="IVN67" s="108"/>
      <c r="IVO67" s="243"/>
      <c r="IVP67" s="243"/>
      <c r="IVQ67" s="243"/>
      <c r="IVR67" s="242"/>
      <c r="IVS67" s="242"/>
      <c r="IVT67" s="242"/>
      <c r="IVU67" s="242"/>
      <c r="IVV67" s="242"/>
      <c r="IVW67" s="242"/>
      <c r="IVX67" s="242"/>
      <c r="IVY67" s="242"/>
      <c r="IVZ67" s="242"/>
      <c r="IWA67" s="108"/>
      <c r="IWB67" s="243"/>
      <c r="IWC67" s="243"/>
      <c r="IWD67" s="243"/>
      <c r="IWE67" s="242"/>
      <c r="IWF67" s="242"/>
      <c r="IWG67" s="242"/>
      <c r="IWH67" s="242"/>
      <c r="IWI67" s="242"/>
      <c r="IWJ67" s="242"/>
      <c r="IWK67" s="242"/>
      <c r="IWL67" s="242"/>
      <c r="IWM67" s="242"/>
      <c r="IWN67" s="108"/>
      <c r="IWO67" s="243"/>
      <c r="IWP67" s="243"/>
      <c r="IWQ67" s="243"/>
      <c r="IWR67" s="242"/>
      <c r="IWS67" s="242"/>
      <c r="IWT67" s="242"/>
      <c r="IWU67" s="242"/>
      <c r="IWV67" s="242"/>
      <c r="IWW67" s="242"/>
      <c r="IWX67" s="242"/>
      <c r="IWY67" s="242"/>
      <c r="IWZ67" s="242"/>
      <c r="IXA67" s="108"/>
      <c r="IXB67" s="243"/>
      <c r="IXC67" s="243"/>
      <c r="IXD67" s="243"/>
      <c r="IXE67" s="242"/>
      <c r="IXF67" s="242"/>
      <c r="IXG67" s="242"/>
      <c r="IXH67" s="242"/>
      <c r="IXI67" s="242"/>
      <c r="IXJ67" s="242"/>
      <c r="IXK67" s="242"/>
      <c r="IXL67" s="242"/>
      <c r="IXM67" s="242"/>
      <c r="IXN67" s="108"/>
      <c r="IXO67" s="243"/>
      <c r="IXP67" s="243"/>
      <c r="IXQ67" s="243"/>
      <c r="IXR67" s="242"/>
      <c r="IXS67" s="242"/>
      <c r="IXT67" s="242"/>
      <c r="IXU67" s="242"/>
      <c r="IXV67" s="242"/>
      <c r="IXW67" s="242"/>
      <c r="IXX67" s="242"/>
      <c r="IXY67" s="242"/>
      <c r="IXZ67" s="242"/>
      <c r="IYA67" s="108"/>
      <c r="IYB67" s="243"/>
      <c r="IYC67" s="243"/>
      <c r="IYD67" s="243"/>
      <c r="IYE67" s="242"/>
      <c r="IYF67" s="242"/>
      <c r="IYG67" s="242"/>
      <c r="IYH67" s="242"/>
      <c r="IYI67" s="242"/>
      <c r="IYJ67" s="242"/>
      <c r="IYK67" s="242"/>
      <c r="IYL67" s="242"/>
      <c r="IYM67" s="242"/>
      <c r="IYN67" s="108"/>
      <c r="IYO67" s="243"/>
      <c r="IYP67" s="243"/>
      <c r="IYQ67" s="243"/>
      <c r="IYR67" s="242"/>
      <c r="IYS67" s="242"/>
      <c r="IYT67" s="242"/>
      <c r="IYU67" s="242"/>
      <c r="IYV67" s="242"/>
      <c r="IYW67" s="242"/>
      <c r="IYX67" s="242"/>
      <c r="IYY67" s="242"/>
      <c r="IYZ67" s="242"/>
      <c r="IZA67" s="108"/>
      <c r="IZB67" s="243"/>
      <c r="IZC67" s="243"/>
      <c r="IZD67" s="243"/>
      <c r="IZE67" s="242"/>
      <c r="IZF67" s="242"/>
      <c r="IZG67" s="242"/>
      <c r="IZH67" s="242"/>
      <c r="IZI67" s="242"/>
      <c r="IZJ67" s="242"/>
      <c r="IZK67" s="242"/>
      <c r="IZL67" s="242"/>
      <c r="IZM67" s="242"/>
      <c r="IZN67" s="108"/>
      <c r="IZO67" s="243"/>
      <c r="IZP67" s="243"/>
      <c r="IZQ67" s="243"/>
      <c r="IZR67" s="242"/>
      <c r="IZS67" s="242"/>
      <c r="IZT67" s="242"/>
      <c r="IZU67" s="242"/>
      <c r="IZV67" s="242"/>
      <c r="IZW67" s="242"/>
      <c r="IZX67" s="242"/>
      <c r="IZY67" s="242"/>
      <c r="IZZ67" s="242"/>
      <c r="JAA67" s="108"/>
      <c r="JAB67" s="243"/>
      <c r="JAC67" s="243"/>
      <c r="JAD67" s="243"/>
      <c r="JAE67" s="242"/>
      <c r="JAF67" s="242"/>
      <c r="JAG67" s="242"/>
      <c r="JAH67" s="242"/>
      <c r="JAI67" s="242"/>
      <c r="JAJ67" s="242"/>
      <c r="JAK67" s="242"/>
      <c r="JAL67" s="242"/>
      <c r="JAM67" s="242"/>
      <c r="JAN67" s="108"/>
      <c r="JAO67" s="243"/>
      <c r="JAP67" s="243"/>
      <c r="JAQ67" s="243"/>
      <c r="JAR67" s="242"/>
      <c r="JAS67" s="242"/>
      <c r="JAT67" s="242"/>
      <c r="JAU67" s="242"/>
      <c r="JAV67" s="242"/>
      <c r="JAW67" s="242"/>
      <c r="JAX67" s="242"/>
      <c r="JAY67" s="242"/>
      <c r="JAZ67" s="242"/>
      <c r="JBA67" s="108"/>
      <c r="JBB67" s="243"/>
      <c r="JBC67" s="243"/>
      <c r="JBD67" s="243"/>
      <c r="JBE67" s="242"/>
      <c r="JBF67" s="242"/>
      <c r="JBG67" s="242"/>
      <c r="JBH67" s="242"/>
      <c r="JBI67" s="242"/>
      <c r="JBJ67" s="242"/>
      <c r="JBK67" s="242"/>
      <c r="JBL67" s="242"/>
      <c r="JBM67" s="242"/>
      <c r="JBN67" s="108"/>
      <c r="JBO67" s="243"/>
      <c r="JBP67" s="243"/>
      <c r="JBQ67" s="243"/>
      <c r="JBR67" s="242"/>
      <c r="JBS67" s="242"/>
      <c r="JBT67" s="242"/>
      <c r="JBU67" s="242"/>
      <c r="JBV67" s="242"/>
      <c r="JBW67" s="242"/>
      <c r="JBX67" s="242"/>
      <c r="JBY67" s="242"/>
      <c r="JBZ67" s="242"/>
      <c r="JCA67" s="108"/>
      <c r="JCB67" s="243"/>
      <c r="JCC67" s="243"/>
      <c r="JCD67" s="243"/>
      <c r="JCE67" s="242"/>
      <c r="JCF67" s="242"/>
      <c r="JCG67" s="242"/>
      <c r="JCH67" s="242"/>
      <c r="JCI67" s="242"/>
      <c r="JCJ67" s="242"/>
      <c r="JCK67" s="242"/>
      <c r="JCL67" s="242"/>
      <c r="JCM67" s="242"/>
      <c r="JCN67" s="108"/>
      <c r="JCO67" s="243"/>
      <c r="JCP67" s="243"/>
      <c r="JCQ67" s="243"/>
      <c r="JCR67" s="242"/>
      <c r="JCS67" s="242"/>
      <c r="JCT67" s="242"/>
      <c r="JCU67" s="242"/>
      <c r="JCV67" s="242"/>
      <c r="JCW67" s="242"/>
      <c r="JCX67" s="242"/>
      <c r="JCY67" s="242"/>
      <c r="JCZ67" s="242"/>
      <c r="JDA67" s="108"/>
      <c r="JDB67" s="243"/>
      <c r="JDC67" s="243"/>
      <c r="JDD67" s="243"/>
      <c r="JDE67" s="242"/>
      <c r="JDF67" s="242"/>
      <c r="JDG67" s="242"/>
      <c r="JDH67" s="242"/>
      <c r="JDI67" s="242"/>
      <c r="JDJ67" s="242"/>
      <c r="JDK67" s="242"/>
      <c r="JDL67" s="242"/>
      <c r="JDM67" s="242"/>
      <c r="JDN67" s="108"/>
      <c r="JDO67" s="243"/>
      <c r="JDP67" s="243"/>
      <c r="JDQ67" s="243"/>
      <c r="JDR67" s="242"/>
      <c r="JDS67" s="242"/>
      <c r="JDT67" s="242"/>
      <c r="JDU67" s="242"/>
      <c r="JDV67" s="242"/>
      <c r="JDW67" s="242"/>
      <c r="JDX67" s="242"/>
      <c r="JDY67" s="242"/>
      <c r="JDZ67" s="242"/>
      <c r="JEA67" s="108"/>
      <c r="JEB67" s="243"/>
      <c r="JEC67" s="243"/>
      <c r="JED67" s="243"/>
      <c r="JEE67" s="242"/>
      <c r="JEF67" s="242"/>
      <c r="JEG67" s="242"/>
      <c r="JEH67" s="242"/>
      <c r="JEI67" s="242"/>
      <c r="JEJ67" s="242"/>
      <c r="JEK67" s="242"/>
      <c r="JEL67" s="242"/>
      <c r="JEM67" s="242"/>
      <c r="JEN67" s="108"/>
      <c r="JEO67" s="243"/>
      <c r="JEP67" s="243"/>
      <c r="JEQ67" s="243"/>
      <c r="JER67" s="242"/>
      <c r="JES67" s="242"/>
      <c r="JET67" s="242"/>
      <c r="JEU67" s="242"/>
      <c r="JEV67" s="242"/>
      <c r="JEW67" s="242"/>
      <c r="JEX67" s="242"/>
      <c r="JEY67" s="242"/>
      <c r="JEZ67" s="242"/>
      <c r="JFA67" s="108"/>
      <c r="JFB67" s="243"/>
      <c r="JFC67" s="243"/>
      <c r="JFD67" s="243"/>
      <c r="JFE67" s="242"/>
      <c r="JFF67" s="242"/>
      <c r="JFG67" s="242"/>
      <c r="JFH67" s="242"/>
      <c r="JFI67" s="242"/>
      <c r="JFJ67" s="242"/>
      <c r="JFK67" s="242"/>
      <c r="JFL67" s="242"/>
      <c r="JFM67" s="242"/>
      <c r="JFN67" s="108"/>
      <c r="JFO67" s="243"/>
      <c r="JFP67" s="243"/>
      <c r="JFQ67" s="243"/>
      <c r="JFR67" s="242"/>
      <c r="JFS67" s="242"/>
      <c r="JFT67" s="242"/>
      <c r="JFU67" s="242"/>
      <c r="JFV67" s="242"/>
      <c r="JFW67" s="242"/>
      <c r="JFX67" s="242"/>
      <c r="JFY67" s="242"/>
      <c r="JFZ67" s="242"/>
      <c r="JGA67" s="108"/>
      <c r="JGB67" s="243"/>
      <c r="JGC67" s="243"/>
      <c r="JGD67" s="243"/>
      <c r="JGE67" s="242"/>
      <c r="JGF67" s="242"/>
      <c r="JGG67" s="242"/>
      <c r="JGH67" s="242"/>
      <c r="JGI67" s="242"/>
      <c r="JGJ67" s="242"/>
      <c r="JGK67" s="242"/>
      <c r="JGL67" s="242"/>
      <c r="JGM67" s="242"/>
      <c r="JGN67" s="108"/>
      <c r="JGO67" s="243"/>
      <c r="JGP67" s="243"/>
      <c r="JGQ67" s="243"/>
      <c r="JGR67" s="242"/>
      <c r="JGS67" s="242"/>
      <c r="JGT67" s="242"/>
      <c r="JGU67" s="242"/>
      <c r="JGV67" s="242"/>
      <c r="JGW67" s="242"/>
      <c r="JGX67" s="242"/>
      <c r="JGY67" s="242"/>
      <c r="JGZ67" s="242"/>
      <c r="JHA67" s="108"/>
      <c r="JHB67" s="243"/>
      <c r="JHC67" s="243"/>
      <c r="JHD67" s="243"/>
      <c r="JHE67" s="242"/>
      <c r="JHF67" s="242"/>
      <c r="JHG67" s="242"/>
      <c r="JHH67" s="242"/>
      <c r="JHI67" s="242"/>
      <c r="JHJ67" s="242"/>
      <c r="JHK67" s="242"/>
      <c r="JHL67" s="242"/>
      <c r="JHM67" s="242"/>
      <c r="JHN67" s="108"/>
      <c r="JHO67" s="243"/>
      <c r="JHP67" s="243"/>
      <c r="JHQ67" s="243"/>
      <c r="JHR67" s="242"/>
      <c r="JHS67" s="242"/>
      <c r="JHT67" s="242"/>
      <c r="JHU67" s="242"/>
      <c r="JHV67" s="242"/>
      <c r="JHW67" s="242"/>
      <c r="JHX67" s="242"/>
      <c r="JHY67" s="242"/>
      <c r="JHZ67" s="242"/>
      <c r="JIA67" s="108"/>
      <c r="JIB67" s="243"/>
      <c r="JIC67" s="243"/>
      <c r="JID67" s="243"/>
      <c r="JIE67" s="242"/>
      <c r="JIF67" s="242"/>
      <c r="JIG67" s="242"/>
      <c r="JIH67" s="242"/>
      <c r="JII67" s="242"/>
      <c r="JIJ67" s="242"/>
      <c r="JIK67" s="242"/>
      <c r="JIL67" s="242"/>
      <c r="JIM67" s="242"/>
      <c r="JIN67" s="108"/>
      <c r="JIO67" s="243"/>
      <c r="JIP67" s="243"/>
      <c r="JIQ67" s="243"/>
      <c r="JIR67" s="242"/>
      <c r="JIS67" s="242"/>
      <c r="JIT67" s="242"/>
      <c r="JIU67" s="242"/>
      <c r="JIV67" s="242"/>
      <c r="JIW67" s="242"/>
      <c r="JIX67" s="242"/>
      <c r="JIY67" s="242"/>
      <c r="JIZ67" s="242"/>
      <c r="JJA67" s="108"/>
      <c r="JJB67" s="243"/>
      <c r="JJC67" s="243"/>
      <c r="JJD67" s="243"/>
      <c r="JJE67" s="242"/>
      <c r="JJF67" s="242"/>
      <c r="JJG67" s="242"/>
      <c r="JJH67" s="242"/>
      <c r="JJI67" s="242"/>
      <c r="JJJ67" s="242"/>
      <c r="JJK67" s="242"/>
      <c r="JJL67" s="242"/>
      <c r="JJM67" s="242"/>
      <c r="JJN67" s="108"/>
      <c r="JJO67" s="243"/>
      <c r="JJP67" s="243"/>
      <c r="JJQ67" s="243"/>
      <c r="JJR67" s="242"/>
      <c r="JJS67" s="242"/>
      <c r="JJT67" s="242"/>
      <c r="JJU67" s="242"/>
      <c r="JJV67" s="242"/>
      <c r="JJW67" s="242"/>
      <c r="JJX67" s="242"/>
      <c r="JJY67" s="242"/>
      <c r="JJZ67" s="242"/>
      <c r="JKA67" s="108"/>
      <c r="JKB67" s="243"/>
      <c r="JKC67" s="243"/>
      <c r="JKD67" s="243"/>
      <c r="JKE67" s="242"/>
      <c r="JKF67" s="242"/>
      <c r="JKG67" s="242"/>
      <c r="JKH67" s="242"/>
      <c r="JKI67" s="242"/>
      <c r="JKJ67" s="242"/>
      <c r="JKK67" s="242"/>
      <c r="JKL67" s="242"/>
      <c r="JKM67" s="242"/>
      <c r="JKN67" s="108"/>
      <c r="JKO67" s="243"/>
      <c r="JKP67" s="243"/>
      <c r="JKQ67" s="243"/>
      <c r="JKR67" s="242"/>
      <c r="JKS67" s="242"/>
      <c r="JKT67" s="242"/>
      <c r="JKU67" s="242"/>
      <c r="JKV67" s="242"/>
      <c r="JKW67" s="242"/>
      <c r="JKX67" s="242"/>
      <c r="JKY67" s="242"/>
      <c r="JKZ67" s="242"/>
      <c r="JLA67" s="108"/>
      <c r="JLB67" s="243"/>
      <c r="JLC67" s="243"/>
      <c r="JLD67" s="243"/>
      <c r="JLE67" s="242"/>
      <c r="JLF67" s="242"/>
      <c r="JLG67" s="242"/>
      <c r="JLH67" s="242"/>
      <c r="JLI67" s="242"/>
      <c r="JLJ67" s="242"/>
      <c r="JLK67" s="242"/>
      <c r="JLL67" s="242"/>
      <c r="JLM67" s="242"/>
      <c r="JLN67" s="108"/>
      <c r="JLO67" s="243"/>
      <c r="JLP67" s="243"/>
      <c r="JLQ67" s="243"/>
      <c r="JLR67" s="242"/>
      <c r="JLS67" s="242"/>
      <c r="JLT67" s="242"/>
      <c r="JLU67" s="242"/>
      <c r="JLV67" s="242"/>
      <c r="JLW67" s="242"/>
      <c r="JLX67" s="242"/>
      <c r="JLY67" s="242"/>
      <c r="JLZ67" s="242"/>
      <c r="JMA67" s="108"/>
      <c r="JMB67" s="243"/>
      <c r="JMC67" s="243"/>
      <c r="JMD67" s="243"/>
      <c r="JME67" s="242"/>
      <c r="JMF67" s="242"/>
      <c r="JMG67" s="242"/>
      <c r="JMH67" s="242"/>
      <c r="JMI67" s="242"/>
      <c r="JMJ67" s="242"/>
      <c r="JMK67" s="242"/>
      <c r="JML67" s="242"/>
      <c r="JMM67" s="242"/>
      <c r="JMN67" s="108"/>
      <c r="JMO67" s="243"/>
      <c r="JMP67" s="243"/>
      <c r="JMQ67" s="243"/>
      <c r="JMR67" s="242"/>
      <c r="JMS67" s="242"/>
      <c r="JMT67" s="242"/>
      <c r="JMU67" s="242"/>
      <c r="JMV67" s="242"/>
      <c r="JMW67" s="242"/>
      <c r="JMX67" s="242"/>
      <c r="JMY67" s="242"/>
      <c r="JMZ67" s="242"/>
      <c r="JNA67" s="108"/>
      <c r="JNB67" s="243"/>
      <c r="JNC67" s="243"/>
      <c r="JND67" s="243"/>
      <c r="JNE67" s="242"/>
      <c r="JNF67" s="242"/>
      <c r="JNG67" s="242"/>
      <c r="JNH67" s="242"/>
      <c r="JNI67" s="242"/>
      <c r="JNJ67" s="242"/>
      <c r="JNK67" s="242"/>
      <c r="JNL67" s="242"/>
      <c r="JNM67" s="242"/>
      <c r="JNN67" s="108"/>
      <c r="JNO67" s="243"/>
      <c r="JNP67" s="243"/>
      <c r="JNQ67" s="243"/>
      <c r="JNR67" s="242"/>
      <c r="JNS67" s="242"/>
      <c r="JNT67" s="242"/>
      <c r="JNU67" s="242"/>
      <c r="JNV67" s="242"/>
      <c r="JNW67" s="242"/>
      <c r="JNX67" s="242"/>
      <c r="JNY67" s="242"/>
      <c r="JNZ67" s="242"/>
      <c r="JOA67" s="108"/>
      <c r="JOB67" s="243"/>
      <c r="JOC67" s="243"/>
      <c r="JOD67" s="243"/>
      <c r="JOE67" s="242"/>
      <c r="JOF67" s="242"/>
      <c r="JOG67" s="242"/>
      <c r="JOH67" s="242"/>
      <c r="JOI67" s="242"/>
      <c r="JOJ67" s="242"/>
      <c r="JOK67" s="242"/>
      <c r="JOL67" s="242"/>
      <c r="JOM67" s="242"/>
      <c r="JON67" s="108"/>
      <c r="JOO67" s="243"/>
      <c r="JOP67" s="243"/>
      <c r="JOQ67" s="243"/>
      <c r="JOR67" s="242"/>
      <c r="JOS67" s="242"/>
      <c r="JOT67" s="242"/>
      <c r="JOU67" s="242"/>
      <c r="JOV67" s="242"/>
      <c r="JOW67" s="242"/>
      <c r="JOX67" s="242"/>
      <c r="JOY67" s="242"/>
      <c r="JOZ67" s="242"/>
      <c r="JPA67" s="108"/>
      <c r="JPB67" s="243"/>
      <c r="JPC67" s="243"/>
      <c r="JPD67" s="243"/>
      <c r="JPE67" s="242"/>
      <c r="JPF67" s="242"/>
      <c r="JPG67" s="242"/>
      <c r="JPH67" s="242"/>
      <c r="JPI67" s="242"/>
      <c r="JPJ67" s="242"/>
      <c r="JPK67" s="242"/>
      <c r="JPL67" s="242"/>
      <c r="JPM67" s="242"/>
      <c r="JPN67" s="108"/>
      <c r="JPO67" s="243"/>
      <c r="JPP67" s="243"/>
      <c r="JPQ67" s="243"/>
      <c r="JPR67" s="242"/>
      <c r="JPS67" s="242"/>
      <c r="JPT67" s="242"/>
      <c r="JPU67" s="242"/>
      <c r="JPV67" s="242"/>
      <c r="JPW67" s="242"/>
      <c r="JPX67" s="242"/>
      <c r="JPY67" s="242"/>
      <c r="JPZ67" s="242"/>
      <c r="JQA67" s="108"/>
      <c r="JQB67" s="243"/>
      <c r="JQC67" s="243"/>
      <c r="JQD67" s="243"/>
      <c r="JQE67" s="242"/>
      <c r="JQF67" s="242"/>
      <c r="JQG67" s="242"/>
      <c r="JQH67" s="242"/>
      <c r="JQI67" s="242"/>
      <c r="JQJ67" s="242"/>
      <c r="JQK67" s="242"/>
      <c r="JQL67" s="242"/>
      <c r="JQM67" s="242"/>
      <c r="JQN67" s="108"/>
      <c r="JQO67" s="243"/>
      <c r="JQP67" s="243"/>
      <c r="JQQ67" s="243"/>
      <c r="JQR67" s="242"/>
      <c r="JQS67" s="242"/>
      <c r="JQT67" s="242"/>
      <c r="JQU67" s="242"/>
      <c r="JQV67" s="242"/>
      <c r="JQW67" s="242"/>
      <c r="JQX67" s="242"/>
      <c r="JQY67" s="242"/>
      <c r="JQZ67" s="242"/>
      <c r="JRA67" s="108"/>
      <c r="JRB67" s="243"/>
      <c r="JRC67" s="243"/>
      <c r="JRD67" s="243"/>
      <c r="JRE67" s="242"/>
      <c r="JRF67" s="242"/>
      <c r="JRG67" s="242"/>
      <c r="JRH67" s="242"/>
      <c r="JRI67" s="242"/>
      <c r="JRJ67" s="242"/>
      <c r="JRK67" s="242"/>
      <c r="JRL67" s="242"/>
      <c r="JRM67" s="242"/>
      <c r="JRN67" s="108"/>
      <c r="JRO67" s="243"/>
      <c r="JRP67" s="243"/>
      <c r="JRQ67" s="243"/>
      <c r="JRR67" s="242"/>
      <c r="JRS67" s="242"/>
      <c r="JRT67" s="242"/>
      <c r="JRU67" s="242"/>
      <c r="JRV67" s="242"/>
      <c r="JRW67" s="242"/>
      <c r="JRX67" s="242"/>
      <c r="JRY67" s="242"/>
      <c r="JRZ67" s="242"/>
      <c r="JSA67" s="108"/>
      <c r="JSB67" s="243"/>
      <c r="JSC67" s="243"/>
      <c r="JSD67" s="243"/>
      <c r="JSE67" s="242"/>
      <c r="JSF67" s="242"/>
      <c r="JSG67" s="242"/>
      <c r="JSH67" s="242"/>
      <c r="JSI67" s="242"/>
      <c r="JSJ67" s="242"/>
      <c r="JSK67" s="242"/>
      <c r="JSL67" s="242"/>
      <c r="JSM67" s="242"/>
      <c r="JSN67" s="108"/>
      <c r="JSO67" s="243"/>
      <c r="JSP67" s="243"/>
      <c r="JSQ67" s="243"/>
      <c r="JSR67" s="242"/>
      <c r="JSS67" s="242"/>
      <c r="JST67" s="242"/>
      <c r="JSU67" s="242"/>
      <c r="JSV67" s="242"/>
      <c r="JSW67" s="242"/>
      <c r="JSX67" s="242"/>
      <c r="JSY67" s="242"/>
      <c r="JSZ67" s="242"/>
      <c r="JTA67" s="108"/>
      <c r="JTB67" s="243"/>
      <c r="JTC67" s="243"/>
      <c r="JTD67" s="243"/>
      <c r="JTE67" s="242"/>
      <c r="JTF67" s="242"/>
      <c r="JTG67" s="242"/>
      <c r="JTH67" s="242"/>
      <c r="JTI67" s="242"/>
      <c r="JTJ67" s="242"/>
      <c r="JTK67" s="242"/>
      <c r="JTL67" s="242"/>
      <c r="JTM67" s="242"/>
      <c r="JTN67" s="108"/>
      <c r="JTO67" s="243"/>
      <c r="JTP67" s="243"/>
      <c r="JTQ67" s="243"/>
      <c r="JTR67" s="242"/>
      <c r="JTS67" s="242"/>
      <c r="JTT67" s="242"/>
      <c r="JTU67" s="242"/>
      <c r="JTV67" s="242"/>
      <c r="JTW67" s="242"/>
      <c r="JTX67" s="242"/>
      <c r="JTY67" s="242"/>
      <c r="JTZ67" s="242"/>
      <c r="JUA67" s="108"/>
      <c r="JUB67" s="243"/>
      <c r="JUC67" s="243"/>
      <c r="JUD67" s="243"/>
      <c r="JUE67" s="242"/>
      <c r="JUF67" s="242"/>
      <c r="JUG67" s="242"/>
      <c r="JUH67" s="242"/>
      <c r="JUI67" s="242"/>
      <c r="JUJ67" s="242"/>
      <c r="JUK67" s="242"/>
      <c r="JUL67" s="242"/>
      <c r="JUM67" s="242"/>
      <c r="JUN67" s="108"/>
      <c r="JUO67" s="243"/>
      <c r="JUP67" s="243"/>
      <c r="JUQ67" s="243"/>
      <c r="JUR67" s="242"/>
      <c r="JUS67" s="242"/>
      <c r="JUT67" s="242"/>
      <c r="JUU67" s="242"/>
      <c r="JUV67" s="242"/>
      <c r="JUW67" s="242"/>
      <c r="JUX67" s="242"/>
      <c r="JUY67" s="242"/>
      <c r="JUZ67" s="242"/>
      <c r="JVA67" s="108"/>
      <c r="JVB67" s="243"/>
      <c r="JVC67" s="243"/>
      <c r="JVD67" s="243"/>
      <c r="JVE67" s="242"/>
      <c r="JVF67" s="242"/>
      <c r="JVG67" s="242"/>
      <c r="JVH67" s="242"/>
      <c r="JVI67" s="242"/>
      <c r="JVJ67" s="242"/>
      <c r="JVK67" s="242"/>
      <c r="JVL67" s="242"/>
      <c r="JVM67" s="242"/>
      <c r="JVN67" s="108"/>
      <c r="JVO67" s="243"/>
      <c r="JVP67" s="243"/>
      <c r="JVQ67" s="243"/>
      <c r="JVR67" s="242"/>
      <c r="JVS67" s="242"/>
      <c r="JVT67" s="242"/>
      <c r="JVU67" s="242"/>
      <c r="JVV67" s="242"/>
      <c r="JVW67" s="242"/>
      <c r="JVX67" s="242"/>
      <c r="JVY67" s="242"/>
      <c r="JVZ67" s="242"/>
      <c r="JWA67" s="108"/>
      <c r="JWB67" s="243"/>
      <c r="JWC67" s="243"/>
      <c r="JWD67" s="243"/>
      <c r="JWE67" s="242"/>
      <c r="JWF67" s="242"/>
      <c r="JWG67" s="242"/>
      <c r="JWH67" s="242"/>
      <c r="JWI67" s="242"/>
      <c r="JWJ67" s="242"/>
      <c r="JWK67" s="242"/>
      <c r="JWL67" s="242"/>
      <c r="JWM67" s="242"/>
      <c r="JWN67" s="108"/>
      <c r="JWO67" s="243"/>
      <c r="JWP67" s="243"/>
      <c r="JWQ67" s="243"/>
      <c r="JWR67" s="242"/>
      <c r="JWS67" s="242"/>
      <c r="JWT67" s="242"/>
      <c r="JWU67" s="242"/>
      <c r="JWV67" s="242"/>
      <c r="JWW67" s="242"/>
      <c r="JWX67" s="242"/>
      <c r="JWY67" s="242"/>
      <c r="JWZ67" s="242"/>
      <c r="JXA67" s="108"/>
      <c r="JXB67" s="243"/>
      <c r="JXC67" s="243"/>
      <c r="JXD67" s="243"/>
      <c r="JXE67" s="242"/>
      <c r="JXF67" s="242"/>
      <c r="JXG67" s="242"/>
      <c r="JXH67" s="242"/>
      <c r="JXI67" s="242"/>
      <c r="JXJ67" s="242"/>
      <c r="JXK67" s="242"/>
      <c r="JXL67" s="242"/>
      <c r="JXM67" s="242"/>
      <c r="JXN67" s="108"/>
      <c r="JXO67" s="243"/>
      <c r="JXP67" s="243"/>
      <c r="JXQ67" s="243"/>
      <c r="JXR67" s="242"/>
      <c r="JXS67" s="242"/>
      <c r="JXT67" s="242"/>
      <c r="JXU67" s="242"/>
      <c r="JXV67" s="242"/>
      <c r="JXW67" s="242"/>
      <c r="JXX67" s="242"/>
      <c r="JXY67" s="242"/>
      <c r="JXZ67" s="242"/>
      <c r="JYA67" s="108"/>
      <c r="JYB67" s="243"/>
      <c r="JYC67" s="243"/>
      <c r="JYD67" s="243"/>
      <c r="JYE67" s="242"/>
      <c r="JYF67" s="242"/>
      <c r="JYG67" s="242"/>
      <c r="JYH67" s="242"/>
      <c r="JYI67" s="242"/>
      <c r="JYJ67" s="242"/>
      <c r="JYK67" s="242"/>
      <c r="JYL67" s="242"/>
      <c r="JYM67" s="242"/>
      <c r="JYN67" s="108"/>
      <c r="JYO67" s="243"/>
      <c r="JYP67" s="243"/>
      <c r="JYQ67" s="243"/>
      <c r="JYR67" s="242"/>
      <c r="JYS67" s="242"/>
      <c r="JYT67" s="242"/>
      <c r="JYU67" s="242"/>
      <c r="JYV67" s="242"/>
      <c r="JYW67" s="242"/>
      <c r="JYX67" s="242"/>
      <c r="JYY67" s="242"/>
      <c r="JYZ67" s="242"/>
      <c r="JZA67" s="108"/>
      <c r="JZB67" s="243"/>
      <c r="JZC67" s="243"/>
      <c r="JZD67" s="243"/>
      <c r="JZE67" s="242"/>
      <c r="JZF67" s="242"/>
      <c r="JZG67" s="242"/>
      <c r="JZH67" s="242"/>
      <c r="JZI67" s="242"/>
      <c r="JZJ67" s="242"/>
      <c r="JZK67" s="242"/>
      <c r="JZL67" s="242"/>
      <c r="JZM67" s="242"/>
      <c r="JZN67" s="108"/>
      <c r="JZO67" s="243"/>
      <c r="JZP67" s="243"/>
      <c r="JZQ67" s="243"/>
      <c r="JZR67" s="242"/>
      <c r="JZS67" s="242"/>
      <c r="JZT67" s="242"/>
      <c r="JZU67" s="242"/>
      <c r="JZV67" s="242"/>
      <c r="JZW67" s="242"/>
      <c r="JZX67" s="242"/>
      <c r="JZY67" s="242"/>
      <c r="JZZ67" s="242"/>
      <c r="KAA67" s="108"/>
      <c r="KAB67" s="243"/>
      <c r="KAC67" s="243"/>
      <c r="KAD67" s="243"/>
      <c r="KAE67" s="242"/>
      <c r="KAF67" s="242"/>
      <c r="KAG67" s="242"/>
      <c r="KAH67" s="242"/>
      <c r="KAI67" s="242"/>
      <c r="KAJ67" s="242"/>
      <c r="KAK67" s="242"/>
      <c r="KAL67" s="242"/>
      <c r="KAM67" s="242"/>
      <c r="KAN67" s="108"/>
      <c r="KAO67" s="243"/>
      <c r="KAP67" s="243"/>
      <c r="KAQ67" s="243"/>
      <c r="KAR67" s="242"/>
      <c r="KAS67" s="242"/>
      <c r="KAT67" s="242"/>
      <c r="KAU67" s="242"/>
      <c r="KAV67" s="242"/>
      <c r="KAW67" s="242"/>
      <c r="KAX67" s="242"/>
      <c r="KAY67" s="242"/>
      <c r="KAZ67" s="242"/>
      <c r="KBA67" s="108"/>
      <c r="KBB67" s="243"/>
      <c r="KBC67" s="243"/>
      <c r="KBD67" s="243"/>
      <c r="KBE67" s="242"/>
      <c r="KBF67" s="242"/>
      <c r="KBG67" s="242"/>
      <c r="KBH67" s="242"/>
      <c r="KBI67" s="242"/>
      <c r="KBJ67" s="242"/>
      <c r="KBK67" s="242"/>
      <c r="KBL67" s="242"/>
      <c r="KBM67" s="242"/>
      <c r="KBN67" s="108"/>
      <c r="KBO67" s="243"/>
      <c r="KBP67" s="243"/>
      <c r="KBQ67" s="243"/>
      <c r="KBR67" s="242"/>
      <c r="KBS67" s="242"/>
      <c r="KBT67" s="242"/>
      <c r="KBU67" s="242"/>
      <c r="KBV67" s="242"/>
      <c r="KBW67" s="242"/>
      <c r="KBX67" s="242"/>
      <c r="KBY67" s="242"/>
      <c r="KBZ67" s="242"/>
      <c r="KCA67" s="108"/>
      <c r="KCB67" s="243"/>
      <c r="KCC67" s="243"/>
      <c r="KCD67" s="243"/>
      <c r="KCE67" s="242"/>
      <c r="KCF67" s="242"/>
      <c r="KCG67" s="242"/>
      <c r="KCH67" s="242"/>
      <c r="KCI67" s="242"/>
      <c r="KCJ67" s="242"/>
      <c r="KCK67" s="242"/>
      <c r="KCL67" s="242"/>
      <c r="KCM67" s="242"/>
      <c r="KCN67" s="108"/>
      <c r="KCO67" s="243"/>
      <c r="KCP67" s="243"/>
      <c r="KCQ67" s="243"/>
      <c r="KCR67" s="242"/>
      <c r="KCS67" s="242"/>
      <c r="KCT67" s="242"/>
      <c r="KCU67" s="242"/>
      <c r="KCV67" s="242"/>
      <c r="KCW67" s="242"/>
      <c r="KCX67" s="242"/>
      <c r="KCY67" s="242"/>
      <c r="KCZ67" s="242"/>
      <c r="KDA67" s="108"/>
      <c r="KDB67" s="243"/>
      <c r="KDC67" s="243"/>
      <c r="KDD67" s="243"/>
      <c r="KDE67" s="242"/>
      <c r="KDF67" s="242"/>
      <c r="KDG67" s="242"/>
      <c r="KDH67" s="242"/>
      <c r="KDI67" s="242"/>
      <c r="KDJ67" s="242"/>
      <c r="KDK67" s="242"/>
      <c r="KDL67" s="242"/>
      <c r="KDM67" s="242"/>
      <c r="KDN67" s="108"/>
      <c r="KDO67" s="243"/>
      <c r="KDP67" s="243"/>
      <c r="KDQ67" s="243"/>
      <c r="KDR67" s="242"/>
      <c r="KDS67" s="242"/>
      <c r="KDT67" s="242"/>
      <c r="KDU67" s="242"/>
      <c r="KDV67" s="242"/>
      <c r="KDW67" s="242"/>
      <c r="KDX67" s="242"/>
      <c r="KDY67" s="242"/>
      <c r="KDZ67" s="242"/>
      <c r="KEA67" s="108"/>
      <c r="KEB67" s="243"/>
      <c r="KEC67" s="243"/>
      <c r="KED67" s="243"/>
      <c r="KEE67" s="242"/>
      <c r="KEF67" s="242"/>
      <c r="KEG67" s="242"/>
      <c r="KEH67" s="242"/>
      <c r="KEI67" s="242"/>
      <c r="KEJ67" s="242"/>
      <c r="KEK67" s="242"/>
      <c r="KEL67" s="242"/>
      <c r="KEM67" s="242"/>
      <c r="KEN67" s="108"/>
      <c r="KEO67" s="243"/>
      <c r="KEP67" s="243"/>
      <c r="KEQ67" s="243"/>
      <c r="KER67" s="242"/>
      <c r="KES67" s="242"/>
      <c r="KET67" s="242"/>
      <c r="KEU67" s="242"/>
      <c r="KEV67" s="242"/>
      <c r="KEW67" s="242"/>
      <c r="KEX67" s="242"/>
      <c r="KEY67" s="242"/>
      <c r="KEZ67" s="242"/>
      <c r="KFA67" s="108"/>
      <c r="KFB67" s="243"/>
      <c r="KFC67" s="243"/>
      <c r="KFD67" s="243"/>
      <c r="KFE67" s="242"/>
      <c r="KFF67" s="242"/>
      <c r="KFG67" s="242"/>
      <c r="KFH67" s="242"/>
      <c r="KFI67" s="242"/>
      <c r="KFJ67" s="242"/>
      <c r="KFK67" s="242"/>
      <c r="KFL67" s="242"/>
      <c r="KFM67" s="242"/>
      <c r="KFN67" s="108"/>
      <c r="KFO67" s="243"/>
      <c r="KFP67" s="243"/>
      <c r="KFQ67" s="243"/>
      <c r="KFR67" s="242"/>
      <c r="KFS67" s="242"/>
      <c r="KFT67" s="242"/>
      <c r="KFU67" s="242"/>
      <c r="KFV67" s="242"/>
      <c r="KFW67" s="242"/>
      <c r="KFX67" s="242"/>
      <c r="KFY67" s="242"/>
      <c r="KFZ67" s="242"/>
      <c r="KGA67" s="108"/>
      <c r="KGB67" s="243"/>
      <c r="KGC67" s="243"/>
      <c r="KGD67" s="243"/>
      <c r="KGE67" s="242"/>
      <c r="KGF67" s="242"/>
      <c r="KGG67" s="242"/>
      <c r="KGH67" s="242"/>
      <c r="KGI67" s="242"/>
      <c r="KGJ67" s="242"/>
      <c r="KGK67" s="242"/>
      <c r="KGL67" s="242"/>
      <c r="KGM67" s="242"/>
      <c r="KGN67" s="108"/>
      <c r="KGO67" s="243"/>
      <c r="KGP67" s="243"/>
      <c r="KGQ67" s="243"/>
      <c r="KGR67" s="242"/>
      <c r="KGS67" s="242"/>
      <c r="KGT67" s="242"/>
      <c r="KGU67" s="242"/>
      <c r="KGV67" s="242"/>
      <c r="KGW67" s="242"/>
      <c r="KGX67" s="242"/>
      <c r="KGY67" s="242"/>
      <c r="KGZ67" s="242"/>
      <c r="KHA67" s="108"/>
      <c r="KHB67" s="243"/>
      <c r="KHC67" s="243"/>
      <c r="KHD67" s="243"/>
      <c r="KHE67" s="242"/>
      <c r="KHF67" s="242"/>
      <c r="KHG67" s="242"/>
      <c r="KHH67" s="242"/>
      <c r="KHI67" s="242"/>
      <c r="KHJ67" s="242"/>
      <c r="KHK67" s="242"/>
      <c r="KHL67" s="242"/>
      <c r="KHM67" s="242"/>
      <c r="KHN67" s="108"/>
      <c r="KHO67" s="243"/>
      <c r="KHP67" s="243"/>
      <c r="KHQ67" s="243"/>
      <c r="KHR67" s="242"/>
      <c r="KHS67" s="242"/>
      <c r="KHT67" s="242"/>
      <c r="KHU67" s="242"/>
      <c r="KHV67" s="242"/>
      <c r="KHW67" s="242"/>
      <c r="KHX67" s="242"/>
      <c r="KHY67" s="242"/>
      <c r="KHZ67" s="242"/>
      <c r="KIA67" s="108"/>
      <c r="KIB67" s="243"/>
      <c r="KIC67" s="243"/>
      <c r="KID67" s="243"/>
      <c r="KIE67" s="242"/>
      <c r="KIF67" s="242"/>
      <c r="KIG67" s="242"/>
      <c r="KIH67" s="242"/>
      <c r="KII67" s="242"/>
      <c r="KIJ67" s="242"/>
      <c r="KIK67" s="242"/>
      <c r="KIL67" s="242"/>
      <c r="KIM67" s="242"/>
      <c r="KIN67" s="108"/>
      <c r="KIO67" s="243"/>
      <c r="KIP67" s="243"/>
      <c r="KIQ67" s="243"/>
      <c r="KIR67" s="242"/>
      <c r="KIS67" s="242"/>
      <c r="KIT67" s="242"/>
      <c r="KIU67" s="242"/>
      <c r="KIV67" s="242"/>
      <c r="KIW67" s="242"/>
      <c r="KIX67" s="242"/>
      <c r="KIY67" s="242"/>
      <c r="KIZ67" s="242"/>
      <c r="KJA67" s="108"/>
      <c r="KJB67" s="243"/>
      <c r="KJC67" s="243"/>
      <c r="KJD67" s="243"/>
      <c r="KJE67" s="242"/>
      <c r="KJF67" s="242"/>
      <c r="KJG67" s="242"/>
      <c r="KJH67" s="242"/>
      <c r="KJI67" s="242"/>
      <c r="KJJ67" s="242"/>
      <c r="KJK67" s="242"/>
      <c r="KJL67" s="242"/>
      <c r="KJM67" s="242"/>
      <c r="KJN67" s="108"/>
      <c r="KJO67" s="243"/>
      <c r="KJP67" s="243"/>
      <c r="KJQ67" s="243"/>
      <c r="KJR67" s="242"/>
      <c r="KJS67" s="242"/>
      <c r="KJT67" s="242"/>
      <c r="KJU67" s="242"/>
      <c r="KJV67" s="242"/>
      <c r="KJW67" s="242"/>
      <c r="KJX67" s="242"/>
      <c r="KJY67" s="242"/>
      <c r="KJZ67" s="242"/>
      <c r="KKA67" s="108"/>
      <c r="KKB67" s="243"/>
      <c r="KKC67" s="243"/>
      <c r="KKD67" s="243"/>
      <c r="KKE67" s="242"/>
      <c r="KKF67" s="242"/>
      <c r="KKG67" s="242"/>
      <c r="KKH67" s="242"/>
      <c r="KKI67" s="242"/>
      <c r="KKJ67" s="242"/>
      <c r="KKK67" s="242"/>
      <c r="KKL67" s="242"/>
      <c r="KKM67" s="242"/>
      <c r="KKN67" s="108"/>
      <c r="KKO67" s="243"/>
      <c r="KKP67" s="243"/>
      <c r="KKQ67" s="243"/>
      <c r="KKR67" s="242"/>
      <c r="KKS67" s="242"/>
      <c r="KKT67" s="242"/>
      <c r="KKU67" s="242"/>
      <c r="KKV67" s="242"/>
      <c r="KKW67" s="242"/>
      <c r="KKX67" s="242"/>
      <c r="KKY67" s="242"/>
      <c r="KKZ67" s="242"/>
      <c r="KLA67" s="108"/>
      <c r="KLB67" s="243"/>
      <c r="KLC67" s="243"/>
      <c r="KLD67" s="243"/>
      <c r="KLE67" s="242"/>
      <c r="KLF67" s="242"/>
      <c r="KLG67" s="242"/>
      <c r="KLH67" s="242"/>
      <c r="KLI67" s="242"/>
      <c r="KLJ67" s="242"/>
      <c r="KLK67" s="242"/>
      <c r="KLL67" s="242"/>
      <c r="KLM67" s="242"/>
      <c r="KLN67" s="108"/>
      <c r="KLO67" s="243"/>
      <c r="KLP67" s="243"/>
      <c r="KLQ67" s="243"/>
      <c r="KLR67" s="242"/>
      <c r="KLS67" s="242"/>
      <c r="KLT67" s="242"/>
      <c r="KLU67" s="242"/>
      <c r="KLV67" s="242"/>
      <c r="KLW67" s="242"/>
      <c r="KLX67" s="242"/>
      <c r="KLY67" s="242"/>
      <c r="KLZ67" s="242"/>
      <c r="KMA67" s="108"/>
      <c r="KMB67" s="243"/>
      <c r="KMC67" s="243"/>
      <c r="KMD67" s="243"/>
      <c r="KME67" s="242"/>
      <c r="KMF67" s="242"/>
      <c r="KMG67" s="242"/>
      <c r="KMH67" s="242"/>
      <c r="KMI67" s="242"/>
      <c r="KMJ67" s="242"/>
      <c r="KMK67" s="242"/>
      <c r="KML67" s="242"/>
      <c r="KMM67" s="242"/>
      <c r="KMN67" s="108"/>
      <c r="KMO67" s="243"/>
      <c r="KMP67" s="243"/>
      <c r="KMQ67" s="243"/>
      <c r="KMR67" s="242"/>
      <c r="KMS67" s="242"/>
      <c r="KMT67" s="242"/>
      <c r="KMU67" s="242"/>
      <c r="KMV67" s="242"/>
      <c r="KMW67" s="242"/>
      <c r="KMX67" s="242"/>
      <c r="KMY67" s="242"/>
      <c r="KMZ67" s="242"/>
      <c r="KNA67" s="108"/>
      <c r="KNB67" s="243"/>
      <c r="KNC67" s="243"/>
      <c r="KND67" s="243"/>
      <c r="KNE67" s="242"/>
      <c r="KNF67" s="242"/>
      <c r="KNG67" s="242"/>
      <c r="KNH67" s="242"/>
      <c r="KNI67" s="242"/>
      <c r="KNJ67" s="242"/>
      <c r="KNK67" s="242"/>
      <c r="KNL67" s="242"/>
      <c r="KNM67" s="242"/>
      <c r="KNN67" s="108"/>
      <c r="KNO67" s="243"/>
      <c r="KNP67" s="243"/>
      <c r="KNQ67" s="243"/>
      <c r="KNR67" s="242"/>
      <c r="KNS67" s="242"/>
      <c r="KNT67" s="242"/>
      <c r="KNU67" s="242"/>
      <c r="KNV67" s="242"/>
      <c r="KNW67" s="242"/>
      <c r="KNX67" s="242"/>
      <c r="KNY67" s="242"/>
      <c r="KNZ67" s="242"/>
      <c r="KOA67" s="108"/>
      <c r="KOB67" s="243"/>
      <c r="KOC67" s="243"/>
      <c r="KOD67" s="243"/>
      <c r="KOE67" s="242"/>
      <c r="KOF67" s="242"/>
      <c r="KOG67" s="242"/>
      <c r="KOH67" s="242"/>
      <c r="KOI67" s="242"/>
      <c r="KOJ67" s="242"/>
      <c r="KOK67" s="242"/>
      <c r="KOL67" s="242"/>
      <c r="KOM67" s="242"/>
      <c r="KON67" s="108"/>
      <c r="KOO67" s="243"/>
      <c r="KOP67" s="243"/>
      <c r="KOQ67" s="243"/>
      <c r="KOR67" s="242"/>
      <c r="KOS67" s="242"/>
      <c r="KOT67" s="242"/>
      <c r="KOU67" s="242"/>
      <c r="KOV67" s="242"/>
      <c r="KOW67" s="242"/>
      <c r="KOX67" s="242"/>
      <c r="KOY67" s="242"/>
      <c r="KOZ67" s="242"/>
      <c r="KPA67" s="108"/>
      <c r="KPB67" s="243"/>
      <c r="KPC67" s="243"/>
      <c r="KPD67" s="243"/>
      <c r="KPE67" s="242"/>
      <c r="KPF67" s="242"/>
      <c r="KPG67" s="242"/>
      <c r="KPH67" s="242"/>
      <c r="KPI67" s="242"/>
      <c r="KPJ67" s="242"/>
      <c r="KPK67" s="242"/>
      <c r="KPL67" s="242"/>
      <c r="KPM67" s="242"/>
      <c r="KPN67" s="108"/>
      <c r="KPO67" s="243"/>
      <c r="KPP67" s="243"/>
      <c r="KPQ67" s="243"/>
      <c r="KPR67" s="242"/>
      <c r="KPS67" s="242"/>
      <c r="KPT67" s="242"/>
      <c r="KPU67" s="242"/>
      <c r="KPV67" s="242"/>
      <c r="KPW67" s="242"/>
      <c r="KPX67" s="242"/>
      <c r="KPY67" s="242"/>
      <c r="KPZ67" s="242"/>
      <c r="KQA67" s="108"/>
      <c r="KQB67" s="243"/>
      <c r="KQC67" s="243"/>
      <c r="KQD67" s="243"/>
      <c r="KQE67" s="242"/>
      <c r="KQF67" s="242"/>
      <c r="KQG67" s="242"/>
      <c r="KQH67" s="242"/>
      <c r="KQI67" s="242"/>
      <c r="KQJ67" s="242"/>
      <c r="KQK67" s="242"/>
      <c r="KQL67" s="242"/>
      <c r="KQM67" s="242"/>
      <c r="KQN67" s="108"/>
      <c r="KQO67" s="243"/>
      <c r="KQP67" s="243"/>
      <c r="KQQ67" s="243"/>
      <c r="KQR67" s="242"/>
      <c r="KQS67" s="242"/>
      <c r="KQT67" s="242"/>
      <c r="KQU67" s="242"/>
      <c r="KQV67" s="242"/>
      <c r="KQW67" s="242"/>
      <c r="KQX67" s="242"/>
      <c r="KQY67" s="242"/>
      <c r="KQZ67" s="242"/>
      <c r="KRA67" s="108"/>
      <c r="KRB67" s="243"/>
      <c r="KRC67" s="243"/>
      <c r="KRD67" s="243"/>
      <c r="KRE67" s="242"/>
      <c r="KRF67" s="242"/>
      <c r="KRG67" s="242"/>
      <c r="KRH67" s="242"/>
      <c r="KRI67" s="242"/>
      <c r="KRJ67" s="242"/>
      <c r="KRK67" s="242"/>
      <c r="KRL67" s="242"/>
      <c r="KRM67" s="242"/>
      <c r="KRN67" s="108"/>
      <c r="KRO67" s="243"/>
      <c r="KRP67" s="243"/>
      <c r="KRQ67" s="243"/>
      <c r="KRR67" s="242"/>
      <c r="KRS67" s="242"/>
      <c r="KRT67" s="242"/>
      <c r="KRU67" s="242"/>
      <c r="KRV67" s="242"/>
      <c r="KRW67" s="242"/>
      <c r="KRX67" s="242"/>
      <c r="KRY67" s="242"/>
      <c r="KRZ67" s="242"/>
      <c r="KSA67" s="108"/>
      <c r="KSB67" s="243"/>
      <c r="KSC67" s="243"/>
      <c r="KSD67" s="243"/>
      <c r="KSE67" s="242"/>
      <c r="KSF67" s="242"/>
      <c r="KSG67" s="242"/>
      <c r="KSH67" s="242"/>
      <c r="KSI67" s="242"/>
      <c r="KSJ67" s="242"/>
      <c r="KSK67" s="242"/>
      <c r="KSL67" s="242"/>
      <c r="KSM67" s="242"/>
      <c r="KSN67" s="108"/>
      <c r="KSO67" s="243"/>
      <c r="KSP67" s="243"/>
      <c r="KSQ67" s="243"/>
      <c r="KSR67" s="242"/>
      <c r="KSS67" s="242"/>
      <c r="KST67" s="242"/>
      <c r="KSU67" s="242"/>
      <c r="KSV67" s="242"/>
      <c r="KSW67" s="242"/>
      <c r="KSX67" s="242"/>
      <c r="KSY67" s="242"/>
      <c r="KSZ67" s="242"/>
      <c r="KTA67" s="108"/>
      <c r="KTB67" s="243"/>
      <c r="KTC67" s="243"/>
      <c r="KTD67" s="243"/>
      <c r="KTE67" s="242"/>
      <c r="KTF67" s="242"/>
      <c r="KTG67" s="242"/>
      <c r="KTH67" s="242"/>
      <c r="KTI67" s="242"/>
      <c r="KTJ67" s="242"/>
      <c r="KTK67" s="242"/>
      <c r="KTL67" s="242"/>
      <c r="KTM67" s="242"/>
      <c r="KTN67" s="108"/>
      <c r="KTO67" s="243"/>
      <c r="KTP67" s="243"/>
      <c r="KTQ67" s="243"/>
      <c r="KTR67" s="242"/>
      <c r="KTS67" s="242"/>
      <c r="KTT67" s="242"/>
      <c r="KTU67" s="242"/>
      <c r="KTV67" s="242"/>
      <c r="KTW67" s="242"/>
      <c r="KTX67" s="242"/>
      <c r="KTY67" s="242"/>
      <c r="KTZ67" s="242"/>
      <c r="KUA67" s="108"/>
      <c r="KUB67" s="243"/>
      <c r="KUC67" s="243"/>
      <c r="KUD67" s="243"/>
      <c r="KUE67" s="242"/>
      <c r="KUF67" s="242"/>
      <c r="KUG67" s="242"/>
      <c r="KUH67" s="242"/>
      <c r="KUI67" s="242"/>
      <c r="KUJ67" s="242"/>
      <c r="KUK67" s="242"/>
      <c r="KUL67" s="242"/>
      <c r="KUM67" s="242"/>
      <c r="KUN67" s="108"/>
      <c r="KUO67" s="243"/>
      <c r="KUP67" s="243"/>
      <c r="KUQ67" s="243"/>
      <c r="KUR67" s="242"/>
      <c r="KUS67" s="242"/>
      <c r="KUT67" s="242"/>
      <c r="KUU67" s="242"/>
      <c r="KUV67" s="242"/>
      <c r="KUW67" s="242"/>
      <c r="KUX67" s="242"/>
      <c r="KUY67" s="242"/>
      <c r="KUZ67" s="242"/>
      <c r="KVA67" s="108"/>
      <c r="KVB67" s="243"/>
      <c r="KVC67" s="243"/>
      <c r="KVD67" s="243"/>
      <c r="KVE67" s="242"/>
      <c r="KVF67" s="242"/>
      <c r="KVG67" s="242"/>
      <c r="KVH67" s="242"/>
      <c r="KVI67" s="242"/>
      <c r="KVJ67" s="242"/>
      <c r="KVK67" s="242"/>
      <c r="KVL67" s="242"/>
      <c r="KVM67" s="242"/>
      <c r="KVN67" s="108"/>
      <c r="KVO67" s="243"/>
      <c r="KVP67" s="243"/>
      <c r="KVQ67" s="243"/>
      <c r="KVR67" s="242"/>
      <c r="KVS67" s="242"/>
      <c r="KVT67" s="242"/>
      <c r="KVU67" s="242"/>
      <c r="KVV67" s="242"/>
      <c r="KVW67" s="242"/>
      <c r="KVX67" s="242"/>
      <c r="KVY67" s="242"/>
      <c r="KVZ67" s="242"/>
      <c r="KWA67" s="108"/>
      <c r="KWB67" s="243"/>
      <c r="KWC67" s="243"/>
      <c r="KWD67" s="243"/>
      <c r="KWE67" s="242"/>
      <c r="KWF67" s="242"/>
      <c r="KWG67" s="242"/>
      <c r="KWH67" s="242"/>
      <c r="KWI67" s="242"/>
      <c r="KWJ67" s="242"/>
      <c r="KWK67" s="242"/>
      <c r="KWL67" s="242"/>
      <c r="KWM67" s="242"/>
      <c r="KWN67" s="108"/>
      <c r="KWO67" s="243"/>
      <c r="KWP67" s="243"/>
      <c r="KWQ67" s="243"/>
      <c r="KWR67" s="242"/>
      <c r="KWS67" s="242"/>
      <c r="KWT67" s="242"/>
      <c r="KWU67" s="242"/>
      <c r="KWV67" s="242"/>
      <c r="KWW67" s="242"/>
      <c r="KWX67" s="242"/>
      <c r="KWY67" s="242"/>
      <c r="KWZ67" s="242"/>
      <c r="KXA67" s="108"/>
      <c r="KXB67" s="243"/>
      <c r="KXC67" s="243"/>
      <c r="KXD67" s="243"/>
      <c r="KXE67" s="242"/>
      <c r="KXF67" s="242"/>
      <c r="KXG67" s="242"/>
      <c r="KXH67" s="242"/>
      <c r="KXI67" s="242"/>
      <c r="KXJ67" s="242"/>
      <c r="KXK67" s="242"/>
      <c r="KXL67" s="242"/>
      <c r="KXM67" s="242"/>
      <c r="KXN67" s="108"/>
      <c r="KXO67" s="243"/>
      <c r="KXP67" s="243"/>
      <c r="KXQ67" s="243"/>
      <c r="KXR67" s="242"/>
      <c r="KXS67" s="242"/>
      <c r="KXT67" s="242"/>
      <c r="KXU67" s="242"/>
      <c r="KXV67" s="242"/>
      <c r="KXW67" s="242"/>
      <c r="KXX67" s="242"/>
      <c r="KXY67" s="242"/>
      <c r="KXZ67" s="242"/>
      <c r="KYA67" s="108"/>
      <c r="KYB67" s="243"/>
      <c r="KYC67" s="243"/>
      <c r="KYD67" s="243"/>
      <c r="KYE67" s="242"/>
      <c r="KYF67" s="242"/>
      <c r="KYG67" s="242"/>
      <c r="KYH67" s="242"/>
      <c r="KYI67" s="242"/>
      <c r="KYJ67" s="242"/>
      <c r="KYK67" s="242"/>
      <c r="KYL67" s="242"/>
      <c r="KYM67" s="242"/>
      <c r="KYN67" s="108"/>
      <c r="KYO67" s="243"/>
      <c r="KYP67" s="243"/>
      <c r="KYQ67" s="243"/>
      <c r="KYR67" s="242"/>
      <c r="KYS67" s="242"/>
      <c r="KYT67" s="242"/>
      <c r="KYU67" s="242"/>
      <c r="KYV67" s="242"/>
      <c r="KYW67" s="242"/>
      <c r="KYX67" s="242"/>
      <c r="KYY67" s="242"/>
      <c r="KYZ67" s="242"/>
      <c r="KZA67" s="108"/>
      <c r="KZB67" s="243"/>
      <c r="KZC67" s="243"/>
      <c r="KZD67" s="243"/>
      <c r="KZE67" s="242"/>
      <c r="KZF67" s="242"/>
      <c r="KZG67" s="242"/>
      <c r="KZH67" s="242"/>
      <c r="KZI67" s="242"/>
      <c r="KZJ67" s="242"/>
      <c r="KZK67" s="242"/>
      <c r="KZL67" s="242"/>
      <c r="KZM67" s="242"/>
      <c r="KZN67" s="108"/>
      <c r="KZO67" s="243"/>
      <c r="KZP67" s="243"/>
      <c r="KZQ67" s="243"/>
      <c r="KZR67" s="242"/>
      <c r="KZS67" s="242"/>
      <c r="KZT67" s="242"/>
      <c r="KZU67" s="242"/>
      <c r="KZV67" s="242"/>
      <c r="KZW67" s="242"/>
      <c r="KZX67" s="242"/>
      <c r="KZY67" s="242"/>
      <c r="KZZ67" s="242"/>
      <c r="LAA67" s="108"/>
      <c r="LAB67" s="243"/>
      <c r="LAC67" s="243"/>
      <c r="LAD67" s="243"/>
      <c r="LAE67" s="242"/>
      <c r="LAF67" s="242"/>
      <c r="LAG67" s="242"/>
      <c r="LAH67" s="242"/>
      <c r="LAI67" s="242"/>
      <c r="LAJ67" s="242"/>
      <c r="LAK67" s="242"/>
      <c r="LAL67" s="242"/>
      <c r="LAM67" s="242"/>
      <c r="LAN67" s="108"/>
      <c r="LAO67" s="243"/>
      <c r="LAP67" s="243"/>
      <c r="LAQ67" s="243"/>
      <c r="LAR67" s="242"/>
      <c r="LAS67" s="242"/>
      <c r="LAT67" s="242"/>
      <c r="LAU67" s="242"/>
      <c r="LAV67" s="242"/>
      <c r="LAW67" s="242"/>
      <c r="LAX67" s="242"/>
      <c r="LAY67" s="242"/>
      <c r="LAZ67" s="242"/>
      <c r="LBA67" s="108"/>
      <c r="LBB67" s="243"/>
      <c r="LBC67" s="243"/>
      <c r="LBD67" s="243"/>
      <c r="LBE67" s="242"/>
      <c r="LBF67" s="242"/>
      <c r="LBG67" s="242"/>
      <c r="LBH67" s="242"/>
      <c r="LBI67" s="242"/>
      <c r="LBJ67" s="242"/>
      <c r="LBK67" s="242"/>
      <c r="LBL67" s="242"/>
      <c r="LBM67" s="242"/>
      <c r="LBN67" s="108"/>
      <c r="LBO67" s="243"/>
      <c r="LBP67" s="243"/>
      <c r="LBQ67" s="243"/>
      <c r="LBR67" s="242"/>
      <c r="LBS67" s="242"/>
      <c r="LBT67" s="242"/>
      <c r="LBU67" s="242"/>
      <c r="LBV67" s="242"/>
      <c r="LBW67" s="242"/>
      <c r="LBX67" s="242"/>
      <c r="LBY67" s="242"/>
      <c r="LBZ67" s="242"/>
      <c r="LCA67" s="108"/>
      <c r="LCB67" s="243"/>
      <c r="LCC67" s="243"/>
      <c r="LCD67" s="243"/>
      <c r="LCE67" s="242"/>
      <c r="LCF67" s="242"/>
      <c r="LCG67" s="242"/>
      <c r="LCH67" s="242"/>
      <c r="LCI67" s="242"/>
      <c r="LCJ67" s="242"/>
      <c r="LCK67" s="242"/>
      <c r="LCL67" s="242"/>
      <c r="LCM67" s="242"/>
      <c r="LCN67" s="108"/>
      <c r="LCO67" s="243"/>
      <c r="LCP67" s="243"/>
      <c r="LCQ67" s="243"/>
      <c r="LCR67" s="242"/>
      <c r="LCS67" s="242"/>
      <c r="LCT67" s="242"/>
      <c r="LCU67" s="242"/>
      <c r="LCV67" s="242"/>
      <c r="LCW67" s="242"/>
      <c r="LCX67" s="242"/>
      <c r="LCY67" s="242"/>
      <c r="LCZ67" s="242"/>
      <c r="LDA67" s="108"/>
      <c r="LDB67" s="243"/>
      <c r="LDC67" s="243"/>
      <c r="LDD67" s="243"/>
      <c r="LDE67" s="242"/>
      <c r="LDF67" s="242"/>
      <c r="LDG67" s="242"/>
      <c r="LDH67" s="242"/>
      <c r="LDI67" s="242"/>
      <c r="LDJ67" s="242"/>
      <c r="LDK67" s="242"/>
      <c r="LDL67" s="242"/>
      <c r="LDM67" s="242"/>
      <c r="LDN67" s="108"/>
      <c r="LDO67" s="243"/>
      <c r="LDP67" s="243"/>
      <c r="LDQ67" s="243"/>
      <c r="LDR67" s="242"/>
      <c r="LDS67" s="242"/>
      <c r="LDT67" s="242"/>
      <c r="LDU67" s="242"/>
      <c r="LDV67" s="242"/>
      <c r="LDW67" s="242"/>
      <c r="LDX67" s="242"/>
      <c r="LDY67" s="242"/>
      <c r="LDZ67" s="242"/>
      <c r="LEA67" s="108"/>
      <c r="LEB67" s="243"/>
      <c r="LEC67" s="243"/>
      <c r="LED67" s="243"/>
      <c r="LEE67" s="242"/>
      <c r="LEF67" s="242"/>
      <c r="LEG67" s="242"/>
      <c r="LEH67" s="242"/>
      <c r="LEI67" s="242"/>
      <c r="LEJ67" s="242"/>
      <c r="LEK67" s="242"/>
      <c r="LEL67" s="242"/>
      <c r="LEM67" s="242"/>
      <c r="LEN67" s="108"/>
      <c r="LEO67" s="243"/>
      <c r="LEP67" s="243"/>
      <c r="LEQ67" s="243"/>
      <c r="LER67" s="242"/>
      <c r="LES67" s="242"/>
      <c r="LET67" s="242"/>
      <c r="LEU67" s="242"/>
      <c r="LEV67" s="242"/>
      <c r="LEW67" s="242"/>
      <c r="LEX67" s="242"/>
      <c r="LEY67" s="242"/>
      <c r="LEZ67" s="242"/>
      <c r="LFA67" s="108"/>
      <c r="LFB67" s="243"/>
      <c r="LFC67" s="243"/>
      <c r="LFD67" s="243"/>
      <c r="LFE67" s="242"/>
      <c r="LFF67" s="242"/>
      <c r="LFG67" s="242"/>
      <c r="LFH67" s="242"/>
      <c r="LFI67" s="242"/>
      <c r="LFJ67" s="242"/>
      <c r="LFK67" s="242"/>
      <c r="LFL67" s="242"/>
      <c r="LFM67" s="242"/>
      <c r="LFN67" s="108"/>
      <c r="LFO67" s="243"/>
      <c r="LFP67" s="243"/>
      <c r="LFQ67" s="243"/>
      <c r="LFR67" s="242"/>
      <c r="LFS67" s="242"/>
      <c r="LFT67" s="242"/>
      <c r="LFU67" s="242"/>
      <c r="LFV67" s="242"/>
      <c r="LFW67" s="242"/>
      <c r="LFX67" s="242"/>
      <c r="LFY67" s="242"/>
      <c r="LFZ67" s="242"/>
      <c r="LGA67" s="108"/>
      <c r="LGB67" s="243"/>
      <c r="LGC67" s="243"/>
      <c r="LGD67" s="243"/>
      <c r="LGE67" s="242"/>
      <c r="LGF67" s="242"/>
      <c r="LGG67" s="242"/>
      <c r="LGH67" s="242"/>
      <c r="LGI67" s="242"/>
      <c r="LGJ67" s="242"/>
      <c r="LGK67" s="242"/>
      <c r="LGL67" s="242"/>
      <c r="LGM67" s="242"/>
      <c r="LGN67" s="108"/>
      <c r="LGO67" s="243"/>
      <c r="LGP67" s="243"/>
      <c r="LGQ67" s="243"/>
      <c r="LGR67" s="242"/>
      <c r="LGS67" s="242"/>
      <c r="LGT67" s="242"/>
      <c r="LGU67" s="242"/>
      <c r="LGV67" s="242"/>
      <c r="LGW67" s="242"/>
      <c r="LGX67" s="242"/>
      <c r="LGY67" s="242"/>
      <c r="LGZ67" s="242"/>
      <c r="LHA67" s="108"/>
      <c r="LHB67" s="243"/>
      <c r="LHC67" s="243"/>
      <c r="LHD67" s="243"/>
      <c r="LHE67" s="242"/>
      <c r="LHF67" s="242"/>
      <c r="LHG67" s="242"/>
      <c r="LHH67" s="242"/>
      <c r="LHI67" s="242"/>
      <c r="LHJ67" s="242"/>
      <c r="LHK67" s="242"/>
      <c r="LHL67" s="242"/>
      <c r="LHM67" s="242"/>
      <c r="LHN67" s="108"/>
      <c r="LHO67" s="243"/>
      <c r="LHP67" s="243"/>
      <c r="LHQ67" s="243"/>
      <c r="LHR67" s="242"/>
      <c r="LHS67" s="242"/>
      <c r="LHT67" s="242"/>
      <c r="LHU67" s="242"/>
      <c r="LHV67" s="242"/>
      <c r="LHW67" s="242"/>
      <c r="LHX67" s="242"/>
      <c r="LHY67" s="242"/>
      <c r="LHZ67" s="242"/>
      <c r="LIA67" s="108"/>
      <c r="LIB67" s="243"/>
      <c r="LIC67" s="243"/>
      <c r="LID67" s="243"/>
      <c r="LIE67" s="242"/>
      <c r="LIF67" s="242"/>
      <c r="LIG67" s="242"/>
      <c r="LIH67" s="242"/>
      <c r="LII67" s="242"/>
      <c r="LIJ67" s="242"/>
      <c r="LIK67" s="242"/>
      <c r="LIL67" s="242"/>
      <c r="LIM67" s="242"/>
      <c r="LIN67" s="108"/>
      <c r="LIO67" s="243"/>
      <c r="LIP67" s="243"/>
      <c r="LIQ67" s="243"/>
      <c r="LIR67" s="242"/>
      <c r="LIS67" s="242"/>
      <c r="LIT67" s="242"/>
      <c r="LIU67" s="242"/>
      <c r="LIV67" s="242"/>
      <c r="LIW67" s="242"/>
      <c r="LIX67" s="242"/>
      <c r="LIY67" s="242"/>
      <c r="LIZ67" s="242"/>
      <c r="LJA67" s="108"/>
      <c r="LJB67" s="243"/>
      <c r="LJC67" s="243"/>
      <c r="LJD67" s="243"/>
      <c r="LJE67" s="242"/>
      <c r="LJF67" s="242"/>
      <c r="LJG67" s="242"/>
      <c r="LJH67" s="242"/>
      <c r="LJI67" s="242"/>
      <c r="LJJ67" s="242"/>
      <c r="LJK67" s="242"/>
      <c r="LJL67" s="242"/>
      <c r="LJM67" s="242"/>
      <c r="LJN67" s="108"/>
      <c r="LJO67" s="243"/>
      <c r="LJP67" s="243"/>
      <c r="LJQ67" s="243"/>
      <c r="LJR67" s="242"/>
      <c r="LJS67" s="242"/>
      <c r="LJT67" s="242"/>
      <c r="LJU67" s="242"/>
      <c r="LJV67" s="242"/>
      <c r="LJW67" s="242"/>
      <c r="LJX67" s="242"/>
      <c r="LJY67" s="242"/>
      <c r="LJZ67" s="242"/>
      <c r="LKA67" s="108"/>
      <c r="LKB67" s="243"/>
      <c r="LKC67" s="243"/>
      <c r="LKD67" s="243"/>
      <c r="LKE67" s="242"/>
      <c r="LKF67" s="242"/>
      <c r="LKG67" s="242"/>
      <c r="LKH67" s="242"/>
      <c r="LKI67" s="242"/>
      <c r="LKJ67" s="242"/>
      <c r="LKK67" s="242"/>
      <c r="LKL67" s="242"/>
      <c r="LKM67" s="242"/>
      <c r="LKN67" s="108"/>
      <c r="LKO67" s="243"/>
      <c r="LKP67" s="243"/>
      <c r="LKQ67" s="243"/>
      <c r="LKR67" s="242"/>
      <c r="LKS67" s="242"/>
      <c r="LKT67" s="242"/>
      <c r="LKU67" s="242"/>
      <c r="LKV67" s="242"/>
      <c r="LKW67" s="242"/>
      <c r="LKX67" s="242"/>
      <c r="LKY67" s="242"/>
      <c r="LKZ67" s="242"/>
      <c r="LLA67" s="108"/>
      <c r="LLB67" s="243"/>
      <c r="LLC67" s="243"/>
      <c r="LLD67" s="243"/>
      <c r="LLE67" s="242"/>
      <c r="LLF67" s="242"/>
      <c r="LLG67" s="242"/>
      <c r="LLH67" s="242"/>
      <c r="LLI67" s="242"/>
      <c r="LLJ67" s="242"/>
      <c r="LLK67" s="242"/>
      <c r="LLL67" s="242"/>
      <c r="LLM67" s="242"/>
      <c r="LLN67" s="108"/>
      <c r="LLO67" s="243"/>
      <c r="LLP67" s="243"/>
      <c r="LLQ67" s="243"/>
      <c r="LLR67" s="242"/>
      <c r="LLS67" s="242"/>
      <c r="LLT67" s="242"/>
      <c r="LLU67" s="242"/>
      <c r="LLV67" s="242"/>
      <c r="LLW67" s="242"/>
      <c r="LLX67" s="242"/>
      <c r="LLY67" s="242"/>
      <c r="LLZ67" s="242"/>
      <c r="LMA67" s="108"/>
      <c r="LMB67" s="243"/>
      <c r="LMC67" s="243"/>
      <c r="LMD67" s="243"/>
      <c r="LME67" s="242"/>
      <c r="LMF67" s="242"/>
      <c r="LMG67" s="242"/>
      <c r="LMH67" s="242"/>
      <c r="LMI67" s="242"/>
      <c r="LMJ67" s="242"/>
      <c r="LMK67" s="242"/>
      <c r="LML67" s="242"/>
      <c r="LMM67" s="242"/>
      <c r="LMN67" s="108"/>
      <c r="LMO67" s="243"/>
      <c r="LMP67" s="243"/>
      <c r="LMQ67" s="243"/>
      <c r="LMR67" s="242"/>
      <c r="LMS67" s="242"/>
      <c r="LMT67" s="242"/>
      <c r="LMU67" s="242"/>
      <c r="LMV67" s="242"/>
      <c r="LMW67" s="242"/>
      <c r="LMX67" s="242"/>
      <c r="LMY67" s="242"/>
      <c r="LMZ67" s="242"/>
      <c r="LNA67" s="108"/>
      <c r="LNB67" s="243"/>
      <c r="LNC67" s="243"/>
      <c r="LND67" s="243"/>
      <c r="LNE67" s="242"/>
      <c r="LNF67" s="242"/>
      <c r="LNG67" s="242"/>
      <c r="LNH67" s="242"/>
      <c r="LNI67" s="242"/>
      <c r="LNJ67" s="242"/>
      <c r="LNK67" s="242"/>
      <c r="LNL67" s="242"/>
      <c r="LNM67" s="242"/>
      <c r="LNN67" s="108"/>
      <c r="LNO67" s="243"/>
      <c r="LNP67" s="243"/>
      <c r="LNQ67" s="243"/>
      <c r="LNR67" s="242"/>
      <c r="LNS67" s="242"/>
      <c r="LNT67" s="242"/>
      <c r="LNU67" s="242"/>
      <c r="LNV67" s="242"/>
      <c r="LNW67" s="242"/>
      <c r="LNX67" s="242"/>
      <c r="LNY67" s="242"/>
      <c r="LNZ67" s="242"/>
      <c r="LOA67" s="108"/>
      <c r="LOB67" s="243"/>
      <c r="LOC67" s="243"/>
      <c r="LOD67" s="243"/>
      <c r="LOE67" s="242"/>
      <c r="LOF67" s="242"/>
      <c r="LOG67" s="242"/>
      <c r="LOH67" s="242"/>
      <c r="LOI67" s="242"/>
      <c r="LOJ67" s="242"/>
      <c r="LOK67" s="242"/>
      <c r="LOL67" s="242"/>
      <c r="LOM67" s="242"/>
      <c r="LON67" s="108"/>
      <c r="LOO67" s="243"/>
      <c r="LOP67" s="243"/>
      <c r="LOQ67" s="243"/>
      <c r="LOR67" s="242"/>
      <c r="LOS67" s="242"/>
      <c r="LOT67" s="242"/>
      <c r="LOU67" s="242"/>
      <c r="LOV67" s="242"/>
      <c r="LOW67" s="242"/>
      <c r="LOX67" s="242"/>
      <c r="LOY67" s="242"/>
      <c r="LOZ67" s="242"/>
      <c r="LPA67" s="108"/>
      <c r="LPB67" s="243"/>
      <c r="LPC67" s="243"/>
      <c r="LPD67" s="243"/>
      <c r="LPE67" s="242"/>
      <c r="LPF67" s="242"/>
      <c r="LPG67" s="242"/>
      <c r="LPH67" s="242"/>
      <c r="LPI67" s="242"/>
      <c r="LPJ67" s="242"/>
      <c r="LPK67" s="242"/>
      <c r="LPL67" s="242"/>
      <c r="LPM67" s="242"/>
      <c r="LPN67" s="108"/>
      <c r="LPO67" s="243"/>
      <c r="LPP67" s="243"/>
      <c r="LPQ67" s="243"/>
      <c r="LPR67" s="242"/>
      <c r="LPS67" s="242"/>
      <c r="LPT67" s="242"/>
      <c r="LPU67" s="242"/>
      <c r="LPV67" s="242"/>
      <c r="LPW67" s="242"/>
      <c r="LPX67" s="242"/>
      <c r="LPY67" s="242"/>
      <c r="LPZ67" s="242"/>
      <c r="LQA67" s="108"/>
      <c r="LQB67" s="243"/>
      <c r="LQC67" s="243"/>
      <c r="LQD67" s="243"/>
      <c r="LQE67" s="242"/>
      <c r="LQF67" s="242"/>
      <c r="LQG67" s="242"/>
      <c r="LQH67" s="242"/>
      <c r="LQI67" s="242"/>
      <c r="LQJ67" s="242"/>
      <c r="LQK67" s="242"/>
      <c r="LQL67" s="242"/>
      <c r="LQM67" s="242"/>
      <c r="LQN67" s="108"/>
      <c r="LQO67" s="243"/>
      <c r="LQP67" s="243"/>
      <c r="LQQ67" s="243"/>
      <c r="LQR67" s="242"/>
      <c r="LQS67" s="242"/>
      <c r="LQT67" s="242"/>
      <c r="LQU67" s="242"/>
      <c r="LQV67" s="242"/>
      <c r="LQW67" s="242"/>
      <c r="LQX67" s="242"/>
      <c r="LQY67" s="242"/>
      <c r="LQZ67" s="242"/>
      <c r="LRA67" s="108"/>
      <c r="LRB67" s="243"/>
      <c r="LRC67" s="243"/>
      <c r="LRD67" s="243"/>
      <c r="LRE67" s="242"/>
      <c r="LRF67" s="242"/>
      <c r="LRG67" s="242"/>
      <c r="LRH67" s="242"/>
      <c r="LRI67" s="242"/>
      <c r="LRJ67" s="242"/>
      <c r="LRK67" s="242"/>
      <c r="LRL67" s="242"/>
      <c r="LRM67" s="242"/>
      <c r="LRN67" s="108"/>
      <c r="LRO67" s="243"/>
      <c r="LRP67" s="243"/>
      <c r="LRQ67" s="243"/>
      <c r="LRR67" s="242"/>
      <c r="LRS67" s="242"/>
      <c r="LRT67" s="242"/>
      <c r="LRU67" s="242"/>
      <c r="LRV67" s="242"/>
      <c r="LRW67" s="242"/>
      <c r="LRX67" s="242"/>
      <c r="LRY67" s="242"/>
      <c r="LRZ67" s="242"/>
      <c r="LSA67" s="108"/>
      <c r="LSB67" s="243"/>
      <c r="LSC67" s="243"/>
      <c r="LSD67" s="243"/>
      <c r="LSE67" s="242"/>
      <c r="LSF67" s="242"/>
      <c r="LSG67" s="242"/>
      <c r="LSH67" s="242"/>
      <c r="LSI67" s="242"/>
      <c r="LSJ67" s="242"/>
      <c r="LSK67" s="242"/>
      <c r="LSL67" s="242"/>
      <c r="LSM67" s="242"/>
      <c r="LSN67" s="108"/>
      <c r="LSO67" s="243"/>
      <c r="LSP67" s="243"/>
      <c r="LSQ67" s="243"/>
      <c r="LSR67" s="242"/>
      <c r="LSS67" s="242"/>
      <c r="LST67" s="242"/>
      <c r="LSU67" s="242"/>
      <c r="LSV67" s="242"/>
      <c r="LSW67" s="242"/>
      <c r="LSX67" s="242"/>
      <c r="LSY67" s="242"/>
      <c r="LSZ67" s="242"/>
      <c r="LTA67" s="108"/>
      <c r="LTB67" s="243"/>
      <c r="LTC67" s="243"/>
      <c r="LTD67" s="243"/>
      <c r="LTE67" s="242"/>
      <c r="LTF67" s="242"/>
      <c r="LTG67" s="242"/>
      <c r="LTH67" s="242"/>
      <c r="LTI67" s="242"/>
      <c r="LTJ67" s="242"/>
      <c r="LTK67" s="242"/>
      <c r="LTL67" s="242"/>
      <c r="LTM67" s="242"/>
      <c r="LTN67" s="108"/>
      <c r="LTO67" s="243"/>
      <c r="LTP67" s="243"/>
      <c r="LTQ67" s="243"/>
      <c r="LTR67" s="242"/>
      <c r="LTS67" s="242"/>
      <c r="LTT67" s="242"/>
      <c r="LTU67" s="242"/>
      <c r="LTV67" s="242"/>
      <c r="LTW67" s="242"/>
      <c r="LTX67" s="242"/>
      <c r="LTY67" s="242"/>
      <c r="LTZ67" s="242"/>
      <c r="LUA67" s="108"/>
      <c r="LUB67" s="243"/>
      <c r="LUC67" s="243"/>
      <c r="LUD67" s="243"/>
      <c r="LUE67" s="242"/>
      <c r="LUF67" s="242"/>
      <c r="LUG67" s="242"/>
      <c r="LUH67" s="242"/>
      <c r="LUI67" s="242"/>
      <c r="LUJ67" s="242"/>
      <c r="LUK67" s="242"/>
      <c r="LUL67" s="242"/>
      <c r="LUM67" s="242"/>
      <c r="LUN67" s="108"/>
      <c r="LUO67" s="243"/>
      <c r="LUP67" s="243"/>
      <c r="LUQ67" s="243"/>
      <c r="LUR67" s="242"/>
      <c r="LUS67" s="242"/>
      <c r="LUT67" s="242"/>
      <c r="LUU67" s="242"/>
      <c r="LUV67" s="242"/>
      <c r="LUW67" s="242"/>
      <c r="LUX67" s="242"/>
      <c r="LUY67" s="242"/>
      <c r="LUZ67" s="242"/>
      <c r="LVA67" s="108"/>
      <c r="LVB67" s="243"/>
      <c r="LVC67" s="243"/>
      <c r="LVD67" s="243"/>
      <c r="LVE67" s="242"/>
      <c r="LVF67" s="242"/>
      <c r="LVG67" s="242"/>
      <c r="LVH67" s="242"/>
      <c r="LVI67" s="242"/>
      <c r="LVJ67" s="242"/>
      <c r="LVK67" s="242"/>
      <c r="LVL67" s="242"/>
      <c r="LVM67" s="242"/>
      <c r="LVN67" s="108"/>
      <c r="LVO67" s="243"/>
      <c r="LVP67" s="243"/>
      <c r="LVQ67" s="243"/>
      <c r="LVR67" s="242"/>
      <c r="LVS67" s="242"/>
      <c r="LVT67" s="242"/>
      <c r="LVU67" s="242"/>
      <c r="LVV67" s="242"/>
      <c r="LVW67" s="242"/>
      <c r="LVX67" s="242"/>
      <c r="LVY67" s="242"/>
      <c r="LVZ67" s="242"/>
      <c r="LWA67" s="108"/>
      <c r="LWB67" s="243"/>
      <c r="LWC67" s="243"/>
      <c r="LWD67" s="243"/>
      <c r="LWE67" s="242"/>
      <c r="LWF67" s="242"/>
      <c r="LWG67" s="242"/>
      <c r="LWH67" s="242"/>
      <c r="LWI67" s="242"/>
      <c r="LWJ67" s="242"/>
      <c r="LWK67" s="242"/>
      <c r="LWL67" s="242"/>
      <c r="LWM67" s="242"/>
      <c r="LWN67" s="108"/>
      <c r="LWO67" s="243"/>
      <c r="LWP67" s="243"/>
      <c r="LWQ67" s="243"/>
      <c r="LWR67" s="242"/>
      <c r="LWS67" s="242"/>
      <c r="LWT67" s="242"/>
      <c r="LWU67" s="242"/>
      <c r="LWV67" s="242"/>
      <c r="LWW67" s="242"/>
      <c r="LWX67" s="242"/>
      <c r="LWY67" s="242"/>
      <c r="LWZ67" s="242"/>
      <c r="LXA67" s="108"/>
      <c r="LXB67" s="243"/>
      <c r="LXC67" s="243"/>
      <c r="LXD67" s="243"/>
      <c r="LXE67" s="242"/>
      <c r="LXF67" s="242"/>
      <c r="LXG67" s="242"/>
      <c r="LXH67" s="242"/>
      <c r="LXI67" s="242"/>
      <c r="LXJ67" s="242"/>
      <c r="LXK67" s="242"/>
      <c r="LXL67" s="242"/>
      <c r="LXM67" s="242"/>
      <c r="LXN67" s="108"/>
      <c r="LXO67" s="243"/>
      <c r="LXP67" s="243"/>
      <c r="LXQ67" s="243"/>
      <c r="LXR67" s="242"/>
      <c r="LXS67" s="242"/>
      <c r="LXT67" s="242"/>
      <c r="LXU67" s="242"/>
      <c r="LXV67" s="242"/>
      <c r="LXW67" s="242"/>
      <c r="LXX67" s="242"/>
      <c r="LXY67" s="242"/>
      <c r="LXZ67" s="242"/>
      <c r="LYA67" s="108"/>
      <c r="LYB67" s="243"/>
      <c r="LYC67" s="243"/>
      <c r="LYD67" s="243"/>
      <c r="LYE67" s="242"/>
      <c r="LYF67" s="242"/>
      <c r="LYG67" s="242"/>
      <c r="LYH67" s="242"/>
      <c r="LYI67" s="242"/>
      <c r="LYJ67" s="242"/>
      <c r="LYK67" s="242"/>
      <c r="LYL67" s="242"/>
      <c r="LYM67" s="242"/>
      <c r="LYN67" s="108"/>
      <c r="LYO67" s="243"/>
      <c r="LYP67" s="243"/>
      <c r="LYQ67" s="243"/>
      <c r="LYR67" s="242"/>
      <c r="LYS67" s="242"/>
      <c r="LYT67" s="242"/>
      <c r="LYU67" s="242"/>
      <c r="LYV67" s="242"/>
      <c r="LYW67" s="242"/>
      <c r="LYX67" s="242"/>
      <c r="LYY67" s="242"/>
      <c r="LYZ67" s="242"/>
      <c r="LZA67" s="108"/>
      <c r="LZB67" s="243"/>
      <c r="LZC67" s="243"/>
      <c r="LZD67" s="243"/>
      <c r="LZE67" s="242"/>
      <c r="LZF67" s="242"/>
      <c r="LZG67" s="242"/>
      <c r="LZH67" s="242"/>
      <c r="LZI67" s="242"/>
      <c r="LZJ67" s="242"/>
      <c r="LZK67" s="242"/>
      <c r="LZL67" s="242"/>
      <c r="LZM67" s="242"/>
      <c r="LZN67" s="108"/>
      <c r="LZO67" s="243"/>
      <c r="LZP67" s="243"/>
      <c r="LZQ67" s="243"/>
      <c r="LZR67" s="242"/>
      <c r="LZS67" s="242"/>
      <c r="LZT67" s="242"/>
      <c r="LZU67" s="242"/>
      <c r="LZV67" s="242"/>
      <c r="LZW67" s="242"/>
      <c r="LZX67" s="242"/>
      <c r="LZY67" s="242"/>
      <c r="LZZ67" s="242"/>
      <c r="MAA67" s="108"/>
      <c r="MAB67" s="243"/>
      <c r="MAC67" s="243"/>
      <c r="MAD67" s="243"/>
      <c r="MAE67" s="242"/>
      <c r="MAF67" s="242"/>
      <c r="MAG67" s="242"/>
      <c r="MAH67" s="242"/>
      <c r="MAI67" s="242"/>
      <c r="MAJ67" s="242"/>
      <c r="MAK67" s="242"/>
      <c r="MAL67" s="242"/>
      <c r="MAM67" s="242"/>
      <c r="MAN67" s="108"/>
      <c r="MAO67" s="243"/>
      <c r="MAP67" s="243"/>
      <c r="MAQ67" s="243"/>
      <c r="MAR67" s="242"/>
      <c r="MAS67" s="242"/>
      <c r="MAT67" s="242"/>
      <c r="MAU67" s="242"/>
      <c r="MAV67" s="242"/>
      <c r="MAW67" s="242"/>
      <c r="MAX67" s="242"/>
      <c r="MAY67" s="242"/>
      <c r="MAZ67" s="242"/>
      <c r="MBA67" s="108"/>
      <c r="MBB67" s="243"/>
      <c r="MBC67" s="243"/>
      <c r="MBD67" s="243"/>
      <c r="MBE67" s="242"/>
      <c r="MBF67" s="242"/>
      <c r="MBG67" s="242"/>
      <c r="MBH67" s="242"/>
      <c r="MBI67" s="242"/>
      <c r="MBJ67" s="242"/>
      <c r="MBK67" s="242"/>
      <c r="MBL67" s="242"/>
      <c r="MBM67" s="242"/>
      <c r="MBN67" s="108"/>
      <c r="MBO67" s="243"/>
      <c r="MBP67" s="243"/>
      <c r="MBQ67" s="243"/>
      <c r="MBR67" s="242"/>
      <c r="MBS67" s="242"/>
      <c r="MBT67" s="242"/>
      <c r="MBU67" s="242"/>
      <c r="MBV67" s="242"/>
      <c r="MBW67" s="242"/>
      <c r="MBX67" s="242"/>
      <c r="MBY67" s="242"/>
      <c r="MBZ67" s="242"/>
      <c r="MCA67" s="108"/>
      <c r="MCB67" s="243"/>
      <c r="MCC67" s="243"/>
      <c r="MCD67" s="243"/>
      <c r="MCE67" s="242"/>
      <c r="MCF67" s="242"/>
      <c r="MCG67" s="242"/>
      <c r="MCH67" s="242"/>
      <c r="MCI67" s="242"/>
      <c r="MCJ67" s="242"/>
      <c r="MCK67" s="242"/>
      <c r="MCL67" s="242"/>
      <c r="MCM67" s="242"/>
      <c r="MCN67" s="108"/>
      <c r="MCO67" s="243"/>
      <c r="MCP67" s="243"/>
      <c r="MCQ67" s="243"/>
      <c r="MCR67" s="242"/>
      <c r="MCS67" s="242"/>
      <c r="MCT67" s="242"/>
      <c r="MCU67" s="242"/>
      <c r="MCV67" s="242"/>
      <c r="MCW67" s="242"/>
      <c r="MCX67" s="242"/>
      <c r="MCY67" s="242"/>
      <c r="MCZ67" s="242"/>
      <c r="MDA67" s="108"/>
      <c r="MDB67" s="243"/>
      <c r="MDC67" s="243"/>
      <c r="MDD67" s="243"/>
      <c r="MDE67" s="242"/>
      <c r="MDF67" s="242"/>
      <c r="MDG67" s="242"/>
      <c r="MDH67" s="242"/>
      <c r="MDI67" s="242"/>
      <c r="MDJ67" s="242"/>
      <c r="MDK67" s="242"/>
      <c r="MDL67" s="242"/>
      <c r="MDM67" s="242"/>
      <c r="MDN67" s="108"/>
      <c r="MDO67" s="243"/>
      <c r="MDP67" s="243"/>
      <c r="MDQ67" s="243"/>
      <c r="MDR67" s="242"/>
      <c r="MDS67" s="242"/>
      <c r="MDT67" s="242"/>
      <c r="MDU67" s="242"/>
      <c r="MDV67" s="242"/>
      <c r="MDW67" s="242"/>
      <c r="MDX67" s="242"/>
      <c r="MDY67" s="242"/>
      <c r="MDZ67" s="242"/>
      <c r="MEA67" s="108"/>
      <c r="MEB67" s="243"/>
      <c r="MEC67" s="243"/>
      <c r="MED67" s="243"/>
      <c r="MEE67" s="242"/>
      <c r="MEF67" s="242"/>
      <c r="MEG67" s="242"/>
      <c r="MEH67" s="242"/>
      <c r="MEI67" s="242"/>
      <c r="MEJ67" s="242"/>
      <c r="MEK67" s="242"/>
      <c r="MEL67" s="242"/>
      <c r="MEM67" s="242"/>
      <c r="MEN67" s="108"/>
      <c r="MEO67" s="243"/>
      <c r="MEP67" s="243"/>
      <c r="MEQ67" s="243"/>
      <c r="MER67" s="242"/>
      <c r="MES67" s="242"/>
      <c r="MET67" s="242"/>
      <c r="MEU67" s="242"/>
      <c r="MEV67" s="242"/>
      <c r="MEW67" s="242"/>
      <c r="MEX67" s="242"/>
      <c r="MEY67" s="242"/>
      <c r="MEZ67" s="242"/>
      <c r="MFA67" s="108"/>
      <c r="MFB67" s="243"/>
      <c r="MFC67" s="243"/>
      <c r="MFD67" s="243"/>
      <c r="MFE67" s="242"/>
      <c r="MFF67" s="242"/>
      <c r="MFG67" s="242"/>
      <c r="MFH67" s="242"/>
      <c r="MFI67" s="242"/>
      <c r="MFJ67" s="242"/>
      <c r="MFK67" s="242"/>
      <c r="MFL67" s="242"/>
      <c r="MFM67" s="242"/>
      <c r="MFN67" s="108"/>
      <c r="MFO67" s="243"/>
      <c r="MFP67" s="243"/>
      <c r="MFQ67" s="243"/>
      <c r="MFR67" s="242"/>
      <c r="MFS67" s="242"/>
      <c r="MFT67" s="242"/>
      <c r="MFU67" s="242"/>
      <c r="MFV67" s="242"/>
      <c r="MFW67" s="242"/>
      <c r="MFX67" s="242"/>
      <c r="MFY67" s="242"/>
      <c r="MFZ67" s="242"/>
      <c r="MGA67" s="108"/>
      <c r="MGB67" s="243"/>
      <c r="MGC67" s="243"/>
      <c r="MGD67" s="243"/>
      <c r="MGE67" s="242"/>
      <c r="MGF67" s="242"/>
      <c r="MGG67" s="242"/>
      <c r="MGH67" s="242"/>
      <c r="MGI67" s="242"/>
      <c r="MGJ67" s="242"/>
      <c r="MGK67" s="242"/>
      <c r="MGL67" s="242"/>
      <c r="MGM67" s="242"/>
      <c r="MGN67" s="108"/>
      <c r="MGO67" s="243"/>
      <c r="MGP67" s="243"/>
      <c r="MGQ67" s="243"/>
      <c r="MGR67" s="242"/>
      <c r="MGS67" s="242"/>
      <c r="MGT67" s="242"/>
      <c r="MGU67" s="242"/>
      <c r="MGV67" s="242"/>
      <c r="MGW67" s="242"/>
      <c r="MGX67" s="242"/>
      <c r="MGY67" s="242"/>
      <c r="MGZ67" s="242"/>
      <c r="MHA67" s="108"/>
      <c r="MHB67" s="243"/>
      <c r="MHC67" s="243"/>
      <c r="MHD67" s="243"/>
      <c r="MHE67" s="242"/>
      <c r="MHF67" s="242"/>
      <c r="MHG67" s="242"/>
      <c r="MHH67" s="242"/>
      <c r="MHI67" s="242"/>
      <c r="MHJ67" s="242"/>
      <c r="MHK67" s="242"/>
      <c r="MHL67" s="242"/>
      <c r="MHM67" s="242"/>
      <c r="MHN67" s="108"/>
      <c r="MHO67" s="243"/>
      <c r="MHP67" s="243"/>
      <c r="MHQ67" s="243"/>
      <c r="MHR67" s="242"/>
      <c r="MHS67" s="242"/>
      <c r="MHT67" s="242"/>
      <c r="MHU67" s="242"/>
      <c r="MHV67" s="242"/>
      <c r="MHW67" s="242"/>
      <c r="MHX67" s="242"/>
      <c r="MHY67" s="242"/>
      <c r="MHZ67" s="242"/>
      <c r="MIA67" s="108"/>
      <c r="MIB67" s="243"/>
      <c r="MIC67" s="243"/>
      <c r="MID67" s="243"/>
      <c r="MIE67" s="242"/>
      <c r="MIF67" s="242"/>
      <c r="MIG67" s="242"/>
      <c r="MIH67" s="242"/>
      <c r="MII67" s="242"/>
      <c r="MIJ67" s="242"/>
      <c r="MIK67" s="242"/>
      <c r="MIL67" s="242"/>
      <c r="MIM67" s="242"/>
      <c r="MIN67" s="108"/>
      <c r="MIO67" s="243"/>
      <c r="MIP67" s="243"/>
      <c r="MIQ67" s="243"/>
      <c r="MIR67" s="242"/>
      <c r="MIS67" s="242"/>
      <c r="MIT67" s="242"/>
      <c r="MIU67" s="242"/>
      <c r="MIV67" s="242"/>
      <c r="MIW67" s="242"/>
      <c r="MIX67" s="242"/>
      <c r="MIY67" s="242"/>
      <c r="MIZ67" s="242"/>
      <c r="MJA67" s="108"/>
      <c r="MJB67" s="243"/>
      <c r="MJC67" s="243"/>
      <c r="MJD67" s="243"/>
      <c r="MJE67" s="242"/>
      <c r="MJF67" s="242"/>
      <c r="MJG67" s="242"/>
      <c r="MJH67" s="242"/>
      <c r="MJI67" s="242"/>
      <c r="MJJ67" s="242"/>
      <c r="MJK67" s="242"/>
      <c r="MJL67" s="242"/>
      <c r="MJM67" s="242"/>
      <c r="MJN67" s="108"/>
      <c r="MJO67" s="243"/>
      <c r="MJP67" s="243"/>
      <c r="MJQ67" s="243"/>
      <c r="MJR67" s="242"/>
      <c r="MJS67" s="242"/>
      <c r="MJT67" s="242"/>
      <c r="MJU67" s="242"/>
      <c r="MJV67" s="242"/>
      <c r="MJW67" s="242"/>
      <c r="MJX67" s="242"/>
      <c r="MJY67" s="242"/>
      <c r="MJZ67" s="242"/>
      <c r="MKA67" s="108"/>
      <c r="MKB67" s="243"/>
      <c r="MKC67" s="243"/>
      <c r="MKD67" s="243"/>
      <c r="MKE67" s="242"/>
      <c r="MKF67" s="242"/>
      <c r="MKG67" s="242"/>
      <c r="MKH67" s="242"/>
      <c r="MKI67" s="242"/>
      <c r="MKJ67" s="242"/>
      <c r="MKK67" s="242"/>
      <c r="MKL67" s="242"/>
      <c r="MKM67" s="242"/>
      <c r="MKN67" s="108"/>
      <c r="MKO67" s="243"/>
      <c r="MKP67" s="243"/>
      <c r="MKQ67" s="243"/>
      <c r="MKR67" s="242"/>
      <c r="MKS67" s="242"/>
      <c r="MKT67" s="242"/>
      <c r="MKU67" s="242"/>
      <c r="MKV67" s="242"/>
      <c r="MKW67" s="242"/>
      <c r="MKX67" s="242"/>
      <c r="MKY67" s="242"/>
      <c r="MKZ67" s="242"/>
      <c r="MLA67" s="108"/>
      <c r="MLB67" s="243"/>
      <c r="MLC67" s="243"/>
      <c r="MLD67" s="243"/>
      <c r="MLE67" s="242"/>
      <c r="MLF67" s="242"/>
      <c r="MLG67" s="242"/>
      <c r="MLH67" s="242"/>
      <c r="MLI67" s="242"/>
      <c r="MLJ67" s="242"/>
      <c r="MLK67" s="242"/>
      <c r="MLL67" s="242"/>
      <c r="MLM67" s="242"/>
      <c r="MLN67" s="108"/>
      <c r="MLO67" s="243"/>
      <c r="MLP67" s="243"/>
      <c r="MLQ67" s="243"/>
      <c r="MLR67" s="242"/>
      <c r="MLS67" s="242"/>
      <c r="MLT67" s="242"/>
      <c r="MLU67" s="242"/>
      <c r="MLV67" s="242"/>
      <c r="MLW67" s="242"/>
      <c r="MLX67" s="242"/>
      <c r="MLY67" s="242"/>
      <c r="MLZ67" s="242"/>
      <c r="MMA67" s="108"/>
      <c r="MMB67" s="243"/>
      <c r="MMC67" s="243"/>
      <c r="MMD67" s="243"/>
      <c r="MME67" s="242"/>
      <c r="MMF67" s="242"/>
      <c r="MMG67" s="242"/>
      <c r="MMH67" s="242"/>
      <c r="MMI67" s="242"/>
      <c r="MMJ67" s="242"/>
      <c r="MMK67" s="242"/>
      <c r="MML67" s="242"/>
      <c r="MMM67" s="242"/>
      <c r="MMN67" s="108"/>
      <c r="MMO67" s="243"/>
      <c r="MMP67" s="243"/>
      <c r="MMQ67" s="243"/>
      <c r="MMR67" s="242"/>
      <c r="MMS67" s="242"/>
      <c r="MMT67" s="242"/>
      <c r="MMU67" s="242"/>
      <c r="MMV67" s="242"/>
      <c r="MMW67" s="242"/>
      <c r="MMX67" s="242"/>
      <c r="MMY67" s="242"/>
      <c r="MMZ67" s="242"/>
      <c r="MNA67" s="108"/>
      <c r="MNB67" s="243"/>
      <c r="MNC67" s="243"/>
      <c r="MND67" s="243"/>
      <c r="MNE67" s="242"/>
      <c r="MNF67" s="242"/>
      <c r="MNG67" s="242"/>
      <c r="MNH67" s="242"/>
      <c r="MNI67" s="242"/>
      <c r="MNJ67" s="242"/>
      <c r="MNK67" s="242"/>
      <c r="MNL67" s="242"/>
      <c r="MNM67" s="242"/>
      <c r="MNN67" s="108"/>
      <c r="MNO67" s="243"/>
      <c r="MNP67" s="243"/>
      <c r="MNQ67" s="243"/>
      <c r="MNR67" s="242"/>
      <c r="MNS67" s="242"/>
      <c r="MNT67" s="242"/>
      <c r="MNU67" s="242"/>
      <c r="MNV67" s="242"/>
      <c r="MNW67" s="242"/>
      <c r="MNX67" s="242"/>
      <c r="MNY67" s="242"/>
      <c r="MNZ67" s="242"/>
      <c r="MOA67" s="108"/>
      <c r="MOB67" s="243"/>
      <c r="MOC67" s="243"/>
      <c r="MOD67" s="243"/>
      <c r="MOE67" s="242"/>
      <c r="MOF67" s="242"/>
      <c r="MOG67" s="242"/>
      <c r="MOH67" s="242"/>
      <c r="MOI67" s="242"/>
      <c r="MOJ67" s="242"/>
      <c r="MOK67" s="242"/>
      <c r="MOL67" s="242"/>
      <c r="MOM67" s="242"/>
      <c r="MON67" s="108"/>
      <c r="MOO67" s="243"/>
      <c r="MOP67" s="243"/>
      <c r="MOQ67" s="243"/>
      <c r="MOR67" s="242"/>
      <c r="MOS67" s="242"/>
      <c r="MOT67" s="242"/>
      <c r="MOU67" s="242"/>
      <c r="MOV67" s="242"/>
      <c r="MOW67" s="242"/>
      <c r="MOX67" s="242"/>
      <c r="MOY67" s="242"/>
      <c r="MOZ67" s="242"/>
      <c r="MPA67" s="108"/>
      <c r="MPB67" s="243"/>
      <c r="MPC67" s="243"/>
      <c r="MPD67" s="243"/>
      <c r="MPE67" s="242"/>
      <c r="MPF67" s="242"/>
      <c r="MPG67" s="242"/>
      <c r="MPH67" s="242"/>
      <c r="MPI67" s="242"/>
      <c r="MPJ67" s="242"/>
      <c r="MPK67" s="242"/>
      <c r="MPL67" s="242"/>
      <c r="MPM67" s="242"/>
      <c r="MPN67" s="108"/>
      <c r="MPO67" s="243"/>
      <c r="MPP67" s="243"/>
      <c r="MPQ67" s="243"/>
      <c r="MPR67" s="242"/>
      <c r="MPS67" s="242"/>
      <c r="MPT67" s="242"/>
      <c r="MPU67" s="242"/>
      <c r="MPV67" s="242"/>
      <c r="MPW67" s="242"/>
      <c r="MPX67" s="242"/>
      <c r="MPY67" s="242"/>
      <c r="MPZ67" s="242"/>
      <c r="MQA67" s="108"/>
      <c r="MQB67" s="243"/>
      <c r="MQC67" s="243"/>
      <c r="MQD67" s="243"/>
      <c r="MQE67" s="242"/>
      <c r="MQF67" s="242"/>
      <c r="MQG67" s="242"/>
      <c r="MQH67" s="242"/>
      <c r="MQI67" s="242"/>
      <c r="MQJ67" s="242"/>
      <c r="MQK67" s="242"/>
      <c r="MQL67" s="242"/>
      <c r="MQM67" s="242"/>
      <c r="MQN67" s="108"/>
      <c r="MQO67" s="243"/>
      <c r="MQP67" s="243"/>
      <c r="MQQ67" s="243"/>
      <c r="MQR67" s="242"/>
      <c r="MQS67" s="242"/>
      <c r="MQT67" s="242"/>
      <c r="MQU67" s="242"/>
      <c r="MQV67" s="242"/>
      <c r="MQW67" s="242"/>
      <c r="MQX67" s="242"/>
      <c r="MQY67" s="242"/>
      <c r="MQZ67" s="242"/>
      <c r="MRA67" s="108"/>
      <c r="MRB67" s="243"/>
      <c r="MRC67" s="243"/>
      <c r="MRD67" s="243"/>
      <c r="MRE67" s="242"/>
      <c r="MRF67" s="242"/>
      <c r="MRG67" s="242"/>
      <c r="MRH67" s="242"/>
      <c r="MRI67" s="242"/>
      <c r="MRJ67" s="242"/>
      <c r="MRK67" s="242"/>
      <c r="MRL67" s="242"/>
      <c r="MRM67" s="242"/>
      <c r="MRN67" s="108"/>
      <c r="MRO67" s="243"/>
      <c r="MRP67" s="243"/>
      <c r="MRQ67" s="243"/>
      <c r="MRR67" s="242"/>
      <c r="MRS67" s="242"/>
      <c r="MRT67" s="242"/>
      <c r="MRU67" s="242"/>
      <c r="MRV67" s="242"/>
      <c r="MRW67" s="242"/>
      <c r="MRX67" s="242"/>
      <c r="MRY67" s="242"/>
      <c r="MRZ67" s="242"/>
      <c r="MSA67" s="108"/>
      <c r="MSB67" s="243"/>
      <c r="MSC67" s="243"/>
      <c r="MSD67" s="243"/>
      <c r="MSE67" s="242"/>
      <c r="MSF67" s="242"/>
      <c r="MSG67" s="242"/>
      <c r="MSH67" s="242"/>
      <c r="MSI67" s="242"/>
      <c r="MSJ67" s="242"/>
      <c r="MSK67" s="242"/>
      <c r="MSL67" s="242"/>
      <c r="MSM67" s="242"/>
      <c r="MSN67" s="108"/>
      <c r="MSO67" s="243"/>
      <c r="MSP67" s="243"/>
      <c r="MSQ67" s="243"/>
      <c r="MSR67" s="242"/>
      <c r="MSS67" s="242"/>
      <c r="MST67" s="242"/>
      <c r="MSU67" s="242"/>
      <c r="MSV67" s="242"/>
      <c r="MSW67" s="242"/>
      <c r="MSX67" s="242"/>
      <c r="MSY67" s="242"/>
      <c r="MSZ67" s="242"/>
      <c r="MTA67" s="108"/>
      <c r="MTB67" s="243"/>
      <c r="MTC67" s="243"/>
      <c r="MTD67" s="243"/>
      <c r="MTE67" s="242"/>
      <c r="MTF67" s="242"/>
      <c r="MTG67" s="242"/>
      <c r="MTH67" s="242"/>
      <c r="MTI67" s="242"/>
      <c r="MTJ67" s="242"/>
      <c r="MTK67" s="242"/>
      <c r="MTL67" s="242"/>
      <c r="MTM67" s="242"/>
      <c r="MTN67" s="108"/>
      <c r="MTO67" s="243"/>
      <c r="MTP67" s="243"/>
      <c r="MTQ67" s="243"/>
      <c r="MTR67" s="242"/>
      <c r="MTS67" s="242"/>
      <c r="MTT67" s="242"/>
      <c r="MTU67" s="242"/>
      <c r="MTV67" s="242"/>
      <c r="MTW67" s="242"/>
      <c r="MTX67" s="242"/>
      <c r="MTY67" s="242"/>
      <c r="MTZ67" s="242"/>
      <c r="MUA67" s="108"/>
      <c r="MUB67" s="243"/>
      <c r="MUC67" s="243"/>
      <c r="MUD67" s="243"/>
      <c r="MUE67" s="242"/>
      <c r="MUF67" s="242"/>
      <c r="MUG67" s="242"/>
      <c r="MUH67" s="242"/>
      <c r="MUI67" s="242"/>
      <c r="MUJ67" s="242"/>
      <c r="MUK67" s="242"/>
      <c r="MUL67" s="242"/>
      <c r="MUM67" s="242"/>
      <c r="MUN67" s="108"/>
      <c r="MUO67" s="243"/>
      <c r="MUP67" s="243"/>
      <c r="MUQ67" s="243"/>
      <c r="MUR67" s="242"/>
      <c r="MUS67" s="242"/>
      <c r="MUT67" s="242"/>
      <c r="MUU67" s="242"/>
      <c r="MUV67" s="242"/>
      <c r="MUW67" s="242"/>
      <c r="MUX67" s="242"/>
      <c r="MUY67" s="242"/>
      <c r="MUZ67" s="242"/>
      <c r="MVA67" s="108"/>
      <c r="MVB67" s="243"/>
      <c r="MVC67" s="243"/>
      <c r="MVD67" s="243"/>
      <c r="MVE67" s="242"/>
      <c r="MVF67" s="242"/>
      <c r="MVG67" s="242"/>
      <c r="MVH67" s="242"/>
      <c r="MVI67" s="242"/>
      <c r="MVJ67" s="242"/>
      <c r="MVK67" s="242"/>
      <c r="MVL67" s="242"/>
      <c r="MVM67" s="242"/>
      <c r="MVN67" s="108"/>
      <c r="MVO67" s="243"/>
      <c r="MVP67" s="243"/>
      <c r="MVQ67" s="243"/>
      <c r="MVR67" s="242"/>
      <c r="MVS67" s="242"/>
      <c r="MVT67" s="242"/>
      <c r="MVU67" s="242"/>
      <c r="MVV67" s="242"/>
      <c r="MVW67" s="242"/>
      <c r="MVX67" s="242"/>
      <c r="MVY67" s="242"/>
      <c r="MVZ67" s="242"/>
      <c r="MWA67" s="108"/>
      <c r="MWB67" s="243"/>
      <c r="MWC67" s="243"/>
      <c r="MWD67" s="243"/>
      <c r="MWE67" s="242"/>
      <c r="MWF67" s="242"/>
      <c r="MWG67" s="242"/>
      <c r="MWH67" s="242"/>
      <c r="MWI67" s="242"/>
      <c r="MWJ67" s="242"/>
      <c r="MWK67" s="242"/>
      <c r="MWL67" s="242"/>
      <c r="MWM67" s="242"/>
      <c r="MWN67" s="108"/>
      <c r="MWO67" s="243"/>
      <c r="MWP67" s="243"/>
      <c r="MWQ67" s="243"/>
      <c r="MWR67" s="242"/>
      <c r="MWS67" s="242"/>
      <c r="MWT67" s="242"/>
      <c r="MWU67" s="242"/>
      <c r="MWV67" s="242"/>
      <c r="MWW67" s="242"/>
      <c r="MWX67" s="242"/>
      <c r="MWY67" s="242"/>
      <c r="MWZ67" s="242"/>
      <c r="MXA67" s="108"/>
      <c r="MXB67" s="243"/>
      <c r="MXC67" s="243"/>
      <c r="MXD67" s="243"/>
      <c r="MXE67" s="242"/>
      <c r="MXF67" s="242"/>
      <c r="MXG67" s="242"/>
      <c r="MXH67" s="242"/>
      <c r="MXI67" s="242"/>
      <c r="MXJ67" s="242"/>
      <c r="MXK67" s="242"/>
      <c r="MXL67" s="242"/>
      <c r="MXM67" s="242"/>
      <c r="MXN67" s="108"/>
      <c r="MXO67" s="243"/>
      <c r="MXP67" s="243"/>
      <c r="MXQ67" s="243"/>
      <c r="MXR67" s="242"/>
      <c r="MXS67" s="242"/>
      <c r="MXT67" s="242"/>
      <c r="MXU67" s="242"/>
      <c r="MXV67" s="242"/>
      <c r="MXW67" s="242"/>
      <c r="MXX67" s="242"/>
      <c r="MXY67" s="242"/>
      <c r="MXZ67" s="242"/>
      <c r="MYA67" s="108"/>
      <c r="MYB67" s="243"/>
      <c r="MYC67" s="243"/>
      <c r="MYD67" s="243"/>
      <c r="MYE67" s="242"/>
      <c r="MYF67" s="242"/>
      <c r="MYG67" s="242"/>
      <c r="MYH67" s="242"/>
      <c r="MYI67" s="242"/>
      <c r="MYJ67" s="242"/>
      <c r="MYK67" s="242"/>
      <c r="MYL67" s="242"/>
      <c r="MYM67" s="242"/>
      <c r="MYN67" s="108"/>
      <c r="MYO67" s="243"/>
      <c r="MYP67" s="243"/>
      <c r="MYQ67" s="243"/>
      <c r="MYR67" s="242"/>
      <c r="MYS67" s="242"/>
      <c r="MYT67" s="242"/>
      <c r="MYU67" s="242"/>
      <c r="MYV67" s="242"/>
      <c r="MYW67" s="242"/>
      <c r="MYX67" s="242"/>
      <c r="MYY67" s="242"/>
      <c r="MYZ67" s="242"/>
      <c r="MZA67" s="108"/>
      <c r="MZB67" s="243"/>
      <c r="MZC67" s="243"/>
      <c r="MZD67" s="243"/>
      <c r="MZE67" s="242"/>
      <c r="MZF67" s="242"/>
      <c r="MZG67" s="242"/>
      <c r="MZH67" s="242"/>
      <c r="MZI67" s="242"/>
      <c r="MZJ67" s="242"/>
      <c r="MZK67" s="242"/>
      <c r="MZL67" s="242"/>
      <c r="MZM67" s="242"/>
      <c r="MZN67" s="108"/>
      <c r="MZO67" s="243"/>
      <c r="MZP67" s="243"/>
      <c r="MZQ67" s="243"/>
      <c r="MZR67" s="242"/>
      <c r="MZS67" s="242"/>
      <c r="MZT67" s="242"/>
      <c r="MZU67" s="242"/>
      <c r="MZV67" s="242"/>
      <c r="MZW67" s="242"/>
      <c r="MZX67" s="242"/>
      <c r="MZY67" s="242"/>
      <c r="MZZ67" s="242"/>
      <c r="NAA67" s="108"/>
      <c r="NAB67" s="243"/>
      <c r="NAC67" s="243"/>
      <c r="NAD67" s="243"/>
      <c r="NAE67" s="242"/>
      <c r="NAF67" s="242"/>
      <c r="NAG67" s="242"/>
      <c r="NAH67" s="242"/>
      <c r="NAI67" s="242"/>
      <c r="NAJ67" s="242"/>
      <c r="NAK67" s="242"/>
      <c r="NAL67" s="242"/>
      <c r="NAM67" s="242"/>
      <c r="NAN67" s="108"/>
      <c r="NAO67" s="243"/>
      <c r="NAP67" s="243"/>
      <c r="NAQ67" s="243"/>
      <c r="NAR67" s="242"/>
      <c r="NAS67" s="242"/>
      <c r="NAT67" s="242"/>
      <c r="NAU67" s="242"/>
      <c r="NAV67" s="242"/>
      <c r="NAW67" s="242"/>
      <c r="NAX67" s="242"/>
      <c r="NAY67" s="242"/>
      <c r="NAZ67" s="242"/>
      <c r="NBA67" s="108"/>
      <c r="NBB67" s="243"/>
      <c r="NBC67" s="243"/>
      <c r="NBD67" s="243"/>
      <c r="NBE67" s="242"/>
      <c r="NBF67" s="242"/>
      <c r="NBG67" s="242"/>
      <c r="NBH67" s="242"/>
      <c r="NBI67" s="242"/>
      <c r="NBJ67" s="242"/>
      <c r="NBK67" s="242"/>
      <c r="NBL67" s="242"/>
      <c r="NBM67" s="242"/>
      <c r="NBN67" s="108"/>
      <c r="NBO67" s="243"/>
      <c r="NBP67" s="243"/>
      <c r="NBQ67" s="243"/>
      <c r="NBR67" s="242"/>
      <c r="NBS67" s="242"/>
      <c r="NBT67" s="242"/>
      <c r="NBU67" s="242"/>
      <c r="NBV67" s="242"/>
      <c r="NBW67" s="242"/>
      <c r="NBX67" s="242"/>
      <c r="NBY67" s="242"/>
      <c r="NBZ67" s="242"/>
      <c r="NCA67" s="108"/>
      <c r="NCB67" s="243"/>
      <c r="NCC67" s="243"/>
      <c r="NCD67" s="243"/>
      <c r="NCE67" s="242"/>
      <c r="NCF67" s="242"/>
      <c r="NCG67" s="242"/>
      <c r="NCH67" s="242"/>
      <c r="NCI67" s="242"/>
      <c r="NCJ67" s="242"/>
      <c r="NCK67" s="242"/>
      <c r="NCL67" s="242"/>
      <c r="NCM67" s="242"/>
      <c r="NCN67" s="108"/>
      <c r="NCO67" s="243"/>
      <c r="NCP67" s="243"/>
      <c r="NCQ67" s="243"/>
      <c r="NCR67" s="242"/>
      <c r="NCS67" s="242"/>
      <c r="NCT67" s="242"/>
      <c r="NCU67" s="242"/>
      <c r="NCV67" s="242"/>
      <c r="NCW67" s="242"/>
      <c r="NCX67" s="242"/>
      <c r="NCY67" s="242"/>
      <c r="NCZ67" s="242"/>
      <c r="NDA67" s="108"/>
      <c r="NDB67" s="243"/>
      <c r="NDC67" s="243"/>
      <c r="NDD67" s="243"/>
      <c r="NDE67" s="242"/>
      <c r="NDF67" s="242"/>
      <c r="NDG67" s="242"/>
      <c r="NDH67" s="242"/>
      <c r="NDI67" s="242"/>
      <c r="NDJ67" s="242"/>
      <c r="NDK67" s="242"/>
      <c r="NDL67" s="242"/>
      <c r="NDM67" s="242"/>
      <c r="NDN67" s="108"/>
      <c r="NDO67" s="243"/>
      <c r="NDP67" s="243"/>
      <c r="NDQ67" s="243"/>
      <c r="NDR67" s="242"/>
      <c r="NDS67" s="242"/>
      <c r="NDT67" s="242"/>
      <c r="NDU67" s="242"/>
      <c r="NDV67" s="242"/>
      <c r="NDW67" s="242"/>
      <c r="NDX67" s="242"/>
      <c r="NDY67" s="242"/>
      <c r="NDZ67" s="242"/>
      <c r="NEA67" s="108"/>
      <c r="NEB67" s="243"/>
      <c r="NEC67" s="243"/>
      <c r="NED67" s="243"/>
      <c r="NEE67" s="242"/>
      <c r="NEF67" s="242"/>
      <c r="NEG67" s="242"/>
      <c r="NEH67" s="242"/>
      <c r="NEI67" s="242"/>
      <c r="NEJ67" s="242"/>
      <c r="NEK67" s="242"/>
      <c r="NEL67" s="242"/>
      <c r="NEM67" s="242"/>
      <c r="NEN67" s="108"/>
      <c r="NEO67" s="243"/>
      <c r="NEP67" s="243"/>
      <c r="NEQ67" s="243"/>
      <c r="NER67" s="242"/>
      <c r="NES67" s="242"/>
      <c r="NET67" s="242"/>
      <c r="NEU67" s="242"/>
      <c r="NEV67" s="242"/>
      <c r="NEW67" s="242"/>
      <c r="NEX67" s="242"/>
      <c r="NEY67" s="242"/>
      <c r="NEZ67" s="242"/>
      <c r="NFA67" s="108"/>
      <c r="NFB67" s="243"/>
      <c r="NFC67" s="243"/>
      <c r="NFD67" s="243"/>
      <c r="NFE67" s="242"/>
      <c r="NFF67" s="242"/>
      <c r="NFG67" s="242"/>
      <c r="NFH67" s="242"/>
      <c r="NFI67" s="242"/>
      <c r="NFJ67" s="242"/>
      <c r="NFK67" s="242"/>
      <c r="NFL67" s="242"/>
      <c r="NFM67" s="242"/>
      <c r="NFN67" s="108"/>
      <c r="NFO67" s="243"/>
      <c r="NFP67" s="243"/>
      <c r="NFQ67" s="243"/>
      <c r="NFR67" s="242"/>
      <c r="NFS67" s="242"/>
      <c r="NFT67" s="242"/>
      <c r="NFU67" s="242"/>
      <c r="NFV67" s="242"/>
      <c r="NFW67" s="242"/>
      <c r="NFX67" s="242"/>
      <c r="NFY67" s="242"/>
      <c r="NFZ67" s="242"/>
      <c r="NGA67" s="108"/>
      <c r="NGB67" s="243"/>
      <c r="NGC67" s="243"/>
      <c r="NGD67" s="243"/>
      <c r="NGE67" s="242"/>
      <c r="NGF67" s="242"/>
      <c r="NGG67" s="242"/>
      <c r="NGH67" s="242"/>
      <c r="NGI67" s="242"/>
      <c r="NGJ67" s="242"/>
      <c r="NGK67" s="242"/>
      <c r="NGL67" s="242"/>
      <c r="NGM67" s="242"/>
      <c r="NGN67" s="108"/>
      <c r="NGO67" s="243"/>
      <c r="NGP67" s="243"/>
      <c r="NGQ67" s="243"/>
      <c r="NGR67" s="242"/>
      <c r="NGS67" s="242"/>
      <c r="NGT67" s="242"/>
      <c r="NGU67" s="242"/>
      <c r="NGV67" s="242"/>
      <c r="NGW67" s="242"/>
      <c r="NGX67" s="242"/>
      <c r="NGY67" s="242"/>
      <c r="NGZ67" s="242"/>
      <c r="NHA67" s="108"/>
      <c r="NHB67" s="243"/>
      <c r="NHC67" s="243"/>
      <c r="NHD67" s="243"/>
      <c r="NHE67" s="242"/>
      <c r="NHF67" s="242"/>
      <c r="NHG67" s="242"/>
      <c r="NHH67" s="242"/>
      <c r="NHI67" s="242"/>
      <c r="NHJ67" s="242"/>
      <c r="NHK67" s="242"/>
      <c r="NHL67" s="242"/>
      <c r="NHM67" s="242"/>
      <c r="NHN67" s="108"/>
      <c r="NHO67" s="243"/>
      <c r="NHP67" s="243"/>
      <c r="NHQ67" s="243"/>
      <c r="NHR67" s="242"/>
      <c r="NHS67" s="242"/>
      <c r="NHT67" s="242"/>
      <c r="NHU67" s="242"/>
      <c r="NHV67" s="242"/>
      <c r="NHW67" s="242"/>
      <c r="NHX67" s="242"/>
      <c r="NHY67" s="242"/>
      <c r="NHZ67" s="242"/>
      <c r="NIA67" s="108"/>
      <c r="NIB67" s="243"/>
      <c r="NIC67" s="243"/>
      <c r="NID67" s="243"/>
      <c r="NIE67" s="242"/>
      <c r="NIF67" s="242"/>
      <c r="NIG67" s="242"/>
      <c r="NIH67" s="242"/>
      <c r="NII67" s="242"/>
      <c r="NIJ67" s="242"/>
      <c r="NIK67" s="242"/>
      <c r="NIL67" s="242"/>
      <c r="NIM67" s="242"/>
      <c r="NIN67" s="108"/>
      <c r="NIO67" s="243"/>
      <c r="NIP67" s="243"/>
      <c r="NIQ67" s="243"/>
      <c r="NIR67" s="242"/>
      <c r="NIS67" s="242"/>
      <c r="NIT67" s="242"/>
      <c r="NIU67" s="242"/>
      <c r="NIV67" s="242"/>
      <c r="NIW67" s="242"/>
      <c r="NIX67" s="242"/>
      <c r="NIY67" s="242"/>
      <c r="NIZ67" s="242"/>
      <c r="NJA67" s="108"/>
      <c r="NJB67" s="243"/>
      <c r="NJC67" s="243"/>
      <c r="NJD67" s="243"/>
      <c r="NJE67" s="242"/>
      <c r="NJF67" s="242"/>
      <c r="NJG67" s="242"/>
      <c r="NJH67" s="242"/>
      <c r="NJI67" s="242"/>
      <c r="NJJ67" s="242"/>
      <c r="NJK67" s="242"/>
      <c r="NJL67" s="242"/>
      <c r="NJM67" s="242"/>
      <c r="NJN67" s="108"/>
      <c r="NJO67" s="243"/>
      <c r="NJP67" s="243"/>
      <c r="NJQ67" s="243"/>
      <c r="NJR67" s="242"/>
      <c r="NJS67" s="242"/>
      <c r="NJT67" s="242"/>
      <c r="NJU67" s="242"/>
      <c r="NJV67" s="242"/>
      <c r="NJW67" s="242"/>
      <c r="NJX67" s="242"/>
      <c r="NJY67" s="242"/>
      <c r="NJZ67" s="242"/>
      <c r="NKA67" s="108"/>
      <c r="NKB67" s="243"/>
      <c r="NKC67" s="243"/>
      <c r="NKD67" s="243"/>
      <c r="NKE67" s="242"/>
      <c r="NKF67" s="242"/>
      <c r="NKG67" s="242"/>
      <c r="NKH67" s="242"/>
      <c r="NKI67" s="242"/>
      <c r="NKJ67" s="242"/>
      <c r="NKK67" s="242"/>
      <c r="NKL67" s="242"/>
      <c r="NKM67" s="242"/>
      <c r="NKN67" s="108"/>
      <c r="NKO67" s="243"/>
      <c r="NKP67" s="243"/>
      <c r="NKQ67" s="243"/>
      <c r="NKR67" s="242"/>
      <c r="NKS67" s="242"/>
      <c r="NKT67" s="242"/>
      <c r="NKU67" s="242"/>
      <c r="NKV67" s="242"/>
      <c r="NKW67" s="242"/>
      <c r="NKX67" s="242"/>
      <c r="NKY67" s="242"/>
      <c r="NKZ67" s="242"/>
      <c r="NLA67" s="108"/>
      <c r="NLB67" s="243"/>
      <c r="NLC67" s="243"/>
      <c r="NLD67" s="243"/>
      <c r="NLE67" s="242"/>
      <c r="NLF67" s="242"/>
      <c r="NLG67" s="242"/>
      <c r="NLH67" s="242"/>
      <c r="NLI67" s="242"/>
      <c r="NLJ67" s="242"/>
      <c r="NLK67" s="242"/>
      <c r="NLL67" s="242"/>
      <c r="NLM67" s="242"/>
      <c r="NLN67" s="108"/>
      <c r="NLO67" s="243"/>
      <c r="NLP67" s="243"/>
      <c r="NLQ67" s="243"/>
      <c r="NLR67" s="242"/>
      <c r="NLS67" s="242"/>
      <c r="NLT67" s="242"/>
      <c r="NLU67" s="242"/>
      <c r="NLV67" s="242"/>
      <c r="NLW67" s="242"/>
      <c r="NLX67" s="242"/>
      <c r="NLY67" s="242"/>
      <c r="NLZ67" s="242"/>
      <c r="NMA67" s="108"/>
      <c r="NMB67" s="243"/>
      <c r="NMC67" s="243"/>
      <c r="NMD67" s="243"/>
      <c r="NME67" s="242"/>
      <c r="NMF67" s="242"/>
      <c r="NMG67" s="242"/>
      <c r="NMH67" s="242"/>
      <c r="NMI67" s="242"/>
      <c r="NMJ67" s="242"/>
      <c r="NMK67" s="242"/>
      <c r="NML67" s="242"/>
      <c r="NMM67" s="242"/>
      <c r="NMN67" s="108"/>
      <c r="NMO67" s="243"/>
      <c r="NMP67" s="243"/>
      <c r="NMQ67" s="243"/>
      <c r="NMR67" s="242"/>
      <c r="NMS67" s="242"/>
      <c r="NMT67" s="242"/>
      <c r="NMU67" s="242"/>
      <c r="NMV67" s="242"/>
      <c r="NMW67" s="242"/>
      <c r="NMX67" s="242"/>
      <c r="NMY67" s="242"/>
      <c r="NMZ67" s="242"/>
      <c r="NNA67" s="108"/>
      <c r="NNB67" s="243"/>
      <c r="NNC67" s="243"/>
      <c r="NND67" s="243"/>
      <c r="NNE67" s="242"/>
      <c r="NNF67" s="242"/>
      <c r="NNG67" s="242"/>
      <c r="NNH67" s="242"/>
      <c r="NNI67" s="242"/>
      <c r="NNJ67" s="242"/>
      <c r="NNK67" s="242"/>
      <c r="NNL67" s="242"/>
      <c r="NNM67" s="242"/>
      <c r="NNN67" s="108"/>
      <c r="NNO67" s="243"/>
      <c r="NNP67" s="243"/>
      <c r="NNQ67" s="243"/>
      <c r="NNR67" s="242"/>
      <c r="NNS67" s="242"/>
      <c r="NNT67" s="242"/>
      <c r="NNU67" s="242"/>
      <c r="NNV67" s="242"/>
      <c r="NNW67" s="242"/>
      <c r="NNX67" s="242"/>
      <c r="NNY67" s="242"/>
      <c r="NNZ67" s="242"/>
      <c r="NOA67" s="108"/>
      <c r="NOB67" s="243"/>
      <c r="NOC67" s="243"/>
      <c r="NOD67" s="243"/>
      <c r="NOE67" s="242"/>
      <c r="NOF67" s="242"/>
      <c r="NOG67" s="242"/>
      <c r="NOH67" s="242"/>
      <c r="NOI67" s="242"/>
      <c r="NOJ67" s="242"/>
      <c r="NOK67" s="242"/>
      <c r="NOL67" s="242"/>
      <c r="NOM67" s="242"/>
      <c r="NON67" s="108"/>
      <c r="NOO67" s="243"/>
      <c r="NOP67" s="243"/>
      <c r="NOQ67" s="243"/>
      <c r="NOR67" s="242"/>
      <c r="NOS67" s="242"/>
      <c r="NOT67" s="242"/>
      <c r="NOU67" s="242"/>
      <c r="NOV67" s="242"/>
      <c r="NOW67" s="242"/>
      <c r="NOX67" s="242"/>
      <c r="NOY67" s="242"/>
      <c r="NOZ67" s="242"/>
      <c r="NPA67" s="108"/>
      <c r="NPB67" s="243"/>
      <c r="NPC67" s="243"/>
      <c r="NPD67" s="243"/>
      <c r="NPE67" s="242"/>
      <c r="NPF67" s="242"/>
      <c r="NPG67" s="242"/>
      <c r="NPH67" s="242"/>
      <c r="NPI67" s="242"/>
      <c r="NPJ67" s="242"/>
      <c r="NPK67" s="242"/>
      <c r="NPL67" s="242"/>
      <c r="NPM67" s="242"/>
      <c r="NPN67" s="108"/>
      <c r="NPO67" s="243"/>
      <c r="NPP67" s="243"/>
      <c r="NPQ67" s="243"/>
      <c r="NPR67" s="242"/>
      <c r="NPS67" s="242"/>
      <c r="NPT67" s="242"/>
      <c r="NPU67" s="242"/>
      <c r="NPV67" s="242"/>
      <c r="NPW67" s="242"/>
      <c r="NPX67" s="242"/>
      <c r="NPY67" s="242"/>
      <c r="NPZ67" s="242"/>
      <c r="NQA67" s="108"/>
      <c r="NQB67" s="243"/>
      <c r="NQC67" s="243"/>
      <c r="NQD67" s="243"/>
      <c r="NQE67" s="242"/>
      <c r="NQF67" s="242"/>
      <c r="NQG67" s="242"/>
      <c r="NQH67" s="242"/>
      <c r="NQI67" s="242"/>
      <c r="NQJ67" s="242"/>
      <c r="NQK67" s="242"/>
      <c r="NQL67" s="242"/>
      <c r="NQM67" s="242"/>
      <c r="NQN67" s="108"/>
      <c r="NQO67" s="243"/>
      <c r="NQP67" s="243"/>
      <c r="NQQ67" s="243"/>
      <c r="NQR67" s="242"/>
      <c r="NQS67" s="242"/>
      <c r="NQT67" s="242"/>
      <c r="NQU67" s="242"/>
      <c r="NQV67" s="242"/>
      <c r="NQW67" s="242"/>
      <c r="NQX67" s="242"/>
      <c r="NQY67" s="242"/>
      <c r="NQZ67" s="242"/>
      <c r="NRA67" s="108"/>
      <c r="NRB67" s="243"/>
      <c r="NRC67" s="243"/>
      <c r="NRD67" s="243"/>
      <c r="NRE67" s="242"/>
      <c r="NRF67" s="242"/>
      <c r="NRG67" s="242"/>
      <c r="NRH67" s="242"/>
      <c r="NRI67" s="242"/>
      <c r="NRJ67" s="242"/>
      <c r="NRK67" s="242"/>
      <c r="NRL67" s="242"/>
      <c r="NRM67" s="242"/>
      <c r="NRN67" s="108"/>
      <c r="NRO67" s="243"/>
      <c r="NRP67" s="243"/>
      <c r="NRQ67" s="243"/>
      <c r="NRR67" s="242"/>
      <c r="NRS67" s="242"/>
      <c r="NRT67" s="242"/>
      <c r="NRU67" s="242"/>
      <c r="NRV67" s="242"/>
      <c r="NRW67" s="242"/>
      <c r="NRX67" s="242"/>
      <c r="NRY67" s="242"/>
      <c r="NRZ67" s="242"/>
      <c r="NSA67" s="108"/>
      <c r="NSB67" s="243"/>
      <c r="NSC67" s="243"/>
      <c r="NSD67" s="243"/>
      <c r="NSE67" s="242"/>
      <c r="NSF67" s="242"/>
      <c r="NSG67" s="242"/>
      <c r="NSH67" s="242"/>
      <c r="NSI67" s="242"/>
      <c r="NSJ67" s="242"/>
      <c r="NSK67" s="242"/>
      <c r="NSL67" s="242"/>
      <c r="NSM67" s="242"/>
      <c r="NSN67" s="108"/>
      <c r="NSO67" s="243"/>
      <c r="NSP67" s="243"/>
      <c r="NSQ67" s="243"/>
      <c r="NSR67" s="242"/>
      <c r="NSS67" s="242"/>
      <c r="NST67" s="242"/>
      <c r="NSU67" s="242"/>
      <c r="NSV67" s="242"/>
      <c r="NSW67" s="242"/>
      <c r="NSX67" s="242"/>
      <c r="NSY67" s="242"/>
      <c r="NSZ67" s="242"/>
      <c r="NTA67" s="108"/>
      <c r="NTB67" s="243"/>
      <c r="NTC67" s="243"/>
      <c r="NTD67" s="243"/>
      <c r="NTE67" s="242"/>
      <c r="NTF67" s="242"/>
      <c r="NTG67" s="242"/>
      <c r="NTH67" s="242"/>
      <c r="NTI67" s="242"/>
      <c r="NTJ67" s="242"/>
      <c r="NTK67" s="242"/>
      <c r="NTL67" s="242"/>
      <c r="NTM67" s="242"/>
      <c r="NTN67" s="108"/>
      <c r="NTO67" s="243"/>
      <c r="NTP67" s="243"/>
      <c r="NTQ67" s="243"/>
      <c r="NTR67" s="242"/>
      <c r="NTS67" s="242"/>
      <c r="NTT67" s="242"/>
      <c r="NTU67" s="242"/>
      <c r="NTV67" s="242"/>
      <c r="NTW67" s="242"/>
      <c r="NTX67" s="242"/>
      <c r="NTY67" s="242"/>
      <c r="NTZ67" s="242"/>
      <c r="NUA67" s="108"/>
      <c r="NUB67" s="243"/>
      <c r="NUC67" s="243"/>
      <c r="NUD67" s="243"/>
      <c r="NUE67" s="242"/>
      <c r="NUF67" s="242"/>
      <c r="NUG67" s="242"/>
      <c r="NUH67" s="242"/>
      <c r="NUI67" s="242"/>
      <c r="NUJ67" s="242"/>
      <c r="NUK67" s="242"/>
      <c r="NUL67" s="242"/>
      <c r="NUM67" s="242"/>
      <c r="NUN67" s="108"/>
      <c r="NUO67" s="243"/>
      <c r="NUP67" s="243"/>
      <c r="NUQ67" s="243"/>
      <c r="NUR67" s="242"/>
      <c r="NUS67" s="242"/>
      <c r="NUT67" s="242"/>
      <c r="NUU67" s="242"/>
      <c r="NUV67" s="242"/>
      <c r="NUW67" s="242"/>
      <c r="NUX67" s="242"/>
      <c r="NUY67" s="242"/>
      <c r="NUZ67" s="242"/>
      <c r="NVA67" s="108"/>
      <c r="NVB67" s="243"/>
      <c r="NVC67" s="243"/>
      <c r="NVD67" s="243"/>
      <c r="NVE67" s="242"/>
      <c r="NVF67" s="242"/>
      <c r="NVG67" s="242"/>
      <c r="NVH67" s="242"/>
      <c r="NVI67" s="242"/>
      <c r="NVJ67" s="242"/>
      <c r="NVK67" s="242"/>
      <c r="NVL67" s="242"/>
      <c r="NVM67" s="242"/>
      <c r="NVN67" s="108"/>
      <c r="NVO67" s="243"/>
      <c r="NVP67" s="243"/>
      <c r="NVQ67" s="243"/>
      <c r="NVR67" s="242"/>
      <c r="NVS67" s="242"/>
      <c r="NVT67" s="242"/>
      <c r="NVU67" s="242"/>
      <c r="NVV67" s="242"/>
      <c r="NVW67" s="242"/>
      <c r="NVX67" s="242"/>
      <c r="NVY67" s="242"/>
      <c r="NVZ67" s="242"/>
      <c r="NWA67" s="108"/>
      <c r="NWB67" s="243"/>
      <c r="NWC67" s="243"/>
      <c r="NWD67" s="243"/>
      <c r="NWE67" s="242"/>
      <c r="NWF67" s="242"/>
      <c r="NWG67" s="242"/>
      <c r="NWH67" s="242"/>
      <c r="NWI67" s="242"/>
      <c r="NWJ67" s="242"/>
      <c r="NWK67" s="242"/>
      <c r="NWL67" s="242"/>
      <c r="NWM67" s="242"/>
      <c r="NWN67" s="108"/>
      <c r="NWO67" s="243"/>
      <c r="NWP67" s="243"/>
      <c r="NWQ67" s="243"/>
      <c r="NWR67" s="242"/>
      <c r="NWS67" s="242"/>
      <c r="NWT67" s="242"/>
      <c r="NWU67" s="242"/>
      <c r="NWV67" s="242"/>
      <c r="NWW67" s="242"/>
      <c r="NWX67" s="242"/>
      <c r="NWY67" s="242"/>
      <c r="NWZ67" s="242"/>
      <c r="NXA67" s="108"/>
      <c r="NXB67" s="243"/>
      <c r="NXC67" s="243"/>
      <c r="NXD67" s="243"/>
      <c r="NXE67" s="242"/>
      <c r="NXF67" s="242"/>
      <c r="NXG67" s="242"/>
      <c r="NXH67" s="242"/>
      <c r="NXI67" s="242"/>
      <c r="NXJ67" s="242"/>
      <c r="NXK67" s="242"/>
      <c r="NXL67" s="242"/>
      <c r="NXM67" s="242"/>
      <c r="NXN67" s="108"/>
      <c r="NXO67" s="243"/>
      <c r="NXP67" s="243"/>
      <c r="NXQ67" s="243"/>
      <c r="NXR67" s="242"/>
      <c r="NXS67" s="242"/>
      <c r="NXT67" s="242"/>
      <c r="NXU67" s="242"/>
      <c r="NXV67" s="242"/>
      <c r="NXW67" s="242"/>
      <c r="NXX67" s="242"/>
      <c r="NXY67" s="242"/>
      <c r="NXZ67" s="242"/>
      <c r="NYA67" s="108"/>
      <c r="NYB67" s="243"/>
      <c r="NYC67" s="243"/>
      <c r="NYD67" s="243"/>
      <c r="NYE67" s="242"/>
      <c r="NYF67" s="242"/>
      <c r="NYG67" s="242"/>
      <c r="NYH67" s="242"/>
      <c r="NYI67" s="242"/>
      <c r="NYJ67" s="242"/>
      <c r="NYK67" s="242"/>
      <c r="NYL67" s="242"/>
      <c r="NYM67" s="242"/>
      <c r="NYN67" s="108"/>
      <c r="NYO67" s="243"/>
      <c r="NYP67" s="243"/>
      <c r="NYQ67" s="243"/>
      <c r="NYR67" s="242"/>
      <c r="NYS67" s="242"/>
      <c r="NYT67" s="242"/>
      <c r="NYU67" s="242"/>
      <c r="NYV67" s="242"/>
      <c r="NYW67" s="242"/>
      <c r="NYX67" s="242"/>
      <c r="NYY67" s="242"/>
      <c r="NYZ67" s="242"/>
      <c r="NZA67" s="108"/>
      <c r="NZB67" s="243"/>
      <c r="NZC67" s="243"/>
      <c r="NZD67" s="243"/>
      <c r="NZE67" s="242"/>
      <c r="NZF67" s="242"/>
      <c r="NZG67" s="242"/>
      <c r="NZH67" s="242"/>
      <c r="NZI67" s="242"/>
      <c r="NZJ67" s="242"/>
      <c r="NZK67" s="242"/>
      <c r="NZL67" s="242"/>
      <c r="NZM67" s="242"/>
      <c r="NZN67" s="108"/>
      <c r="NZO67" s="243"/>
      <c r="NZP67" s="243"/>
      <c r="NZQ67" s="243"/>
      <c r="NZR67" s="242"/>
      <c r="NZS67" s="242"/>
      <c r="NZT67" s="242"/>
      <c r="NZU67" s="242"/>
      <c r="NZV67" s="242"/>
      <c r="NZW67" s="242"/>
      <c r="NZX67" s="242"/>
      <c r="NZY67" s="242"/>
      <c r="NZZ67" s="242"/>
      <c r="OAA67" s="108"/>
      <c r="OAB67" s="243"/>
      <c r="OAC67" s="243"/>
      <c r="OAD67" s="243"/>
      <c r="OAE67" s="242"/>
      <c r="OAF67" s="242"/>
      <c r="OAG67" s="242"/>
      <c r="OAH67" s="242"/>
      <c r="OAI67" s="242"/>
      <c r="OAJ67" s="242"/>
      <c r="OAK67" s="242"/>
      <c r="OAL67" s="242"/>
      <c r="OAM67" s="242"/>
      <c r="OAN67" s="108"/>
      <c r="OAO67" s="243"/>
      <c r="OAP67" s="243"/>
      <c r="OAQ67" s="243"/>
      <c r="OAR67" s="242"/>
      <c r="OAS67" s="242"/>
      <c r="OAT67" s="242"/>
      <c r="OAU67" s="242"/>
      <c r="OAV67" s="242"/>
      <c r="OAW67" s="242"/>
      <c r="OAX67" s="242"/>
      <c r="OAY67" s="242"/>
      <c r="OAZ67" s="242"/>
      <c r="OBA67" s="108"/>
      <c r="OBB67" s="243"/>
      <c r="OBC67" s="243"/>
      <c r="OBD67" s="243"/>
      <c r="OBE67" s="242"/>
      <c r="OBF67" s="242"/>
      <c r="OBG67" s="242"/>
      <c r="OBH67" s="242"/>
      <c r="OBI67" s="242"/>
      <c r="OBJ67" s="242"/>
      <c r="OBK67" s="242"/>
      <c r="OBL67" s="242"/>
      <c r="OBM67" s="242"/>
      <c r="OBN67" s="108"/>
      <c r="OBO67" s="243"/>
      <c r="OBP67" s="243"/>
      <c r="OBQ67" s="243"/>
      <c r="OBR67" s="242"/>
      <c r="OBS67" s="242"/>
      <c r="OBT67" s="242"/>
      <c r="OBU67" s="242"/>
      <c r="OBV67" s="242"/>
      <c r="OBW67" s="242"/>
      <c r="OBX67" s="242"/>
      <c r="OBY67" s="242"/>
      <c r="OBZ67" s="242"/>
      <c r="OCA67" s="108"/>
      <c r="OCB67" s="243"/>
      <c r="OCC67" s="243"/>
      <c r="OCD67" s="243"/>
      <c r="OCE67" s="242"/>
      <c r="OCF67" s="242"/>
      <c r="OCG67" s="242"/>
      <c r="OCH67" s="242"/>
      <c r="OCI67" s="242"/>
      <c r="OCJ67" s="242"/>
      <c r="OCK67" s="242"/>
      <c r="OCL67" s="242"/>
      <c r="OCM67" s="242"/>
      <c r="OCN67" s="108"/>
      <c r="OCO67" s="243"/>
      <c r="OCP67" s="243"/>
      <c r="OCQ67" s="243"/>
      <c r="OCR67" s="242"/>
      <c r="OCS67" s="242"/>
      <c r="OCT67" s="242"/>
      <c r="OCU67" s="242"/>
      <c r="OCV67" s="242"/>
      <c r="OCW67" s="242"/>
      <c r="OCX67" s="242"/>
      <c r="OCY67" s="242"/>
      <c r="OCZ67" s="242"/>
      <c r="ODA67" s="108"/>
      <c r="ODB67" s="243"/>
      <c r="ODC67" s="243"/>
      <c r="ODD67" s="243"/>
      <c r="ODE67" s="242"/>
      <c r="ODF67" s="242"/>
      <c r="ODG67" s="242"/>
      <c r="ODH67" s="242"/>
      <c r="ODI67" s="242"/>
      <c r="ODJ67" s="242"/>
      <c r="ODK67" s="242"/>
      <c r="ODL67" s="242"/>
      <c r="ODM67" s="242"/>
      <c r="ODN67" s="108"/>
      <c r="ODO67" s="243"/>
      <c r="ODP67" s="243"/>
      <c r="ODQ67" s="243"/>
      <c r="ODR67" s="242"/>
      <c r="ODS67" s="242"/>
      <c r="ODT67" s="242"/>
      <c r="ODU67" s="242"/>
      <c r="ODV67" s="242"/>
      <c r="ODW67" s="242"/>
      <c r="ODX67" s="242"/>
      <c r="ODY67" s="242"/>
      <c r="ODZ67" s="242"/>
      <c r="OEA67" s="108"/>
      <c r="OEB67" s="243"/>
      <c r="OEC67" s="243"/>
      <c r="OED67" s="243"/>
      <c r="OEE67" s="242"/>
      <c r="OEF67" s="242"/>
      <c r="OEG67" s="242"/>
      <c r="OEH67" s="242"/>
      <c r="OEI67" s="242"/>
      <c r="OEJ67" s="242"/>
      <c r="OEK67" s="242"/>
      <c r="OEL67" s="242"/>
      <c r="OEM67" s="242"/>
      <c r="OEN67" s="108"/>
      <c r="OEO67" s="243"/>
      <c r="OEP67" s="243"/>
      <c r="OEQ67" s="243"/>
      <c r="OER67" s="242"/>
      <c r="OES67" s="242"/>
      <c r="OET67" s="242"/>
      <c r="OEU67" s="242"/>
      <c r="OEV67" s="242"/>
      <c r="OEW67" s="242"/>
      <c r="OEX67" s="242"/>
      <c r="OEY67" s="242"/>
      <c r="OEZ67" s="242"/>
      <c r="OFA67" s="108"/>
      <c r="OFB67" s="243"/>
      <c r="OFC67" s="243"/>
      <c r="OFD67" s="243"/>
      <c r="OFE67" s="242"/>
      <c r="OFF67" s="242"/>
      <c r="OFG67" s="242"/>
      <c r="OFH67" s="242"/>
      <c r="OFI67" s="242"/>
      <c r="OFJ67" s="242"/>
      <c r="OFK67" s="242"/>
      <c r="OFL67" s="242"/>
      <c r="OFM67" s="242"/>
      <c r="OFN67" s="108"/>
      <c r="OFO67" s="243"/>
      <c r="OFP67" s="243"/>
      <c r="OFQ67" s="243"/>
      <c r="OFR67" s="242"/>
      <c r="OFS67" s="242"/>
      <c r="OFT67" s="242"/>
      <c r="OFU67" s="242"/>
      <c r="OFV67" s="242"/>
      <c r="OFW67" s="242"/>
      <c r="OFX67" s="242"/>
      <c r="OFY67" s="242"/>
      <c r="OFZ67" s="242"/>
      <c r="OGA67" s="108"/>
      <c r="OGB67" s="243"/>
      <c r="OGC67" s="243"/>
      <c r="OGD67" s="243"/>
      <c r="OGE67" s="242"/>
      <c r="OGF67" s="242"/>
      <c r="OGG67" s="242"/>
      <c r="OGH67" s="242"/>
      <c r="OGI67" s="242"/>
      <c r="OGJ67" s="242"/>
      <c r="OGK67" s="242"/>
      <c r="OGL67" s="242"/>
      <c r="OGM67" s="242"/>
      <c r="OGN67" s="108"/>
      <c r="OGO67" s="243"/>
      <c r="OGP67" s="243"/>
      <c r="OGQ67" s="243"/>
      <c r="OGR67" s="242"/>
      <c r="OGS67" s="242"/>
      <c r="OGT67" s="242"/>
      <c r="OGU67" s="242"/>
      <c r="OGV67" s="242"/>
      <c r="OGW67" s="242"/>
      <c r="OGX67" s="242"/>
      <c r="OGY67" s="242"/>
      <c r="OGZ67" s="242"/>
      <c r="OHA67" s="108"/>
      <c r="OHB67" s="243"/>
      <c r="OHC67" s="243"/>
      <c r="OHD67" s="243"/>
      <c r="OHE67" s="242"/>
      <c r="OHF67" s="242"/>
      <c r="OHG67" s="242"/>
      <c r="OHH67" s="242"/>
      <c r="OHI67" s="242"/>
      <c r="OHJ67" s="242"/>
      <c r="OHK67" s="242"/>
      <c r="OHL67" s="242"/>
      <c r="OHM67" s="242"/>
      <c r="OHN67" s="108"/>
      <c r="OHO67" s="243"/>
      <c r="OHP67" s="243"/>
      <c r="OHQ67" s="243"/>
      <c r="OHR67" s="242"/>
      <c r="OHS67" s="242"/>
      <c r="OHT67" s="242"/>
      <c r="OHU67" s="242"/>
      <c r="OHV67" s="242"/>
      <c r="OHW67" s="242"/>
      <c r="OHX67" s="242"/>
      <c r="OHY67" s="242"/>
      <c r="OHZ67" s="242"/>
      <c r="OIA67" s="108"/>
      <c r="OIB67" s="243"/>
      <c r="OIC67" s="243"/>
      <c r="OID67" s="243"/>
      <c r="OIE67" s="242"/>
      <c r="OIF67" s="242"/>
      <c r="OIG67" s="242"/>
      <c r="OIH67" s="242"/>
      <c r="OII67" s="242"/>
      <c r="OIJ67" s="242"/>
      <c r="OIK67" s="242"/>
      <c r="OIL67" s="242"/>
      <c r="OIM67" s="242"/>
      <c r="OIN67" s="108"/>
      <c r="OIO67" s="243"/>
      <c r="OIP67" s="243"/>
      <c r="OIQ67" s="243"/>
      <c r="OIR67" s="242"/>
      <c r="OIS67" s="242"/>
      <c r="OIT67" s="242"/>
      <c r="OIU67" s="242"/>
      <c r="OIV67" s="242"/>
      <c r="OIW67" s="242"/>
      <c r="OIX67" s="242"/>
      <c r="OIY67" s="242"/>
      <c r="OIZ67" s="242"/>
      <c r="OJA67" s="108"/>
      <c r="OJB67" s="243"/>
      <c r="OJC67" s="243"/>
      <c r="OJD67" s="243"/>
      <c r="OJE67" s="242"/>
      <c r="OJF67" s="242"/>
      <c r="OJG67" s="242"/>
      <c r="OJH67" s="242"/>
      <c r="OJI67" s="242"/>
      <c r="OJJ67" s="242"/>
      <c r="OJK67" s="242"/>
      <c r="OJL67" s="242"/>
      <c r="OJM67" s="242"/>
      <c r="OJN67" s="108"/>
      <c r="OJO67" s="243"/>
      <c r="OJP67" s="243"/>
      <c r="OJQ67" s="243"/>
      <c r="OJR67" s="242"/>
      <c r="OJS67" s="242"/>
      <c r="OJT67" s="242"/>
      <c r="OJU67" s="242"/>
      <c r="OJV67" s="242"/>
      <c r="OJW67" s="242"/>
      <c r="OJX67" s="242"/>
      <c r="OJY67" s="242"/>
      <c r="OJZ67" s="242"/>
      <c r="OKA67" s="108"/>
      <c r="OKB67" s="243"/>
      <c r="OKC67" s="243"/>
      <c r="OKD67" s="243"/>
      <c r="OKE67" s="242"/>
      <c r="OKF67" s="242"/>
      <c r="OKG67" s="242"/>
      <c r="OKH67" s="242"/>
      <c r="OKI67" s="242"/>
      <c r="OKJ67" s="242"/>
      <c r="OKK67" s="242"/>
      <c r="OKL67" s="242"/>
      <c r="OKM67" s="242"/>
      <c r="OKN67" s="108"/>
      <c r="OKO67" s="243"/>
      <c r="OKP67" s="243"/>
      <c r="OKQ67" s="243"/>
      <c r="OKR67" s="242"/>
      <c r="OKS67" s="242"/>
      <c r="OKT67" s="242"/>
      <c r="OKU67" s="242"/>
      <c r="OKV67" s="242"/>
      <c r="OKW67" s="242"/>
      <c r="OKX67" s="242"/>
      <c r="OKY67" s="242"/>
      <c r="OKZ67" s="242"/>
      <c r="OLA67" s="108"/>
      <c r="OLB67" s="243"/>
      <c r="OLC67" s="243"/>
      <c r="OLD67" s="243"/>
      <c r="OLE67" s="242"/>
      <c r="OLF67" s="242"/>
      <c r="OLG67" s="242"/>
      <c r="OLH67" s="242"/>
      <c r="OLI67" s="242"/>
      <c r="OLJ67" s="242"/>
      <c r="OLK67" s="242"/>
      <c r="OLL67" s="242"/>
      <c r="OLM67" s="242"/>
      <c r="OLN67" s="108"/>
      <c r="OLO67" s="243"/>
      <c r="OLP67" s="243"/>
      <c r="OLQ67" s="243"/>
      <c r="OLR67" s="242"/>
      <c r="OLS67" s="242"/>
      <c r="OLT67" s="242"/>
      <c r="OLU67" s="242"/>
      <c r="OLV67" s="242"/>
      <c r="OLW67" s="242"/>
      <c r="OLX67" s="242"/>
      <c r="OLY67" s="242"/>
      <c r="OLZ67" s="242"/>
      <c r="OMA67" s="108"/>
      <c r="OMB67" s="243"/>
      <c r="OMC67" s="243"/>
      <c r="OMD67" s="243"/>
      <c r="OME67" s="242"/>
      <c r="OMF67" s="242"/>
      <c r="OMG67" s="242"/>
      <c r="OMH67" s="242"/>
      <c r="OMI67" s="242"/>
      <c r="OMJ67" s="242"/>
      <c r="OMK67" s="242"/>
      <c r="OML67" s="242"/>
      <c r="OMM67" s="242"/>
      <c r="OMN67" s="108"/>
      <c r="OMO67" s="243"/>
      <c r="OMP67" s="243"/>
      <c r="OMQ67" s="243"/>
      <c r="OMR67" s="242"/>
      <c r="OMS67" s="242"/>
      <c r="OMT67" s="242"/>
      <c r="OMU67" s="242"/>
      <c r="OMV67" s="242"/>
      <c r="OMW67" s="242"/>
      <c r="OMX67" s="242"/>
      <c r="OMY67" s="242"/>
      <c r="OMZ67" s="242"/>
      <c r="ONA67" s="108"/>
      <c r="ONB67" s="243"/>
      <c r="ONC67" s="243"/>
      <c r="OND67" s="243"/>
      <c r="ONE67" s="242"/>
      <c r="ONF67" s="242"/>
      <c r="ONG67" s="242"/>
      <c r="ONH67" s="242"/>
      <c r="ONI67" s="242"/>
      <c r="ONJ67" s="242"/>
      <c r="ONK67" s="242"/>
      <c r="ONL67" s="242"/>
      <c r="ONM67" s="242"/>
      <c r="ONN67" s="108"/>
      <c r="ONO67" s="243"/>
      <c r="ONP67" s="243"/>
      <c r="ONQ67" s="243"/>
      <c r="ONR67" s="242"/>
      <c r="ONS67" s="242"/>
      <c r="ONT67" s="242"/>
      <c r="ONU67" s="242"/>
      <c r="ONV67" s="242"/>
      <c r="ONW67" s="242"/>
      <c r="ONX67" s="242"/>
      <c r="ONY67" s="242"/>
      <c r="ONZ67" s="242"/>
      <c r="OOA67" s="108"/>
      <c r="OOB67" s="243"/>
      <c r="OOC67" s="243"/>
      <c r="OOD67" s="243"/>
      <c r="OOE67" s="242"/>
      <c r="OOF67" s="242"/>
      <c r="OOG67" s="242"/>
      <c r="OOH67" s="242"/>
      <c r="OOI67" s="242"/>
      <c r="OOJ67" s="242"/>
      <c r="OOK67" s="242"/>
      <c r="OOL67" s="242"/>
      <c r="OOM67" s="242"/>
      <c r="OON67" s="108"/>
      <c r="OOO67" s="243"/>
      <c r="OOP67" s="243"/>
      <c r="OOQ67" s="243"/>
      <c r="OOR67" s="242"/>
      <c r="OOS67" s="242"/>
      <c r="OOT67" s="242"/>
      <c r="OOU67" s="242"/>
      <c r="OOV67" s="242"/>
      <c r="OOW67" s="242"/>
      <c r="OOX67" s="242"/>
      <c r="OOY67" s="242"/>
      <c r="OOZ67" s="242"/>
      <c r="OPA67" s="108"/>
      <c r="OPB67" s="243"/>
      <c r="OPC67" s="243"/>
      <c r="OPD67" s="243"/>
      <c r="OPE67" s="242"/>
      <c r="OPF67" s="242"/>
      <c r="OPG67" s="242"/>
      <c r="OPH67" s="242"/>
      <c r="OPI67" s="242"/>
      <c r="OPJ67" s="242"/>
      <c r="OPK67" s="242"/>
      <c r="OPL67" s="242"/>
      <c r="OPM67" s="242"/>
      <c r="OPN67" s="108"/>
      <c r="OPO67" s="243"/>
      <c r="OPP67" s="243"/>
      <c r="OPQ67" s="243"/>
      <c r="OPR67" s="242"/>
      <c r="OPS67" s="242"/>
      <c r="OPT67" s="242"/>
      <c r="OPU67" s="242"/>
      <c r="OPV67" s="242"/>
      <c r="OPW67" s="242"/>
      <c r="OPX67" s="242"/>
      <c r="OPY67" s="242"/>
      <c r="OPZ67" s="242"/>
      <c r="OQA67" s="108"/>
      <c r="OQB67" s="243"/>
      <c r="OQC67" s="243"/>
      <c r="OQD67" s="243"/>
      <c r="OQE67" s="242"/>
      <c r="OQF67" s="242"/>
      <c r="OQG67" s="242"/>
      <c r="OQH67" s="242"/>
      <c r="OQI67" s="242"/>
      <c r="OQJ67" s="242"/>
      <c r="OQK67" s="242"/>
      <c r="OQL67" s="242"/>
      <c r="OQM67" s="242"/>
      <c r="OQN67" s="108"/>
      <c r="OQO67" s="243"/>
      <c r="OQP67" s="243"/>
      <c r="OQQ67" s="243"/>
      <c r="OQR67" s="242"/>
      <c r="OQS67" s="242"/>
      <c r="OQT67" s="242"/>
      <c r="OQU67" s="242"/>
      <c r="OQV67" s="242"/>
      <c r="OQW67" s="242"/>
      <c r="OQX67" s="242"/>
      <c r="OQY67" s="242"/>
      <c r="OQZ67" s="242"/>
      <c r="ORA67" s="108"/>
      <c r="ORB67" s="243"/>
      <c r="ORC67" s="243"/>
      <c r="ORD67" s="243"/>
      <c r="ORE67" s="242"/>
      <c r="ORF67" s="242"/>
      <c r="ORG67" s="242"/>
      <c r="ORH67" s="242"/>
      <c r="ORI67" s="242"/>
      <c r="ORJ67" s="242"/>
      <c r="ORK67" s="242"/>
      <c r="ORL67" s="242"/>
      <c r="ORM67" s="242"/>
      <c r="ORN67" s="108"/>
      <c r="ORO67" s="243"/>
      <c r="ORP67" s="243"/>
      <c r="ORQ67" s="243"/>
      <c r="ORR67" s="242"/>
      <c r="ORS67" s="242"/>
      <c r="ORT67" s="242"/>
      <c r="ORU67" s="242"/>
      <c r="ORV67" s="242"/>
      <c r="ORW67" s="242"/>
      <c r="ORX67" s="242"/>
      <c r="ORY67" s="242"/>
      <c r="ORZ67" s="242"/>
      <c r="OSA67" s="108"/>
      <c r="OSB67" s="243"/>
      <c r="OSC67" s="243"/>
      <c r="OSD67" s="243"/>
      <c r="OSE67" s="242"/>
      <c r="OSF67" s="242"/>
      <c r="OSG67" s="242"/>
      <c r="OSH67" s="242"/>
      <c r="OSI67" s="242"/>
      <c r="OSJ67" s="242"/>
      <c r="OSK67" s="242"/>
      <c r="OSL67" s="242"/>
      <c r="OSM67" s="242"/>
      <c r="OSN67" s="108"/>
      <c r="OSO67" s="243"/>
      <c r="OSP67" s="243"/>
      <c r="OSQ67" s="243"/>
      <c r="OSR67" s="242"/>
      <c r="OSS67" s="242"/>
      <c r="OST67" s="242"/>
      <c r="OSU67" s="242"/>
      <c r="OSV67" s="242"/>
      <c r="OSW67" s="242"/>
      <c r="OSX67" s="242"/>
      <c r="OSY67" s="242"/>
      <c r="OSZ67" s="242"/>
      <c r="OTA67" s="108"/>
      <c r="OTB67" s="243"/>
      <c r="OTC67" s="243"/>
      <c r="OTD67" s="243"/>
      <c r="OTE67" s="242"/>
      <c r="OTF67" s="242"/>
      <c r="OTG67" s="242"/>
      <c r="OTH67" s="242"/>
      <c r="OTI67" s="242"/>
      <c r="OTJ67" s="242"/>
      <c r="OTK67" s="242"/>
      <c r="OTL67" s="242"/>
      <c r="OTM67" s="242"/>
      <c r="OTN67" s="108"/>
      <c r="OTO67" s="243"/>
      <c r="OTP67" s="243"/>
      <c r="OTQ67" s="243"/>
      <c r="OTR67" s="242"/>
      <c r="OTS67" s="242"/>
      <c r="OTT67" s="242"/>
      <c r="OTU67" s="242"/>
      <c r="OTV67" s="242"/>
      <c r="OTW67" s="242"/>
      <c r="OTX67" s="242"/>
      <c r="OTY67" s="242"/>
      <c r="OTZ67" s="242"/>
      <c r="OUA67" s="108"/>
      <c r="OUB67" s="243"/>
      <c r="OUC67" s="243"/>
      <c r="OUD67" s="243"/>
      <c r="OUE67" s="242"/>
      <c r="OUF67" s="242"/>
      <c r="OUG67" s="242"/>
      <c r="OUH67" s="242"/>
      <c r="OUI67" s="242"/>
      <c r="OUJ67" s="242"/>
      <c r="OUK67" s="242"/>
      <c r="OUL67" s="242"/>
      <c r="OUM67" s="242"/>
      <c r="OUN67" s="108"/>
      <c r="OUO67" s="243"/>
      <c r="OUP67" s="243"/>
      <c r="OUQ67" s="243"/>
      <c r="OUR67" s="242"/>
      <c r="OUS67" s="242"/>
      <c r="OUT67" s="242"/>
      <c r="OUU67" s="242"/>
      <c r="OUV67" s="242"/>
      <c r="OUW67" s="242"/>
      <c r="OUX67" s="242"/>
      <c r="OUY67" s="242"/>
      <c r="OUZ67" s="242"/>
      <c r="OVA67" s="108"/>
      <c r="OVB67" s="243"/>
      <c r="OVC67" s="243"/>
      <c r="OVD67" s="243"/>
      <c r="OVE67" s="242"/>
      <c r="OVF67" s="242"/>
      <c r="OVG67" s="242"/>
      <c r="OVH67" s="242"/>
      <c r="OVI67" s="242"/>
      <c r="OVJ67" s="242"/>
      <c r="OVK67" s="242"/>
      <c r="OVL67" s="242"/>
      <c r="OVM67" s="242"/>
      <c r="OVN67" s="108"/>
      <c r="OVO67" s="243"/>
      <c r="OVP67" s="243"/>
      <c r="OVQ67" s="243"/>
      <c r="OVR67" s="242"/>
      <c r="OVS67" s="242"/>
      <c r="OVT67" s="242"/>
      <c r="OVU67" s="242"/>
      <c r="OVV67" s="242"/>
      <c r="OVW67" s="242"/>
      <c r="OVX67" s="242"/>
      <c r="OVY67" s="242"/>
      <c r="OVZ67" s="242"/>
      <c r="OWA67" s="108"/>
      <c r="OWB67" s="243"/>
      <c r="OWC67" s="243"/>
      <c r="OWD67" s="243"/>
      <c r="OWE67" s="242"/>
      <c r="OWF67" s="242"/>
      <c r="OWG67" s="242"/>
      <c r="OWH67" s="242"/>
      <c r="OWI67" s="242"/>
      <c r="OWJ67" s="242"/>
      <c r="OWK67" s="242"/>
      <c r="OWL67" s="242"/>
      <c r="OWM67" s="242"/>
      <c r="OWN67" s="108"/>
      <c r="OWO67" s="243"/>
      <c r="OWP67" s="243"/>
      <c r="OWQ67" s="243"/>
      <c r="OWR67" s="242"/>
      <c r="OWS67" s="242"/>
      <c r="OWT67" s="242"/>
      <c r="OWU67" s="242"/>
      <c r="OWV67" s="242"/>
      <c r="OWW67" s="242"/>
      <c r="OWX67" s="242"/>
      <c r="OWY67" s="242"/>
      <c r="OWZ67" s="242"/>
      <c r="OXA67" s="108"/>
      <c r="OXB67" s="243"/>
      <c r="OXC67" s="243"/>
      <c r="OXD67" s="243"/>
      <c r="OXE67" s="242"/>
      <c r="OXF67" s="242"/>
      <c r="OXG67" s="242"/>
      <c r="OXH67" s="242"/>
      <c r="OXI67" s="242"/>
      <c r="OXJ67" s="242"/>
      <c r="OXK67" s="242"/>
      <c r="OXL67" s="242"/>
      <c r="OXM67" s="242"/>
      <c r="OXN67" s="108"/>
      <c r="OXO67" s="243"/>
      <c r="OXP67" s="243"/>
      <c r="OXQ67" s="243"/>
      <c r="OXR67" s="242"/>
      <c r="OXS67" s="242"/>
      <c r="OXT67" s="242"/>
      <c r="OXU67" s="242"/>
      <c r="OXV67" s="242"/>
      <c r="OXW67" s="242"/>
      <c r="OXX67" s="242"/>
      <c r="OXY67" s="242"/>
      <c r="OXZ67" s="242"/>
      <c r="OYA67" s="108"/>
      <c r="OYB67" s="243"/>
      <c r="OYC67" s="243"/>
      <c r="OYD67" s="243"/>
      <c r="OYE67" s="242"/>
      <c r="OYF67" s="242"/>
      <c r="OYG67" s="242"/>
      <c r="OYH67" s="242"/>
      <c r="OYI67" s="242"/>
      <c r="OYJ67" s="242"/>
      <c r="OYK67" s="242"/>
      <c r="OYL67" s="242"/>
      <c r="OYM67" s="242"/>
      <c r="OYN67" s="108"/>
      <c r="OYO67" s="243"/>
      <c r="OYP67" s="243"/>
      <c r="OYQ67" s="243"/>
      <c r="OYR67" s="242"/>
      <c r="OYS67" s="242"/>
      <c r="OYT67" s="242"/>
      <c r="OYU67" s="242"/>
      <c r="OYV67" s="242"/>
      <c r="OYW67" s="242"/>
      <c r="OYX67" s="242"/>
      <c r="OYY67" s="242"/>
      <c r="OYZ67" s="242"/>
      <c r="OZA67" s="108"/>
      <c r="OZB67" s="243"/>
      <c r="OZC67" s="243"/>
      <c r="OZD67" s="243"/>
      <c r="OZE67" s="242"/>
      <c r="OZF67" s="242"/>
      <c r="OZG67" s="242"/>
      <c r="OZH67" s="242"/>
      <c r="OZI67" s="242"/>
      <c r="OZJ67" s="242"/>
      <c r="OZK67" s="242"/>
      <c r="OZL67" s="242"/>
      <c r="OZM67" s="242"/>
      <c r="OZN67" s="108"/>
      <c r="OZO67" s="243"/>
      <c r="OZP67" s="243"/>
      <c r="OZQ67" s="243"/>
      <c r="OZR67" s="242"/>
      <c r="OZS67" s="242"/>
      <c r="OZT67" s="242"/>
      <c r="OZU67" s="242"/>
      <c r="OZV67" s="242"/>
      <c r="OZW67" s="242"/>
      <c r="OZX67" s="242"/>
      <c r="OZY67" s="242"/>
      <c r="OZZ67" s="242"/>
      <c r="PAA67" s="108"/>
      <c r="PAB67" s="243"/>
      <c r="PAC67" s="243"/>
      <c r="PAD67" s="243"/>
      <c r="PAE67" s="242"/>
      <c r="PAF67" s="242"/>
      <c r="PAG67" s="242"/>
      <c r="PAH67" s="242"/>
      <c r="PAI67" s="242"/>
      <c r="PAJ67" s="242"/>
      <c r="PAK67" s="242"/>
      <c r="PAL67" s="242"/>
      <c r="PAM67" s="242"/>
      <c r="PAN67" s="108"/>
      <c r="PAO67" s="243"/>
      <c r="PAP67" s="243"/>
      <c r="PAQ67" s="243"/>
      <c r="PAR67" s="242"/>
      <c r="PAS67" s="242"/>
      <c r="PAT67" s="242"/>
      <c r="PAU67" s="242"/>
      <c r="PAV67" s="242"/>
      <c r="PAW67" s="242"/>
      <c r="PAX67" s="242"/>
      <c r="PAY67" s="242"/>
      <c r="PAZ67" s="242"/>
      <c r="PBA67" s="108"/>
      <c r="PBB67" s="243"/>
      <c r="PBC67" s="243"/>
      <c r="PBD67" s="243"/>
      <c r="PBE67" s="242"/>
      <c r="PBF67" s="242"/>
      <c r="PBG67" s="242"/>
      <c r="PBH67" s="242"/>
      <c r="PBI67" s="242"/>
      <c r="PBJ67" s="242"/>
      <c r="PBK67" s="242"/>
      <c r="PBL67" s="242"/>
      <c r="PBM67" s="242"/>
      <c r="PBN67" s="108"/>
      <c r="PBO67" s="243"/>
      <c r="PBP67" s="243"/>
      <c r="PBQ67" s="243"/>
      <c r="PBR67" s="242"/>
      <c r="PBS67" s="242"/>
      <c r="PBT67" s="242"/>
      <c r="PBU67" s="242"/>
      <c r="PBV67" s="242"/>
      <c r="PBW67" s="242"/>
      <c r="PBX67" s="242"/>
      <c r="PBY67" s="242"/>
      <c r="PBZ67" s="242"/>
      <c r="PCA67" s="108"/>
      <c r="PCB67" s="243"/>
      <c r="PCC67" s="243"/>
      <c r="PCD67" s="243"/>
      <c r="PCE67" s="242"/>
      <c r="PCF67" s="242"/>
      <c r="PCG67" s="242"/>
      <c r="PCH67" s="242"/>
      <c r="PCI67" s="242"/>
      <c r="PCJ67" s="242"/>
      <c r="PCK67" s="242"/>
      <c r="PCL67" s="242"/>
      <c r="PCM67" s="242"/>
      <c r="PCN67" s="108"/>
      <c r="PCO67" s="243"/>
      <c r="PCP67" s="243"/>
      <c r="PCQ67" s="243"/>
      <c r="PCR67" s="242"/>
      <c r="PCS67" s="242"/>
      <c r="PCT67" s="242"/>
      <c r="PCU67" s="242"/>
      <c r="PCV67" s="242"/>
      <c r="PCW67" s="242"/>
      <c r="PCX67" s="242"/>
      <c r="PCY67" s="242"/>
      <c r="PCZ67" s="242"/>
      <c r="PDA67" s="108"/>
      <c r="PDB67" s="243"/>
      <c r="PDC67" s="243"/>
      <c r="PDD67" s="243"/>
      <c r="PDE67" s="242"/>
      <c r="PDF67" s="242"/>
      <c r="PDG67" s="242"/>
      <c r="PDH67" s="242"/>
      <c r="PDI67" s="242"/>
      <c r="PDJ67" s="242"/>
      <c r="PDK67" s="242"/>
      <c r="PDL67" s="242"/>
      <c r="PDM67" s="242"/>
      <c r="PDN67" s="108"/>
      <c r="PDO67" s="243"/>
      <c r="PDP67" s="243"/>
      <c r="PDQ67" s="243"/>
      <c r="PDR67" s="242"/>
      <c r="PDS67" s="242"/>
      <c r="PDT67" s="242"/>
      <c r="PDU67" s="242"/>
      <c r="PDV67" s="242"/>
      <c r="PDW67" s="242"/>
      <c r="PDX67" s="242"/>
      <c r="PDY67" s="242"/>
      <c r="PDZ67" s="242"/>
      <c r="PEA67" s="108"/>
      <c r="PEB67" s="243"/>
      <c r="PEC67" s="243"/>
      <c r="PED67" s="243"/>
      <c r="PEE67" s="242"/>
      <c r="PEF67" s="242"/>
      <c r="PEG67" s="242"/>
      <c r="PEH67" s="242"/>
      <c r="PEI67" s="242"/>
      <c r="PEJ67" s="242"/>
      <c r="PEK67" s="242"/>
      <c r="PEL67" s="242"/>
      <c r="PEM67" s="242"/>
      <c r="PEN67" s="108"/>
      <c r="PEO67" s="243"/>
      <c r="PEP67" s="243"/>
      <c r="PEQ67" s="243"/>
      <c r="PER67" s="242"/>
      <c r="PES67" s="242"/>
      <c r="PET67" s="242"/>
      <c r="PEU67" s="242"/>
      <c r="PEV67" s="242"/>
      <c r="PEW67" s="242"/>
      <c r="PEX67" s="242"/>
      <c r="PEY67" s="242"/>
      <c r="PEZ67" s="242"/>
      <c r="PFA67" s="108"/>
      <c r="PFB67" s="243"/>
      <c r="PFC67" s="243"/>
      <c r="PFD67" s="243"/>
      <c r="PFE67" s="242"/>
      <c r="PFF67" s="242"/>
      <c r="PFG67" s="242"/>
      <c r="PFH67" s="242"/>
      <c r="PFI67" s="242"/>
      <c r="PFJ67" s="242"/>
      <c r="PFK67" s="242"/>
      <c r="PFL67" s="242"/>
      <c r="PFM67" s="242"/>
      <c r="PFN67" s="108"/>
      <c r="PFO67" s="243"/>
      <c r="PFP67" s="243"/>
      <c r="PFQ67" s="243"/>
      <c r="PFR67" s="242"/>
      <c r="PFS67" s="242"/>
      <c r="PFT67" s="242"/>
      <c r="PFU67" s="242"/>
      <c r="PFV67" s="242"/>
      <c r="PFW67" s="242"/>
      <c r="PFX67" s="242"/>
      <c r="PFY67" s="242"/>
      <c r="PFZ67" s="242"/>
      <c r="PGA67" s="108"/>
      <c r="PGB67" s="243"/>
      <c r="PGC67" s="243"/>
      <c r="PGD67" s="243"/>
      <c r="PGE67" s="242"/>
      <c r="PGF67" s="242"/>
      <c r="PGG67" s="242"/>
      <c r="PGH67" s="242"/>
      <c r="PGI67" s="242"/>
      <c r="PGJ67" s="242"/>
      <c r="PGK67" s="242"/>
      <c r="PGL67" s="242"/>
      <c r="PGM67" s="242"/>
      <c r="PGN67" s="108"/>
      <c r="PGO67" s="243"/>
      <c r="PGP67" s="243"/>
      <c r="PGQ67" s="243"/>
      <c r="PGR67" s="242"/>
      <c r="PGS67" s="242"/>
      <c r="PGT67" s="242"/>
      <c r="PGU67" s="242"/>
      <c r="PGV67" s="242"/>
      <c r="PGW67" s="242"/>
      <c r="PGX67" s="242"/>
      <c r="PGY67" s="242"/>
      <c r="PGZ67" s="242"/>
      <c r="PHA67" s="108"/>
      <c r="PHB67" s="243"/>
      <c r="PHC67" s="243"/>
      <c r="PHD67" s="243"/>
      <c r="PHE67" s="242"/>
      <c r="PHF67" s="242"/>
      <c r="PHG67" s="242"/>
      <c r="PHH67" s="242"/>
      <c r="PHI67" s="242"/>
      <c r="PHJ67" s="242"/>
      <c r="PHK67" s="242"/>
      <c r="PHL67" s="242"/>
      <c r="PHM67" s="242"/>
      <c r="PHN67" s="108"/>
      <c r="PHO67" s="243"/>
      <c r="PHP67" s="243"/>
      <c r="PHQ67" s="243"/>
      <c r="PHR67" s="242"/>
      <c r="PHS67" s="242"/>
      <c r="PHT67" s="242"/>
      <c r="PHU67" s="242"/>
      <c r="PHV67" s="242"/>
      <c r="PHW67" s="242"/>
      <c r="PHX67" s="242"/>
      <c r="PHY67" s="242"/>
      <c r="PHZ67" s="242"/>
      <c r="PIA67" s="108"/>
      <c r="PIB67" s="243"/>
      <c r="PIC67" s="243"/>
      <c r="PID67" s="243"/>
      <c r="PIE67" s="242"/>
      <c r="PIF67" s="242"/>
      <c r="PIG67" s="242"/>
      <c r="PIH67" s="242"/>
      <c r="PII67" s="242"/>
      <c r="PIJ67" s="242"/>
      <c r="PIK67" s="242"/>
      <c r="PIL67" s="242"/>
      <c r="PIM67" s="242"/>
      <c r="PIN67" s="108"/>
      <c r="PIO67" s="243"/>
      <c r="PIP67" s="243"/>
      <c r="PIQ67" s="243"/>
      <c r="PIR67" s="242"/>
      <c r="PIS67" s="242"/>
      <c r="PIT67" s="242"/>
      <c r="PIU67" s="242"/>
      <c r="PIV67" s="242"/>
      <c r="PIW67" s="242"/>
      <c r="PIX67" s="242"/>
      <c r="PIY67" s="242"/>
      <c r="PIZ67" s="242"/>
      <c r="PJA67" s="108"/>
      <c r="PJB67" s="243"/>
      <c r="PJC67" s="243"/>
      <c r="PJD67" s="243"/>
      <c r="PJE67" s="242"/>
      <c r="PJF67" s="242"/>
      <c r="PJG67" s="242"/>
      <c r="PJH67" s="242"/>
      <c r="PJI67" s="242"/>
      <c r="PJJ67" s="242"/>
      <c r="PJK67" s="242"/>
      <c r="PJL67" s="242"/>
      <c r="PJM67" s="242"/>
      <c r="PJN67" s="108"/>
      <c r="PJO67" s="243"/>
      <c r="PJP67" s="243"/>
      <c r="PJQ67" s="243"/>
      <c r="PJR67" s="242"/>
      <c r="PJS67" s="242"/>
      <c r="PJT67" s="242"/>
      <c r="PJU67" s="242"/>
      <c r="PJV67" s="242"/>
      <c r="PJW67" s="242"/>
      <c r="PJX67" s="242"/>
      <c r="PJY67" s="242"/>
      <c r="PJZ67" s="242"/>
      <c r="PKA67" s="108"/>
      <c r="PKB67" s="243"/>
      <c r="PKC67" s="243"/>
      <c r="PKD67" s="243"/>
      <c r="PKE67" s="242"/>
      <c r="PKF67" s="242"/>
      <c r="PKG67" s="242"/>
      <c r="PKH67" s="242"/>
      <c r="PKI67" s="242"/>
      <c r="PKJ67" s="242"/>
      <c r="PKK67" s="242"/>
      <c r="PKL67" s="242"/>
      <c r="PKM67" s="242"/>
      <c r="PKN67" s="108"/>
      <c r="PKO67" s="243"/>
      <c r="PKP67" s="243"/>
      <c r="PKQ67" s="243"/>
      <c r="PKR67" s="242"/>
      <c r="PKS67" s="242"/>
      <c r="PKT67" s="242"/>
      <c r="PKU67" s="242"/>
      <c r="PKV67" s="242"/>
      <c r="PKW67" s="242"/>
      <c r="PKX67" s="242"/>
      <c r="PKY67" s="242"/>
      <c r="PKZ67" s="242"/>
      <c r="PLA67" s="108"/>
      <c r="PLB67" s="243"/>
      <c r="PLC67" s="243"/>
      <c r="PLD67" s="243"/>
      <c r="PLE67" s="242"/>
      <c r="PLF67" s="242"/>
      <c r="PLG67" s="242"/>
      <c r="PLH67" s="242"/>
      <c r="PLI67" s="242"/>
      <c r="PLJ67" s="242"/>
      <c r="PLK67" s="242"/>
      <c r="PLL67" s="242"/>
      <c r="PLM67" s="242"/>
      <c r="PLN67" s="108"/>
      <c r="PLO67" s="243"/>
      <c r="PLP67" s="243"/>
      <c r="PLQ67" s="243"/>
      <c r="PLR67" s="242"/>
      <c r="PLS67" s="242"/>
      <c r="PLT67" s="242"/>
      <c r="PLU67" s="242"/>
      <c r="PLV67" s="242"/>
      <c r="PLW67" s="242"/>
      <c r="PLX67" s="242"/>
      <c r="PLY67" s="242"/>
      <c r="PLZ67" s="242"/>
      <c r="PMA67" s="108"/>
      <c r="PMB67" s="243"/>
      <c r="PMC67" s="243"/>
      <c r="PMD67" s="243"/>
      <c r="PME67" s="242"/>
      <c r="PMF67" s="242"/>
      <c r="PMG67" s="242"/>
      <c r="PMH67" s="242"/>
      <c r="PMI67" s="242"/>
      <c r="PMJ67" s="242"/>
      <c r="PMK67" s="242"/>
      <c r="PML67" s="242"/>
      <c r="PMM67" s="242"/>
      <c r="PMN67" s="108"/>
      <c r="PMO67" s="243"/>
      <c r="PMP67" s="243"/>
      <c r="PMQ67" s="243"/>
      <c r="PMR67" s="242"/>
      <c r="PMS67" s="242"/>
      <c r="PMT67" s="242"/>
      <c r="PMU67" s="242"/>
      <c r="PMV67" s="242"/>
      <c r="PMW67" s="242"/>
      <c r="PMX67" s="242"/>
      <c r="PMY67" s="242"/>
      <c r="PMZ67" s="242"/>
      <c r="PNA67" s="108"/>
      <c r="PNB67" s="243"/>
      <c r="PNC67" s="243"/>
      <c r="PND67" s="243"/>
      <c r="PNE67" s="242"/>
      <c r="PNF67" s="242"/>
      <c r="PNG67" s="242"/>
      <c r="PNH67" s="242"/>
      <c r="PNI67" s="242"/>
      <c r="PNJ67" s="242"/>
      <c r="PNK67" s="242"/>
      <c r="PNL67" s="242"/>
      <c r="PNM67" s="242"/>
      <c r="PNN67" s="108"/>
      <c r="PNO67" s="243"/>
      <c r="PNP67" s="243"/>
      <c r="PNQ67" s="243"/>
      <c r="PNR67" s="242"/>
      <c r="PNS67" s="242"/>
      <c r="PNT67" s="242"/>
      <c r="PNU67" s="242"/>
      <c r="PNV67" s="242"/>
      <c r="PNW67" s="242"/>
      <c r="PNX67" s="242"/>
      <c r="PNY67" s="242"/>
      <c r="PNZ67" s="242"/>
      <c r="POA67" s="108"/>
      <c r="POB67" s="243"/>
      <c r="POC67" s="243"/>
      <c r="POD67" s="243"/>
      <c r="POE67" s="242"/>
      <c r="POF67" s="242"/>
      <c r="POG67" s="242"/>
      <c r="POH67" s="242"/>
      <c r="POI67" s="242"/>
      <c r="POJ67" s="242"/>
      <c r="POK67" s="242"/>
      <c r="POL67" s="242"/>
      <c r="POM67" s="242"/>
      <c r="PON67" s="108"/>
      <c r="POO67" s="243"/>
      <c r="POP67" s="243"/>
      <c r="POQ67" s="243"/>
      <c r="POR67" s="242"/>
      <c r="POS67" s="242"/>
      <c r="POT67" s="242"/>
      <c r="POU67" s="242"/>
      <c r="POV67" s="242"/>
      <c r="POW67" s="242"/>
      <c r="POX67" s="242"/>
      <c r="POY67" s="242"/>
      <c r="POZ67" s="242"/>
      <c r="PPA67" s="108"/>
      <c r="PPB67" s="243"/>
      <c r="PPC67" s="243"/>
      <c r="PPD67" s="243"/>
      <c r="PPE67" s="242"/>
      <c r="PPF67" s="242"/>
      <c r="PPG67" s="242"/>
      <c r="PPH67" s="242"/>
      <c r="PPI67" s="242"/>
      <c r="PPJ67" s="242"/>
      <c r="PPK67" s="242"/>
      <c r="PPL67" s="242"/>
      <c r="PPM67" s="242"/>
      <c r="PPN67" s="108"/>
      <c r="PPO67" s="243"/>
      <c r="PPP67" s="243"/>
      <c r="PPQ67" s="243"/>
      <c r="PPR67" s="242"/>
      <c r="PPS67" s="242"/>
      <c r="PPT67" s="242"/>
      <c r="PPU67" s="242"/>
      <c r="PPV67" s="242"/>
      <c r="PPW67" s="242"/>
      <c r="PPX67" s="242"/>
      <c r="PPY67" s="242"/>
      <c r="PPZ67" s="242"/>
      <c r="PQA67" s="108"/>
      <c r="PQB67" s="243"/>
      <c r="PQC67" s="243"/>
      <c r="PQD67" s="243"/>
      <c r="PQE67" s="242"/>
      <c r="PQF67" s="242"/>
      <c r="PQG67" s="242"/>
      <c r="PQH67" s="242"/>
      <c r="PQI67" s="242"/>
      <c r="PQJ67" s="242"/>
      <c r="PQK67" s="242"/>
      <c r="PQL67" s="242"/>
      <c r="PQM67" s="242"/>
      <c r="PQN67" s="108"/>
      <c r="PQO67" s="243"/>
      <c r="PQP67" s="243"/>
      <c r="PQQ67" s="243"/>
      <c r="PQR67" s="242"/>
      <c r="PQS67" s="242"/>
      <c r="PQT67" s="242"/>
      <c r="PQU67" s="242"/>
      <c r="PQV67" s="242"/>
      <c r="PQW67" s="242"/>
      <c r="PQX67" s="242"/>
      <c r="PQY67" s="242"/>
      <c r="PQZ67" s="242"/>
      <c r="PRA67" s="108"/>
      <c r="PRB67" s="243"/>
      <c r="PRC67" s="243"/>
      <c r="PRD67" s="243"/>
      <c r="PRE67" s="242"/>
      <c r="PRF67" s="242"/>
      <c r="PRG67" s="242"/>
      <c r="PRH67" s="242"/>
      <c r="PRI67" s="242"/>
      <c r="PRJ67" s="242"/>
      <c r="PRK67" s="242"/>
      <c r="PRL67" s="242"/>
      <c r="PRM67" s="242"/>
      <c r="PRN67" s="108"/>
      <c r="PRO67" s="243"/>
      <c r="PRP67" s="243"/>
      <c r="PRQ67" s="243"/>
      <c r="PRR67" s="242"/>
      <c r="PRS67" s="242"/>
      <c r="PRT67" s="242"/>
      <c r="PRU67" s="242"/>
      <c r="PRV67" s="242"/>
      <c r="PRW67" s="242"/>
      <c r="PRX67" s="242"/>
      <c r="PRY67" s="242"/>
      <c r="PRZ67" s="242"/>
      <c r="PSA67" s="108"/>
      <c r="PSB67" s="243"/>
      <c r="PSC67" s="243"/>
      <c r="PSD67" s="243"/>
      <c r="PSE67" s="242"/>
      <c r="PSF67" s="242"/>
      <c r="PSG67" s="242"/>
      <c r="PSH67" s="242"/>
      <c r="PSI67" s="242"/>
      <c r="PSJ67" s="242"/>
      <c r="PSK67" s="242"/>
      <c r="PSL67" s="242"/>
      <c r="PSM67" s="242"/>
      <c r="PSN67" s="108"/>
      <c r="PSO67" s="243"/>
      <c r="PSP67" s="243"/>
      <c r="PSQ67" s="243"/>
      <c r="PSR67" s="242"/>
      <c r="PSS67" s="242"/>
      <c r="PST67" s="242"/>
      <c r="PSU67" s="242"/>
      <c r="PSV67" s="242"/>
      <c r="PSW67" s="242"/>
      <c r="PSX67" s="242"/>
      <c r="PSY67" s="242"/>
      <c r="PSZ67" s="242"/>
      <c r="PTA67" s="108"/>
      <c r="PTB67" s="243"/>
      <c r="PTC67" s="243"/>
      <c r="PTD67" s="243"/>
      <c r="PTE67" s="242"/>
      <c r="PTF67" s="242"/>
      <c r="PTG67" s="242"/>
      <c r="PTH67" s="242"/>
      <c r="PTI67" s="242"/>
      <c r="PTJ67" s="242"/>
      <c r="PTK67" s="242"/>
      <c r="PTL67" s="242"/>
      <c r="PTM67" s="242"/>
      <c r="PTN67" s="108"/>
      <c r="PTO67" s="243"/>
      <c r="PTP67" s="243"/>
      <c r="PTQ67" s="243"/>
      <c r="PTR67" s="242"/>
      <c r="PTS67" s="242"/>
      <c r="PTT67" s="242"/>
      <c r="PTU67" s="242"/>
      <c r="PTV67" s="242"/>
      <c r="PTW67" s="242"/>
      <c r="PTX67" s="242"/>
      <c r="PTY67" s="242"/>
      <c r="PTZ67" s="242"/>
      <c r="PUA67" s="108"/>
      <c r="PUB67" s="243"/>
      <c r="PUC67" s="243"/>
      <c r="PUD67" s="243"/>
      <c r="PUE67" s="242"/>
      <c r="PUF67" s="242"/>
      <c r="PUG67" s="242"/>
      <c r="PUH67" s="242"/>
      <c r="PUI67" s="242"/>
      <c r="PUJ67" s="242"/>
      <c r="PUK67" s="242"/>
      <c r="PUL67" s="242"/>
      <c r="PUM67" s="242"/>
      <c r="PUN67" s="108"/>
      <c r="PUO67" s="243"/>
      <c r="PUP67" s="243"/>
      <c r="PUQ67" s="243"/>
      <c r="PUR67" s="242"/>
      <c r="PUS67" s="242"/>
      <c r="PUT67" s="242"/>
      <c r="PUU67" s="242"/>
      <c r="PUV67" s="242"/>
      <c r="PUW67" s="242"/>
      <c r="PUX67" s="242"/>
      <c r="PUY67" s="242"/>
      <c r="PUZ67" s="242"/>
      <c r="PVA67" s="108"/>
      <c r="PVB67" s="243"/>
      <c r="PVC67" s="243"/>
      <c r="PVD67" s="243"/>
      <c r="PVE67" s="242"/>
      <c r="PVF67" s="242"/>
      <c r="PVG67" s="242"/>
      <c r="PVH67" s="242"/>
      <c r="PVI67" s="242"/>
      <c r="PVJ67" s="242"/>
      <c r="PVK67" s="242"/>
      <c r="PVL67" s="242"/>
      <c r="PVM67" s="242"/>
      <c r="PVN67" s="108"/>
      <c r="PVO67" s="243"/>
      <c r="PVP67" s="243"/>
      <c r="PVQ67" s="243"/>
      <c r="PVR67" s="242"/>
      <c r="PVS67" s="242"/>
      <c r="PVT67" s="242"/>
      <c r="PVU67" s="242"/>
      <c r="PVV67" s="242"/>
      <c r="PVW67" s="242"/>
      <c r="PVX67" s="242"/>
      <c r="PVY67" s="242"/>
      <c r="PVZ67" s="242"/>
      <c r="PWA67" s="108"/>
      <c r="PWB67" s="243"/>
      <c r="PWC67" s="243"/>
      <c r="PWD67" s="243"/>
      <c r="PWE67" s="242"/>
      <c r="PWF67" s="242"/>
      <c r="PWG67" s="242"/>
      <c r="PWH67" s="242"/>
      <c r="PWI67" s="242"/>
      <c r="PWJ67" s="242"/>
      <c r="PWK67" s="242"/>
      <c r="PWL67" s="242"/>
      <c r="PWM67" s="242"/>
      <c r="PWN67" s="108"/>
      <c r="PWO67" s="243"/>
      <c r="PWP67" s="243"/>
      <c r="PWQ67" s="243"/>
      <c r="PWR67" s="242"/>
      <c r="PWS67" s="242"/>
      <c r="PWT67" s="242"/>
      <c r="PWU67" s="242"/>
      <c r="PWV67" s="242"/>
      <c r="PWW67" s="242"/>
      <c r="PWX67" s="242"/>
      <c r="PWY67" s="242"/>
      <c r="PWZ67" s="242"/>
      <c r="PXA67" s="108"/>
      <c r="PXB67" s="243"/>
      <c r="PXC67" s="243"/>
      <c r="PXD67" s="243"/>
      <c r="PXE67" s="242"/>
      <c r="PXF67" s="242"/>
      <c r="PXG67" s="242"/>
      <c r="PXH67" s="242"/>
      <c r="PXI67" s="242"/>
      <c r="PXJ67" s="242"/>
      <c r="PXK67" s="242"/>
      <c r="PXL67" s="242"/>
      <c r="PXM67" s="242"/>
      <c r="PXN67" s="108"/>
      <c r="PXO67" s="243"/>
      <c r="PXP67" s="243"/>
      <c r="PXQ67" s="243"/>
      <c r="PXR67" s="242"/>
      <c r="PXS67" s="242"/>
      <c r="PXT67" s="242"/>
      <c r="PXU67" s="242"/>
      <c r="PXV67" s="242"/>
      <c r="PXW67" s="242"/>
      <c r="PXX67" s="242"/>
      <c r="PXY67" s="242"/>
      <c r="PXZ67" s="242"/>
      <c r="PYA67" s="108"/>
      <c r="PYB67" s="243"/>
      <c r="PYC67" s="243"/>
      <c r="PYD67" s="243"/>
      <c r="PYE67" s="242"/>
      <c r="PYF67" s="242"/>
      <c r="PYG67" s="242"/>
      <c r="PYH67" s="242"/>
      <c r="PYI67" s="242"/>
      <c r="PYJ67" s="242"/>
      <c r="PYK67" s="242"/>
      <c r="PYL67" s="242"/>
      <c r="PYM67" s="242"/>
      <c r="PYN67" s="108"/>
      <c r="PYO67" s="243"/>
      <c r="PYP67" s="243"/>
      <c r="PYQ67" s="243"/>
      <c r="PYR67" s="242"/>
      <c r="PYS67" s="242"/>
      <c r="PYT67" s="242"/>
      <c r="PYU67" s="242"/>
      <c r="PYV67" s="242"/>
      <c r="PYW67" s="242"/>
      <c r="PYX67" s="242"/>
      <c r="PYY67" s="242"/>
      <c r="PYZ67" s="242"/>
      <c r="PZA67" s="108"/>
      <c r="PZB67" s="243"/>
      <c r="PZC67" s="243"/>
      <c r="PZD67" s="243"/>
      <c r="PZE67" s="242"/>
      <c r="PZF67" s="242"/>
      <c r="PZG67" s="242"/>
      <c r="PZH67" s="242"/>
      <c r="PZI67" s="242"/>
      <c r="PZJ67" s="242"/>
      <c r="PZK67" s="242"/>
      <c r="PZL67" s="242"/>
      <c r="PZM67" s="242"/>
      <c r="PZN67" s="108"/>
      <c r="PZO67" s="243"/>
      <c r="PZP67" s="243"/>
      <c r="PZQ67" s="243"/>
      <c r="PZR67" s="242"/>
      <c r="PZS67" s="242"/>
      <c r="PZT67" s="242"/>
      <c r="PZU67" s="242"/>
      <c r="PZV67" s="242"/>
      <c r="PZW67" s="242"/>
      <c r="PZX67" s="242"/>
      <c r="PZY67" s="242"/>
      <c r="PZZ67" s="242"/>
      <c r="QAA67" s="108"/>
      <c r="QAB67" s="243"/>
      <c r="QAC67" s="243"/>
      <c r="QAD67" s="243"/>
      <c r="QAE67" s="242"/>
      <c r="QAF67" s="242"/>
      <c r="QAG67" s="242"/>
      <c r="QAH67" s="242"/>
      <c r="QAI67" s="242"/>
      <c r="QAJ67" s="242"/>
      <c r="QAK67" s="242"/>
      <c r="QAL67" s="242"/>
      <c r="QAM67" s="242"/>
      <c r="QAN67" s="108"/>
      <c r="QAO67" s="243"/>
      <c r="QAP67" s="243"/>
      <c r="QAQ67" s="243"/>
      <c r="QAR67" s="242"/>
      <c r="QAS67" s="242"/>
      <c r="QAT67" s="242"/>
      <c r="QAU67" s="242"/>
      <c r="QAV67" s="242"/>
      <c r="QAW67" s="242"/>
      <c r="QAX67" s="242"/>
      <c r="QAY67" s="242"/>
      <c r="QAZ67" s="242"/>
      <c r="QBA67" s="108"/>
      <c r="QBB67" s="243"/>
      <c r="QBC67" s="243"/>
      <c r="QBD67" s="243"/>
      <c r="QBE67" s="242"/>
      <c r="QBF67" s="242"/>
      <c r="QBG67" s="242"/>
      <c r="QBH67" s="242"/>
      <c r="QBI67" s="242"/>
      <c r="QBJ67" s="242"/>
      <c r="QBK67" s="242"/>
      <c r="QBL67" s="242"/>
      <c r="QBM67" s="242"/>
      <c r="QBN67" s="108"/>
      <c r="QBO67" s="243"/>
      <c r="QBP67" s="243"/>
      <c r="QBQ67" s="243"/>
      <c r="QBR67" s="242"/>
      <c r="QBS67" s="242"/>
      <c r="QBT67" s="242"/>
      <c r="QBU67" s="242"/>
      <c r="QBV67" s="242"/>
      <c r="QBW67" s="242"/>
      <c r="QBX67" s="242"/>
      <c r="QBY67" s="242"/>
      <c r="QBZ67" s="242"/>
      <c r="QCA67" s="108"/>
      <c r="QCB67" s="243"/>
      <c r="QCC67" s="243"/>
      <c r="QCD67" s="243"/>
      <c r="QCE67" s="242"/>
      <c r="QCF67" s="242"/>
      <c r="QCG67" s="242"/>
      <c r="QCH67" s="242"/>
      <c r="QCI67" s="242"/>
      <c r="QCJ67" s="242"/>
      <c r="QCK67" s="242"/>
      <c r="QCL67" s="242"/>
      <c r="QCM67" s="242"/>
      <c r="QCN67" s="108"/>
      <c r="QCO67" s="243"/>
      <c r="QCP67" s="243"/>
      <c r="QCQ67" s="243"/>
      <c r="QCR67" s="242"/>
      <c r="QCS67" s="242"/>
      <c r="QCT67" s="242"/>
      <c r="QCU67" s="242"/>
      <c r="QCV67" s="242"/>
      <c r="QCW67" s="242"/>
      <c r="QCX67" s="242"/>
      <c r="QCY67" s="242"/>
      <c r="QCZ67" s="242"/>
      <c r="QDA67" s="108"/>
      <c r="QDB67" s="243"/>
      <c r="QDC67" s="243"/>
      <c r="QDD67" s="243"/>
      <c r="QDE67" s="242"/>
      <c r="QDF67" s="242"/>
      <c r="QDG67" s="242"/>
      <c r="QDH67" s="242"/>
      <c r="QDI67" s="242"/>
      <c r="QDJ67" s="242"/>
      <c r="QDK67" s="242"/>
      <c r="QDL67" s="242"/>
      <c r="QDM67" s="242"/>
      <c r="QDN67" s="108"/>
      <c r="QDO67" s="243"/>
      <c r="QDP67" s="243"/>
      <c r="QDQ67" s="243"/>
      <c r="QDR67" s="242"/>
      <c r="QDS67" s="242"/>
      <c r="QDT67" s="242"/>
      <c r="QDU67" s="242"/>
      <c r="QDV67" s="242"/>
      <c r="QDW67" s="242"/>
      <c r="QDX67" s="242"/>
      <c r="QDY67" s="242"/>
      <c r="QDZ67" s="242"/>
      <c r="QEA67" s="108"/>
      <c r="QEB67" s="243"/>
      <c r="QEC67" s="243"/>
      <c r="QED67" s="243"/>
      <c r="QEE67" s="242"/>
      <c r="QEF67" s="242"/>
      <c r="QEG67" s="242"/>
      <c r="QEH67" s="242"/>
      <c r="QEI67" s="242"/>
      <c r="QEJ67" s="242"/>
      <c r="QEK67" s="242"/>
      <c r="QEL67" s="242"/>
      <c r="QEM67" s="242"/>
      <c r="QEN67" s="108"/>
      <c r="QEO67" s="243"/>
      <c r="QEP67" s="243"/>
      <c r="QEQ67" s="243"/>
      <c r="QER67" s="242"/>
      <c r="QES67" s="242"/>
      <c r="QET67" s="242"/>
      <c r="QEU67" s="242"/>
      <c r="QEV67" s="242"/>
      <c r="QEW67" s="242"/>
      <c r="QEX67" s="242"/>
      <c r="QEY67" s="242"/>
      <c r="QEZ67" s="242"/>
      <c r="QFA67" s="108"/>
      <c r="QFB67" s="243"/>
      <c r="QFC67" s="243"/>
      <c r="QFD67" s="243"/>
      <c r="QFE67" s="242"/>
      <c r="QFF67" s="242"/>
      <c r="QFG67" s="242"/>
      <c r="QFH67" s="242"/>
      <c r="QFI67" s="242"/>
      <c r="QFJ67" s="242"/>
      <c r="QFK67" s="242"/>
      <c r="QFL67" s="242"/>
      <c r="QFM67" s="242"/>
      <c r="QFN67" s="108"/>
      <c r="QFO67" s="243"/>
      <c r="QFP67" s="243"/>
      <c r="QFQ67" s="243"/>
      <c r="QFR67" s="242"/>
      <c r="QFS67" s="242"/>
      <c r="QFT67" s="242"/>
      <c r="QFU67" s="242"/>
      <c r="QFV67" s="242"/>
      <c r="QFW67" s="242"/>
      <c r="QFX67" s="242"/>
      <c r="QFY67" s="242"/>
      <c r="QFZ67" s="242"/>
      <c r="QGA67" s="108"/>
      <c r="QGB67" s="243"/>
      <c r="QGC67" s="243"/>
      <c r="QGD67" s="243"/>
      <c r="QGE67" s="242"/>
      <c r="QGF67" s="242"/>
      <c r="QGG67" s="242"/>
      <c r="QGH67" s="242"/>
      <c r="QGI67" s="242"/>
      <c r="QGJ67" s="242"/>
      <c r="QGK67" s="242"/>
      <c r="QGL67" s="242"/>
      <c r="QGM67" s="242"/>
      <c r="QGN67" s="108"/>
      <c r="QGO67" s="243"/>
      <c r="QGP67" s="243"/>
      <c r="QGQ67" s="243"/>
      <c r="QGR67" s="242"/>
      <c r="QGS67" s="242"/>
      <c r="QGT67" s="242"/>
      <c r="QGU67" s="242"/>
      <c r="QGV67" s="242"/>
      <c r="QGW67" s="242"/>
      <c r="QGX67" s="242"/>
      <c r="QGY67" s="242"/>
      <c r="QGZ67" s="242"/>
      <c r="QHA67" s="108"/>
      <c r="QHB67" s="243"/>
      <c r="QHC67" s="243"/>
      <c r="QHD67" s="243"/>
      <c r="QHE67" s="242"/>
      <c r="QHF67" s="242"/>
      <c r="QHG67" s="242"/>
      <c r="QHH67" s="242"/>
      <c r="QHI67" s="242"/>
      <c r="QHJ67" s="242"/>
      <c r="QHK67" s="242"/>
      <c r="QHL67" s="242"/>
      <c r="QHM67" s="242"/>
      <c r="QHN67" s="108"/>
      <c r="QHO67" s="243"/>
      <c r="QHP67" s="243"/>
      <c r="QHQ67" s="243"/>
      <c r="QHR67" s="242"/>
      <c r="QHS67" s="242"/>
      <c r="QHT67" s="242"/>
      <c r="QHU67" s="242"/>
      <c r="QHV67" s="242"/>
      <c r="QHW67" s="242"/>
      <c r="QHX67" s="242"/>
      <c r="QHY67" s="242"/>
      <c r="QHZ67" s="242"/>
      <c r="QIA67" s="108"/>
      <c r="QIB67" s="243"/>
      <c r="QIC67" s="243"/>
      <c r="QID67" s="243"/>
      <c r="QIE67" s="242"/>
      <c r="QIF67" s="242"/>
      <c r="QIG67" s="242"/>
      <c r="QIH67" s="242"/>
      <c r="QII67" s="242"/>
      <c r="QIJ67" s="242"/>
      <c r="QIK67" s="242"/>
      <c r="QIL67" s="242"/>
      <c r="QIM67" s="242"/>
      <c r="QIN67" s="108"/>
      <c r="QIO67" s="243"/>
      <c r="QIP67" s="243"/>
      <c r="QIQ67" s="243"/>
      <c r="QIR67" s="242"/>
      <c r="QIS67" s="242"/>
      <c r="QIT67" s="242"/>
      <c r="QIU67" s="242"/>
      <c r="QIV67" s="242"/>
      <c r="QIW67" s="242"/>
      <c r="QIX67" s="242"/>
      <c r="QIY67" s="242"/>
      <c r="QIZ67" s="242"/>
      <c r="QJA67" s="108"/>
      <c r="QJB67" s="243"/>
      <c r="QJC67" s="243"/>
      <c r="QJD67" s="243"/>
      <c r="QJE67" s="242"/>
      <c r="QJF67" s="242"/>
      <c r="QJG67" s="242"/>
      <c r="QJH67" s="242"/>
      <c r="QJI67" s="242"/>
      <c r="QJJ67" s="242"/>
      <c r="QJK67" s="242"/>
      <c r="QJL67" s="242"/>
      <c r="QJM67" s="242"/>
      <c r="QJN67" s="108"/>
      <c r="QJO67" s="243"/>
      <c r="QJP67" s="243"/>
      <c r="QJQ67" s="243"/>
      <c r="QJR67" s="242"/>
      <c r="QJS67" s="242"/>
      <c r="QJT67" s="242"/>
      <c r="QJU67" s="242"/>
      <c r="QJV67" s="242"/>
      <c r="QJW67" s="242"/>
      <c r="QJX67" s="242"/>
      <c r="QJY67" s="242"/>
      <c r="QJZ67" s="242"/>
      <c r="QKA67" s="108"/>
      <c r="QKB67" s="243"/>
      <c r="QKC67" s="243"/>
      <c r="QKD67" s="243"/>
      <c r="QKE67" s="242"/>
      <c r="QKF67" s="242"/>
      <c r="QKG67" s="242"/>
      <c r="QKH67" s="242"/>
      <c r="QKI67" s="242"/>
      <c r="QKJ67" s="242"/>
      <c r="QKK67" s="242"/>
      <c r="QKL67" s="242"/>
      <c r="QKM67" s="242"/>
      <c r="QKN67" s="108"/>
      <c r="QKO67" s="243"/>
      <c r="QKP67" s="243"/>
      <c r="QKQ67" s="243"/>
      <c r="QKR67" s="242"/>
      <c r="QKS67" s="242"/>
      <c r="QKT67" s="242"/>
      <c r="QKU67" s="242"/>
      <c r="QKV67" s="242"/>
      <c r="QKW67" s="242"/>
      <c r="QKX67" s="242"/>
      <c r="QKY67" s="242"/>
      <c r="QKZ67" s="242"/>
      <c r="QLA67" s="108"/>
      <c r="QLB67" s="243"/>
      <c r="QLC67" s="243"/>
      <c r="QLD67" s="243"/>
      <c r="QLE67" s="242"/>
      <c r="QLF67" s="242"/>
      <c r="QLG67" s="242"/>
      <c r="QLH67" s="242"/>
      <c r="QLI67" s="242"/>
      <c r="QLJ67" s="242"/>
      <c r="QLK67" s="242"/>
      <c r="QLL67" s="242"/>
      <c r="QLM67" s="242"/>
      <c r="QLN67" s="108"/>
      <c r="QLO67" s="243"/>
      <c r="QLP67" s="243"/>
      <c r="QLQ67" s="243"/>
      <c r="QLR67" s="242"/>
      <c r="QLS67" s="242"/>
      <c r="QLT67" s="242"/>
      <c r="QLU67" s="242"/>
      <c r="QLV67" s="242"/>
      <c r="QLW67" s="242"/>
      <c r="QLX67" s="242"/>
      <c r="QLY67" s="242"/>
      <c r="QLZ67" s="242"/>
      <c r="QMA67" s="108"/>
      <c r="QMB67" s="243"/>
      <c r="QMC67" s="243"/>
      <c r="QMD67" s="243"/>
      <c r="QME67" s="242"/>
      <c r="QMF67" s="242"/>
      <c r="QMG67" s="242"/>
      <c r="QMH67" s="242"/>
      <c r="QMI67" s="242"/>
      <c r="QMJ67" s="242"/>
      <c r="QMK67" s="242"/>
      <c r="QML67" s="242"/>
      <c r="QMM67" s="242"/>
      <c r="QMN67" s="108"/>
      <c r="QMO67" s="243"/>
      <c r="QMP67" s="243"/>
      <c r="QMQ67" s="243"/>
      <c r="QMR67" s="242"/>
      <c r="QMS67" s="242"/>
      <c r="QMT67" s="242"/>
      <c r="QMU67" s="242"/>
      <c r="QMV67" s="242"/>
      <c r="QMW67" s="242"/>
      <c r="QMX67" s="242"/>
      <c r="QMY67" s="242"/>
      <c r="QMZ67" s="242"/>
      <c r="QNA67" s="108"/>
      <c r="QNB67" s="243"/>
      <c r="QNC67" s="243"/>
      <c r="QND67" s="243"/>
      <c r="QNE67" s="242"/>
      <c r="QNF67" s="242"/>
      <c r="QNG67" s="242"/>
      <c r="QNH67" s="242"/>
      <c r="QNI67" s="242"/>
      <c r="QNJ67" s="242"/>
      <c r="QNK67" s="242"/>
      <c r="QNL67" s="242"/>
      <c r="QNM67" s="242"/>
      <c r="QNN67" s="108"/>
      <c r="QNO67" s="243"/>
      <c r="QNP67" s="243"/>
      <c r="QNQ67" s="243"/>
      <c r="QNR67" s="242"/>
      <c r="QNS67" s="242"/>
      <c r="QNT67" s="242"/>
      <c r="QNU67" s="242"/>
      <c r="QNV67" s="242"/>
      <c r="QNW67" s="242"/>
      <c r="QNX67" s="242"/>
      <c r="QNY67" s="242"/>
      <c r="QNZ67" s="242"/>
      <c r="QOA67" s="108"/>
      <c r="QOB67" s="243"/>
      <c r="QOC67" s="243"/>
      <c r="QOD67" s="243"/>
      <c r="QOE67" s="242"/>
      <c r="QOF67" s="242"/>
      <c r="QOG67" s="242"/>
      <c r="QOH67" s="242"/>
      <c r="QOI67" s="242"/>
      <c r="QOJ67" s="242"/>
      <c r="QOK67" s="242"/>
      <c r="QOL67" s="242"/>
      <c r="QOM67" s="242"/>
      <c r="QON67" s="108"/>
      <c r="QOO67" s="243"/>
      <c r="QOP67" s="243"/>
      <c r="QOQ67" s="243"/>
      <c r="QOR67" s="242"/>
      <c r="QOS67" s="242"/>
      <c r="QOT67" s="242"/>
      <c r="QOU67" s="242"/>
      <c r="QOV67" s="242"/>
      <c r="QOW67" s="242"/>
      <c r="QOX67" s="242"/>
      <c r="QOY67" s="242"/>
      <c r="QOZ67" s="242"/>
      <c r="QPA67" s="108"/>
      <c r="QPB67" s="243"/>
      <c r="QPC67" s="243"/>
      <c r="QPD67" s="243"/>
      <c r="QPE67" s="242"/>
      <c r="QPF67" s="242"/>
      <c r="QPG67" s="242"/>
      <c r="QPH67" s="242"/>
      <c r="QPI67" s="242"/>
      <c r="QPJ67" s="242"/>
      <c r="QPK67" s="242"/>
      <c r="QPL67" s="242"/>
      <c r="QPM67" s="242"/>
      <c r="QPN67" s="108"/>
      <c r="QPO67" s="243"/>
      <c r="QPP67" s="243"/>
      <c r="QPQ67" s="243"/>
      <c r="QPR67" s="242"/>
      <c r="QPS67" s="242"/>
      <c r="QPT67" s="242"/>
      <c r="QPU67" s="242"/>
      <c r="QPV67" s="242"/>
      <c r="QPW67" s="242"/>
      <c r="QPX67" s="242"/>
      <c r="QPY67" s="242"/>
      <c r="QPZ67" s="242"/>
      <c r="QQA67" s="108"/>
      <c r="QQB67" s="243"/>
      <c r="QQC67" s="243"/>
      <c r="QQD67" s="243"/>
      <c r="QQE67" s="242"/>
      <c r="QQF67" s="242"/>
      <c r="QQG67" s="242"/>
      <c r="QQH67" s="242"/>
      <c r="QQI67" s="242"/>
      <c r="QQJ67" s="242"/>
      <c r="QQK67" s="242"/>
      <c r="QQL67" s="242"/>
      <c r="QQM67" s="242"/>
      <c r="QQN67" s="108"/>
      <c r="QQO67" s="243"/>
      <c r="QQP67" s="243"/>
      <c r="QQQ67" s="243"/>
      <c r="QQR67" s="242"/>
      <c r="QQS67" s="242"/>
      <c r="QQT67" s="242"/>
      <c r="QQU67" s="242"/>
      <c r="QQV67" s="242"/>
      <c r="QQW67" s="242"/>
      <c r="QQX67" s="242"/>
      <c r="QQY67" s="242"/>
      <c r="QQZ67" s="242"/>
      <c r="QRA67" s="108"/>
      <c r="QRB67" s="243"/>
      <c r="QRC67" s="243"/>
      <c r="QRD67" s="243"/>
      <c r="QRE67" s="242"/>
      <c r="QRF67" s="242"/>
      <c r="QRG67" s="242"/>
      <c r="QRH67" s="242"/>
      <c r="QRI67" s="242"/>
      <c r="QRJ67" s="242"/>
      <c r="QRK67" s="242"/>
      <c r="QRL67" s="242"/>
      <c r="QRM67" s="242"/>
      <c r="QRN67" s="108"/>
      <c r="QRO67" s="243"/>
      <c r="QRP67" s="243"/>
      <c r="QRQ67" s="243"/>
      <c r="QRR67" s="242"/>
      <c r="QRS67" s="242"/>
      <c r="QRT67" s="242"/>
      <c r="QRU67" s="242"/>
      <c r="QRV67" s="242"/>
      <c r="QRW67" s="242"/>
      <c r="QRX67" s="242"/>
      <c r="QRY67" s="242"/>
      <c r="QRZ67" s="242"/>
      <c r="QSA67" s="108"/>
      <c r="QSB67" s="243"/>
      <c r="QSC67" s="243"/>
      <c r="QSD67" s="243"/>
      <c r="QSE67" s="242"/>
      <c r="QSF67" s="242"/>
      <c r="QSG67" s="242"/>
      <c r="QSH67" s="242"/>
      <c r="QSI67" s="242"/>
      <c r="QSJ67" s="242"/>
      <c r="QSK67" s="242"/>
      <c r="QSL67" s="242"/>
      <c r="QSM67" s="242"/>
      <c r="QSN67" s="108"/>
      <c r="QSO67" s="243"/>
      <c r="QSP67" s="243"/>
      <c r="QSQ67" s="243"/>
      <c r="QSR67" s="242"/>
      <c r="QSS67" s="242"/>
      <c r="QST67" s="242"/>
      <c r="QSU67" s="242"/>
      <c r="QSV67" s="242"/>
      <c r="QSW67" s="242"/>
      <c r="QSX67" s="242"/>
      <c r="QSY67" s="242"/>
      <c r="QSZ67" s="242"/>
      <c r="QTA67" s="108"/>
      <c r="QTB67" s="243"/>
      <c r="QTC67" s="243"/>
      <c r="QTD67" s="243"/>
      <c r="QTE67" s="242"/>
      <c r="QTF67" s="242"/>
      <c r="QTG67" s="242"/>
      <c r="QTH67" s="242"/>
      <c r="QTI67" s="242"/>
      <c r="QTJ67" s="242"/>
      <c r="QTK67" s="242"/>
      <c r="QTL67" s="242"/>
      <c r="QTM67" s="242"/>
      <c r="QTN67" s="108"/>
      <c r="QTO67" s="243"/>
      <c r="QTP67" s="243"/>
      <c r="QTQ67" s="243"/>
      <c r="QTR67" s="242"/>
      <c r="QTS67" s="242"/>
      <c r="QTT67" s="242"/>
      <c r="QTU67" s="242"/>
      <c r="QTV67" s="242"/>
      <c r="QTW67" s="242"/>
      <c r="QTX67" s="242"/>
      <c r="QTY67" s="242"/>
      <c r="QTZ67" s="242"/>
      <c r="QUA67" s="108"/>
      <c r="QUB67" s="243"/>
      <c r="QUC67" s="243"/>
      <c r="QUD67" s="243"/>
      <c r="QUE67" s="242"/>
      <c r="QUF67" s="242"/>
      <c r="QUG67" s="242"/>
      <c r="QUH67" s="242"/>
      <c r="QUI67" s="242"/>
      <c r="QUJ67" s="242"/>
      <c r="QUK67" s="242"/>
      <c r="QUL67" s="242"/>
      <c r="QUM67" s="242"/>
      <c r="QUN67" s="108"/>
      <c r="QUO67" s="243"/>
      <c r="QUP67" s="243"/>
      <c r="QUQ67" s="243"/>
      <c r="QUR67" s="242"/>
      <c r="QUS67" s="242"/>
      <c r="QUT67" s="242"/>
      <c r="QUU67" s="242"/>
      <c r="QUV67" s="242"/>
      <c r="QUW67" s="242"/>
      <c r="QUX67" s="242"/>
      <c r="QUY67" s="242"/>
      <c r="QUZ67" s="242"/>
      <c r="QVA67" s="108"/>
      <c r="QVB67" s="243"/>
      <c r="QVC67" s="243"/>
      <c r="QVD67" s="243"/>
      <c r="QVE67" s="242"/>
      <c r="QVF67" s="242"/>
      <c r="QVG67" s="242"/>
      <c r="QVH67" s="242"/>
      <c r="QVI67" s="242"/>
      <c r="QVJ67" s="242"/>
      <c r="QVK67" s="242"/>
      <c r="QVL67" s="242"/>
      <c r="QVM67" s="242"/>
      <c r="QVN67" s="108"/>
      <c r="QVO67" s="243"/>
      <c r="QVP67" s="243"/>
      <c r="QVQ67" s="243"/>
      <c r="QVR67" s="242"/>
      <c r="QVS67" s="242"/>
      <c r="QVT67" s="242"/>
      <c r="QVU67" s="242"/>
      <c r="QVV67" s="242"/>
      <c r="QVW67" s="242"/>
      <c r="QVX67" s="242"/>
      <c r="QVY67" s="242"/>
      <c r="QVZ67" s="242"/>
      <c r="QWA67" s="108"/>
      <c r="QWB67" s="243"/>
      <c r="QWC67" s="243"/>
      <c r="QWD67" s="243"/>
      <c r="QWE67" s="242"/>
      <c r="QWF67" s="242"/>
      <c r="QWG67" s="242"/>
      <c r="QWH67" s="242"/>
      <c r="QWI67" s="242"/>
      <c r="QWJ67" s="242"/>
      <c r="QWK67" s="242"/>
      <c r="QWL67" s="242"/>
      <c r="QWM67" s="242"/>
      <c r="QWN67" s="108"/>
      <c r="QWO67" s="243"/>
      <c r="QWP67" s="243"/>
      <c r="QWQ67" s="243"/>
      <c r="QWR67" s="242"/>
      <c r="QWS67" s="242"/>
      <c r="QWT67" s="242"/>
      <c r="QWU67" s="242"/>
      <c r="QWV67" s="242"/>
      <c r="QWW67" s="242"/>
      <c r="QWX67" s="242"/>
      <c r="QWY67" s="242"/>
      <c r="QWZ67" s="242"/>
      <c r="QXA67" s="108"/>
      <c r="QXB67" s="243"/>
      <c r="QXC67" s="243"/>
      <c r="QXD67" s="243"/>
      <c r="QXE67" s="242"/>
      <c r="QXF67" s="242"/>
      <c r="QXG67" s="242"/>
      <c r="QXH67" s="242"/>
      <c r="QXI67" s="242"/>
      <c r="QXJ67" s="242"/>
      <c r="QXK67" s="242"/>
      <c r="QXL67" s="242"/>
      <c r="QXM67" s="242"/>
      <c r="QXN67" s="108"/>
      <c r="QXO67" s="243"/>
      <c r="QXP67" s="243"/>
      <c r="QXQ67" s="243"/>
      <c r="QXR67" s="242"/>
      <c r="QXS67" s="242"/>
      <c r="QXT67" s="242"/>
      <c r="QXU67" s="242"/>
      <c r="QXV67" s="242"/>
      <c r="QXW67" s="242"/>
      <c r="QXX67" s="242"/>
      <c r="QXY67" s="242"/>
      <c r="QXZ67" s="242"/>
      <c r="QYA67" s="108"/>
      <c r="QYB67" s="243"/>
      <c r="QYC67" s="243"/>
      <c r="QYD67" s="243"/>
      <c r="QYE67" s="242"/>
      <c r="QYF67" s="242"/>
      <c r="QYG67" s="242"/>
      <c r="QYH67" s="242"/>
      <c r="QYI67" s="242"/>
      <c r="QYJ67" s="242"/>
      <c r="QYK67" s="242"/>
      <c r="QYL67" s="242"/>
      <c r="QYM67" s="242"/>
      <c r="QYN67" s="108"/>
      <c r="QYO67" s="243"/>
      <c r="QYP67" s="243"/>
      <c r="QYQ67" s="243"/>
      <c r="QYR67" s="242"/>
      <c r="QYS67" s="242"/>
      <c r="QYT67" s="242"/>
      <c r="QYU67" s="242"/>
      <c r="QYV67" s="242"/>
      <c r="QYW67" s="242"/>
      <c r="QYX67" s="242"/>
      <c r="QYY67" s="242"/>
      <c r="QYZ67" s="242"/>
      <c r="QZA67" s="108"/>
      <c r="QZB67" s="243"/>
      <c r="QZC67" s="243"/>
      <c r="QZD67" s="243"/>
      <c r="QZE67" s="242"/>
      <c r="QZF67" s="242"/>
      <c r="QZG67" s="242"/>
      <c r="QZH67" s="242"/>
      <c r="QZI67" s="242"/>
      <c r="QZJ67" s="242"/>
      <c r="QZK67" s="242"/>
      <c r="QZL67" s="242"/>
      <c r="QZM67" s="242"/>
      <c r="QZN67" s="108"/>
      <c r="QZO67" s="243"/>
      <c r="QZP67" s="243"/>
      <c r="QZQ67" s="243"/>
      <c r="QZR67" s="242"/>
      <c r="QZS67" s="242"/>
      <c r="QZT67" s="242"/>
      <c r="QZU67" s="242"/>
      <c r="QZV67" s="242"/>
      <c r="QZW67" s="242"/>
      <c r="QZX67" s="242"/>
      <c r="QZY67" s="242"/>
      <c r="QZZ67" s="242"/>
      <c r="RAA67" s="108"/>
      <c r="RAB67" s="243"/>
      <c r="RAC67" s="243"/>
      <c r="RAD67" s="243"/>
      <c r="RAE67" s="242"/>
      <c r="RAF67" s="242"/>
      <c r="RAG67" s="242"/>
      <c r="RAH67" s="242"/>
      <c r="RAI67" s="242"/>
      <c r="RAJ67" s="242"/>
      <c r="RAK67" s="242"/>
      <c r="RAL67" s="242"/>
      <c r="RAM67" s="242"/>
      <c r="RAN67" s="108"/>
      <c r="RAO67" s="243"/>
      <c r="RAP67" s="243"/>
      <c r="RAQ67" s="243"/>
      <c r="RAR67" s="242"/>
      <c r="RAS67" s="242"/>
      <c r="RAT67" s="242"/>
      <c r="RAU67" s="242"/>
      <c r="RAV67" s="242"/>
      <c r="RAW67" s="242"/>
      <c r="RAX67" s="242"/>
      <c r="RAY67" s="242"/>
      <c r="RAZ67" s="242"/>
      <c r="RBA67" s="108"/>
      <c r="RBB67" s="243"/>
      <c r="RBC67" s="243"/>
      <c r="RBD67" s="243"/>
      <c r="RBE67" s="242"/>
      <c r="RBF67" s="242"/>
      <c r="RBG67" s="242"/>
      <c r="RBH67" s="242"/>
      <c r="RBI67" s="242"/>
      <c r="RBJ67" s="242"/>
      <c r="RBK67" s="242"/>
      <c r="RBL67" s="242"/>
      <c r="RBM67" s="242"/>
      <c r="RBN67" s="108"/>
      <c r="RBO67" s="243"/>
      <c r="RBP67" s="243"/>
      <c r="RBQ67" s="243"/>
      <c r="RBR67" s="242"/>
      <c r="RBS67" s="242"/>
      <c r="RBT67" s="242"/>
      <c r="RBU67" s="242"/>
      <c r="RBV67" s="242"/>
      <c r="RBW67" s="242"/>
      <c r="RBX67" s="242"/>
      <c r="RBY67" s="242"/>
      <c r="RBZ67" s="242"/>
      <c r="RCA67" s="108"/>
      <c r="RCB67" s="243"/>
      <c r="RCC67" s="243"/>
      <c r="RCD67" s="243"/>
      <c r="RCE67" s="242"/>
      <c r="RCF67" s="242"/>
      <c r="RCG67" s="242"/>
      <c r="RCH67" s="242"/>
      <c r="RCI67" s="242"/>
      <c r="RCJ67" s="242"/>
      <c r="RCK67" s="242"/>
      <c r="RCL67" s="242"/>
      <c r="RCM67" s="242"/>
      <c r="RCN67" s="108"/>
      <c r="RCO67" s="243"/>
      <c r="RCP67" s="243"/>
      <c r="RCQ67" s="243"/>
      <c r="RCR67" s="242"/>
      <c r="RCS67" s="242"/>
      <c r="RCT67" s="242"/>
      <c r="RCU67" s="242"/>
      <c r="RCV67" s="242"/>
      <c r="RCW67" s="242"/>
      <c r="RCX67" s="242"/>
      <c r="RCY67" s="242"/>
      <c r="RCZ67" s="242"/>
      <c r="RDA67" s="108"/>
      <c r="RDB67" s="243"/>
      <c r="RDC67" s="243"/>
      <c r="RDD67" s="243"/>
      <c r="RDE67" s="242"/>
      <c r="RDF67" s="242"/>
      <c r="RDG67" s="242"/>
      <c r="RDH67" s="242"/>
      <c r="RDI67" s="242"/>
      <c r="RDJ67" s="242"/>
      <c r="RDK67" s="242"/>
      <c r="RDL67" s="242"/>
      <c r="RDM67" s="242"/>
      <c r="RDN67" s="108"/>
      <c r="RDO67" s="243"/>
      <c r="RDP67" s="243"/>
      <c r="RDQ67" s="243"/>
      <c r="RDR67" s="242"/>
      <c r="RDS67" s="242"/>
      <c r="RDT67" s="242"/>
      <c r="RDU67" s="242"/>
      <c r="RDV67" s="242"/>
      <c r="RDW67" s="242"/>
      <c r="RDX67" s="242"/>
      <c r="RDY67" s="242"/>
      <c r="RDZ67" s="242"/>
      <c r="REA67" s="108"/>
      <c r="REB67" s="243"/>
      <c r="REC67" s="243"/>
      <c r="RED67" s="243"/>
      <c r="REE67" s="242"/>
      <c r="REF67" s="242"/>
      <c r="REG67" s="242"/>
      <c r="REH67" s="242"/>
      <c r="REI67" s="242"/>
      <c r="REJ67" s="242"/>
      <c r="REK67" s="242"/>
      <c r="REL67" s="242"/>
      <c r="REM67" s="242"/>
      <c r="REN67" s="108"/>
      <c r="REO67" s="243"/>
      <c r="REP67" s="243"/>
      <c r="REQ67" s="243"/>
      <c r="RER67" s="242"/>
      <c r="RES67" s="242"/>
      <c r="RET67" s="242"/>
      <c r="REU67" s="242"/>
      <c r="REV67" s="242"/>
      <c r="REW67" s="242"/>
      <c r="REX67" s="242"/>
      <c r="REY67" s="242"/>
      <c r="REZ67" s="242"/>
      <c r="RFA67" s="108"/>
      <c r="RFB67" s="243"/>
      <c r="RFC67" s="243"/>
      <c r="RFD67" s="243"/>
      <c r="RFE67" s="242"/>
      <c r="RFF67" s="242"/>
      <c r="RFG67" s="242"/>
      <c r="RFH67" s="242"/>
      <c r="RFI67" s="242"/>
      <c r="RFJ67" s="242"/>
      <c r="RFK67" s="242"/>
      <c r="RFL67" s="242"/>
      <c r="RFM67" s="242"/>
      <c r="RFN67" s="108"/>
      <c r="RFO67" s="243"/>
      <c r="RFP67" s="243"/>
      <c r="RFQ67" s="243"/>
      <c r="RFR67" s="242"/>
      <c r="RFS67" s="242"/>
      <c r="RFT67" s="242"/>
      <c r="RFU67" s="242"/>
      <c r="RFV67" s="242"/>
      <c r="RFW67" s="242"/>
      <c r="RFX67" s="242"/>
      <c r="RFY67" s="242"/>
      <c r="RFZ67" s="242"/>
      <c r="RGA67" s="108"/>
      <c r="RGB67" s="243"/>
      <c r="RGC67" s="243"/>
      <c r="RGD67" s="243"/>
      <c r="RGE67" s="242"/>
      <c r="RGF67" s="242"/>
      <c r="RGG67" s="242"/>
      <c r="RGH67" s="242"/>
      <c r="RGI67" s="242"/>
      <c r="RGJ67" s="242"/>
      <c r="RGK67" s="242"/>
      <c r="RGL67" s="242"/>
      <c r="RGM67" s="242"/>
      <c r="RGN67" s="108"/>
      <c r="RGO67" s="243"/>
      <c r="RGP67" s="243"/>
      <c r="RGQ67" s="243"/>
      <c r="RGR67" s="242"/>
      <c r="RGS67" s="242"/>
      <c r="RGT67" s="242"/>
      <c r="RGU67" s="242"/>
      <c r="RGV67" s="242"/>
      <c r="RGW67" s="242"/>
      <c r="RGX67" s="242"/>
      <c r="RGY67" s="242"/>
      <c r="RGZ67" s="242"/>
      <c r="RHA67" s="108"/>
      <c r="RHB67" s="243"/>
      <c r="RHC67" s="243"/>
      <c r="RHD67" s="243"/>
      <c r="RHE67" s="242"/>
      <c r="RHF67" s="242"/>
      <c r="RHG67" s="242"/>
      <c r="RHH67" s="242"/>
      <c r="RHI67" s="242"/>
      <c r="RHJ67" s="242"/>
      <c r="RHK67" s="242"/>
      <c r="RHL67" s="242"/>
      <c r="RHM67" s="242"/>
      <c r="RHN67" s="108"/>
      <c r="RHO67" s="243"/>
      <c r="RHP67" s="243"/>
      <c r="RHQ67" s="243"/>
      <c r="RHR67" s="242"/>
      <c r="RHS67" s="242"/>
      <c r="RHT67" s="242"/>
      <c r="RHU67" s="242"/>
      <c r="RHV67" s="242"/>
      <c r="RHW67" s="242"/>
      <c r="RHX67" s="242"/>
      <c r="RHY67" s="242"/>
      <c r="RHZ67" s="242"/>
      <c r="RIA67" s="108"/>
      <c r="RIB67" s="243"/>
      <c r="RIC67" s="243"/>
      <c r="RID67" s="243"/>
      <c r="RIE67" s="242"/>
      <c r="RIF67" s="242"/>
      <c r="RIG67" s="242"/>
      <c r="RIH67" s="242"/>
      <c r="RII67" s="242"/>
      <c r="RIJ67" s="242"/>
      <c r="RIK67" s="242"/>
      <c r="RIL67" s="242"/>
      <c r="RIM67" s="242"/>
      <c r="RIN67" s="108"/>
      <c r="RIO67" s="243"/>
      <c r="RIP67" s="243"/>
      <c r="RIQ67" s="243"/>
      <c r="RIR67" s="242"/>
      <c r="RIS67" s="242"/>
      <c r="RIT67" s="242"/>
      <c r="RIU67" s="242"/>
      <c r="RIV67" s="242"/>
      <c r="RIW67" s="242"/>
      <c r="RIX67" s="242"/>
      <c r="RIY67" s="242"/>
      <c r="RIZ67" s="242"/>
      <c r="RJA67" s="108"/>
      <c r="RJB67" s="243"/>
      <c r="RJC67" s="243"/>
      <c r="RJD67" s="243"/>
      <c r="RJE67" s="242"/>
      <c r="RJF67" s="242"/>
      <c r="RJG67" s="242"/>
      <c r="RJH67" s="242"/>
      <c r="RJI67" s="242"/>
      <c r="RJJ67" s="242"/>
      <c r="RJK67" s="242"/>
      <c r="RJL67" s="242"/>
      <c r="RJM67" s="242"/>
      <c r="RJN67" s="108"/>
      <c r="RJO67" s="243"/>
      <c r="RJP67" s="243"/>
      <c r="RJQ67" s="243"/>
      <c r="RJR67" s="242"/>
      <c r="RJS67" s="242"/>
      <c r="RJT67" s="242"/>
      <c r="RJU67" s="242"/>
      <c r="RJV67" s="242"/>
      <c r="RJW67" s="242"/>
      <c r="RJX67" s="242"/>
      <c r="RJY67" s="242"/>
      <c r="RJZ67" s="242"/>
      <c r="RKA67" s="108"/>
      <c r="RKB67" s="243"/>
      <c r="RKC67" s="243"/>
      <c r="RKD67" s="243"/>
      <c r="RKE67" s="242"/>
      <c r="RKF67" s="242"/>
      <c r="RKG67" s="242"/>
      <c r="RKH67" s="242"/>
      <c r="RKI67" s="242"/>
      <c r="RKJ67" s="242"/>
      <c r="RKK67" s="242"/>
      <c r="RKL67" s="242"/>
      <c r="RKM67" s="242"/>
      <c r="RKN67" s="108"/>
      <c r="RKO67" s="243"/>
      <c r="RKP67" s="243"/>
      <c r="RKQ67" s="243"/>
      <c r="RKR67" s="242"/>
      <c r="RKS67" s="242"/>
      <c r="RKT67" s="242"/>
      <c r="RKU67" s="242"/>
      <c r="RKV67" s="242"/>
      <c r="RKW67" s="242"/>
      <c r="RKX67" s="242"/>
      <c r="RKY67" s="242"/>
      <c r="RKZ67" s="242"/>
      <c r="RLA67" s="108"/>
      <c r="RLB67" s="243"/>
      <c r="RLC67" s="243"/>
      <c r="RLD67" s="243"/>
      <c r="RLE67" s="242"/>
      <c r="RLF67" s="242"/>
      <c r="RLG67" s="242"/>
      <c r="RLH67" s="242"/>
      <c r="RLI67" s="242"/>
      <c r="RLJ67" s="242"/>
      <c r="RLK67" s="242"/>
      <c r="RLL67" s="242"/>
      <c r="RLM67" s="242"/>
      <c r="RLN67" s="108"/>
      <c r="RLO67" s="243"/>
      <c r="RLP67" s="243"/>
      <c r="RLQ67" s="243"/>
      <c r="RLR67" s="242"/>
      <c r="RLS67" s="242"/>
      <c r="RLT67" s="242"/>
      <c r="RLU67" s="242"/>
      <c r="RLV67" s="242"/>
      <c r="RLW67" s="242"/>
      <c r="RLX67" s="242"/>
      <c r="RLY67" s="242"/>
      <c r="RLZ67" s="242"/>
      <c r="RMA67" s="108"/>
      <c r="RMB67" s="243"/>
      <c r="RMC67" s="243"/>
      <c r="RMD67" s="243"/>
      <c r="RME67" s="242"/>
      <c r="RMF67" s="242"/>
      <c r="RMG67" s="242"/>
      <c r="RMH67" s="242"/>
      <c r="RMI67" s="242"/>
      <c r="RMJ67" s="242"/>
      <c r="RMK67" s="242"/>
      <c r="RML67" s="242"/>
      <c r="RMM67" s="242"/>
      <c r="RMN67" s="108"/>
      <c r="RMO67" s="243"/>
      <c r="RMP67" s="243"/>
      <c r="RMQ67" s="243"/>
      <c r="RMR67" s="242"/>
      <c r="RMS67" s="242"/>
      <c r="RMT67" s="242"/>
      <c r="RMU67" s="242"/>
      <c r="RMV67" s="242"/>
      <c r="RMW67" s="242"/>
      <c r="RMX67" s="242"/>
      <c r="RMY67" s="242"/>
      <c r="RMZ67" s="242"/>
      <c r="RNA67" s="108"/>
      <c r="RNB67" s="243"/>
      <c r="RNC67" s="243"/>
      <c r="RND67" s="243"/>
      <c r="RNE67" s="242"/>
      <c r="RNF67" s="242"/>
      <c r="RNG67" s="242"/>
      <c r="RNH67" s="242"/>
      <c r="RNI67" s="242"/>
      <c r="RNJ67" s="242"/>
      <c r="RNK67" s="242"/>
      <c r="RNL67" s="242"/>
      <c r="RNM67" s="242"/>
      <c r="RNN67" s="108"/>
      <c r="RNO67" s="243"/>
      <c r="RNP67" s="243"/>
      <c r="RNQ67" s="243"/>
      <c r="RNR67" s="242"/>
      <c r="RNS67" s="242"/>
      <c r="RNT67" s="242"/>
      <c r="RNU67" s="242"/>
      <c r="RNV67" s="242"/>
      <c r="RNW67" s="242"/>
      <c r="RNX67" s="242"/>
      <c r="RNY67" s="242"/>
      <c r="RNZ67" s="242"/>
      <c r="ROA67" s="108"/>
      <c r="ROB67" s="243"/>
      <c r="ROC67" s="243"/>
      <c r="ROD67" s="243"/>
      <c r="ROE67" s="242"/>
      <c r="ROF67" s="242"/>
      <c r="ROG67" s="242"/>
      <c r="ROH67" s="242"/>
      <c r="ROI67" s="242"/>
      <c r="ROJ67" s="242"/>
      <c r="ROK67" s="242"/>
      <c r="ROL67" s="242"/>
      <c r="ROM67" s="242"/>
      <c r="RON67" s="108"/>
      <c r="ROO67" s="243"/>
      <c r="ROP67" s="243"/>
      <c r="ROQ67" s="243"/>
      <c r="ROR67" s="242"/>
      <c r="ROS67" s="242"/>
      <c r="ROT67" s="242"/>
      <c r="ROU67" s="242"/>
      <c r="ROV67" s="242"/>
      <c r="ROW67" s="242"/>
      <c r="ROX67" s="242"/>
      <c r="ROY67" s="242"/>
      <c r="ROZ67" s="242"/>
      <c r="RPA67" s="108"/>
      <c r="RPB67" s="243"/>
      <c r="RPC67" s="243"/>
      <c r="RPD67" s="243"/>
      <c r="RPE67" s="242"/>
      <c r="RPF67" s="242"/>
      <c r="RPG67" s="242"/>
      <c r="RPH67" s="242"/>
      <c r="RPI67" s="242"/>
      <c r="RPJ67" s="242"/>
      <c r="RPK67" s="242"/>
      <c r="RPL67" s="242"/>
      <c r="RPM67" s="242"/>
      <c r="RPN67" s="108"/>
      <c r="RPO67" s="243"/>
      <c r="RPP67" s="243"/>
      <c r="RPQ67" s="243"/>
      <c r="RPR67" s="242"/>
      <c r="RPS67" s="242"/>
      <c r="RPT67" s="242"/>
      <c r="RPU67" s="242"/>
      <c r="RPV67" s="242"/>
      <c r="RPW67" s="242"/>
      <c r="RPX67" s="242"/>
      <c r="RPY67" s="242"/>
      <c r="RPZ67" s="242"/>
      <c r="RQA67" s="108"/>
      <c r="RQB67" s="243"/>
      <c r="RQC67" s="243"/>
      <c r="RQD67" s="243"/>
      <c r="RQE67" s="242"/>
      <c r="RQF67" s="242"/>
      <c r="RQG67" s="242"/>
      <c r="RQH67" s="242"/>
      <c r="RQI67" s="242"/>
      <c r="RQJ67" s="242"/>
      <c r="RQK67" s="242"/>
      <c r="RQL67" s="242"/>
      <c r="RQM67" s="242"/>
      <c r="RQN67" s="108"/>
      <c r="RQO67" s="243"/>
      <c r="RQP67" s="243"/>
      <c r="RQQ67" s="243"/>
      <c r="RQR67" s="242"/>
      <c r="RQS67" s="242"/>
      <c r="RQT67" s="242"/>
      <c r="RQU67" s="242"/>
      <c r="RQV67" s="242"/>
      <c r="RQW67" s="242"/>
      <c r="RQX67" s="242"/>
      <c r="RQY67" s="242"/>
      <c r="RQZ67" s="242"/>
      <c r="RRA67" s="108"/>
      <c r="RRB67" s="243"/>
      <c r="RRC67" s="243"/>
      <c r="RRD67" s="243"/>
      <c r="RRE67" s="242"/>
      <c r="RRF67" s="242"/>
      <c r="RRG67" s="242"/>
      <c r="RRH67" s="242"/>
      <c r="RRI67" s="242"/>
      <c r="RRJ67" s="242"/>
      <c r="RRK67" s="242"/>
      <c r="RRL67" s="242"/>
      <c r="RRM67" s="242"/>
      <c r="RRN67" s="108"/>
      <c r="RRO67" s="243"/>
      <c r="RRP67" s="243"/>
      <c r="RRQ67" s="243"/>
      <c r="RRR67" s="242"/>
      <c r="RRS67" s="242"/>
      <c r="RRT67" s="242"/>
      <c r="RRU67" s="242"/>
      <c r="RRV67" s="242"/>
      <c r="RRW67" s="242"/>
      <c r="RRX67" s="242"/>
      <c r="RRY67" s="242"/>
      <c r="RRZ67" s="242"/>
      <c r="RSA67" s="108"/>
      <c r="RSB67" s="243"/>
      <c r="RSC67" s="243"/>
      <c r="RSD67" s="243"/>
      <c r="RSE67" s="242"/>
      <c r="RSF67" s="242"/>
      <c r="RSG67" s="242"/>
      <c r="RSH67" s="242"/>
      <c r="RSI67" s="242"/>
      <c r="RSJ67" s="242"/>
      <c r="RSK67" s="242"/>
      <c r="RSL67" s="242"/>
      <c r="RSM67" s="242"/>
      <c r="RSN67" s="108"/>
      <c r="RSO67" s="243"/>
      <c r="RSP67" s="243"/>
      <c r="RSQ67" s="243"/>
      <c r="RSR67" s="242"/>
      <c r="RSS67" s="242"/>
      <c r="RST67" s="242"/>
      <c r="RSU67" s="242"/>
      <c r="RSV67" s="242"/>
      <c r="RSW67" s="242"/>
      <c r="RSX67" s="242"/>
      <c r="RSY67" s="242"/>
      <c r="RSZ67" s="242"/>
      <c r="RTA67" s="108"/>
      <c r="RTB67" s="243"/>
      <c r="RTC67" s="243"/>
      <c r="RTD67" s="243"/>
      <c r="RTE67" s="242"/>
      <c r="RTF67" s="242"/>
      <c r="RTG67" s="242"/>
      <c r="RTH67" s="242"/>
      <c r="RTI67" s="242"/>
      <c r="RTJ67" s="242"/>
      <c r="RTK67" s="242"/>
      <c r="RTL67" s="242"/>
      <c r="RTM67" s="242"/>
      <c r="RTN67" s="108"/>
      <c r="RTO67" s="243"/>
      <c r="RTP67" s="243"/>
      <c r="RTQ67" s="243"/>
      <c r="RTR67" s="242"/>
      <c r="RTS67" s="242"/>
      <c r="RTT67" s="242"/>
      <c r="RTU67" s="242"/>
      <c r="RTV67" s="242"/>
      <c r="RTW67" s="242"/>
      <c r="RTX67" s="242"/>
      <c r="RTY67" s="242"/>
      <c r="RTZ67" s="242"/>
      <c r="RUA67" s="108"/>
      <c r="RUB67" s="243"/>
      <c r="RUC67" s="243"/>
      <c r="RUD67" s="243"/>
      <c r="RUE67" s="242"/>
      <c r="RUF67" s="242"/>
      <c r="RUG67" s="242"/>
      <c r="RUH67" s="242"/>
      <c r="RUI67" s="242"/>
      <c r="RUJ67" s="242"/>
      <c r="RUK67" s="242"/>
      <c r="RUL67" s="242"/>
      <c r="RUM67" s="242"/>
      <c r="RUN67" s="108"/>
      <c r="RUO67" s="243"/>
      <c r="RUP67" s="243"/>
      <c r="RUQ67" s="243"/>
      <c r="RUR67" s="242"/>
      <c r="RUS67" s="242"/>
      <c r="RUT67" s="242"/>
      <c r="RUU67" s="242"/>
      <c r="RUV67" s="242"/>
      <c r="RUW67" s="242"/>
      <c r="RUX67" s="242"/>
      <c r="RUY67" s="242"/>
      <c r="RUZ67" s="242"/>
      <c r="RVA67" s="108"/>
      <c r="RVB67" s="243"/>
      <c r="RVC67" s="243"/>
      <c r="RVD67" s="243"/>
      <c r="RVE67" s="242"/>
      <c r="RVF67" s="242"/>
      <c r="RVG67" s="242"/>
      <c r="RVH67" s="242"/>
      <c r="RVI67" s="242"/>
      <c r="RVJ67" s="242"/>
      <c r="RVK67" s="242"/>
      <c r="RVL67" s="242"/>
      <c r="RVM67" s="242"/>
      <c r="RVN67" s="108"/>
      <c r="RVO67" s="243"/>
      <c r="RVP67" s="243"/>
      <c r="RVQ67" s="243"/>
      <c r="RVR67" s="242"/>
      <c r="RVS67" s="242"/>
      <c r="RVT67" s="242"/>
      <c r="RVU67" s="242"/>
      <c r="RVV67" s="242"/>
      <c r="RVW67" s="242"/>
      <c r="RVX67" s="242"/>
      <c r="RVY67" s="242"/>
      <c r="RVZ67" s="242"/>
      <c r="RWA67" s="108"/>
      <c r="RWB67" s="243"/>
      <c r="RWC67" s="243"/>
      <c r="RWD67" s="243"/>
      <c r="RWE67" s="242"/>
      <c r="RWF67" s="242"/>
      <c r="RWG67" s="242"/>
      <c r="RWH67" s="242"/>
      <c r="RWI67" s="242"/>
      <c r="RWJ67" s="242"/>
      <c r="RWK67" s="242"/>
      <c r="RWL67" s="242"/>
      <c r="RWM67" s="242"/>
      <c r="RWN67" s="108"/>
      <c r="RWO67" s="243"/>
      <c r="RWP67" s="243"/>
      <c r="RWQ67" s="243"/>
      <c r="RWR67" s="242"/>
      <c r="RWS67" s="242"/>
      <c r="RWT67" s="242"/>
      <c r="RWU67" s="242"/>
      <c r="RWV67" s="242"/>
      <c r="RWW67" s="242"/>
      <c r="RWX67" s="242"/>
      <c r="RWY67" s="242"/>
      <c r="RWZ67" s="242"/>
      <c r="RXA67" s="108"/>
      <c r="RXB67" s="243"/>
      <c r="RXC67" s="243"/>
      <c r="RXD67" s="243"/>
      <c r="RXE67" s="242"/>
      <c r="RXF67" s="242"/>
      <c r="RXG67" s="242"/>
      <c r="RXH67" s="242"/>
      <c r="RXI67" s="242"/>
      <c r="RXJ67" s="242"/>
      <c r="RXK67" s="242"/>
      <c r="RXL67" s="242"/>
      <c r="RXM67" s="242"/>
      <c r="RXN67" s="108"/>
      <c r="RXO67" s="243"/>
      <c r="RXP67" s="243"/>
      <c r="RXQ67" s="243"/>
      <c r="RXR67" s="242"/>
      <c r="RXS67" s="242"/>
      <c r="RXT67" s="242"/>
      <c r="RXU67" s="242"/>
      <c r="RXV67" s="242"/>
      <c r="RXW67" s="242"/>
      <c r="RXX67" s="242"/>
      <c r="RXY67" s="242"/>
      <c r="RXZ67" s="242"/>
      <c r="RYA67" s="108"/>
      <c r="RYB67" s="243"/>
      <c r="RYC67" s="243"/>
      <c r="RYD67" s="243"/>
      <c r="RYE67" s="242"/>
      <c r="RYF67" s="242"/>
      <c r="RYG67" s="242"/>
      <c r="RYH67" s="242"/>
      <c r="RYI67" s="242"/>
      <c r="RYJ67" s="242"/>
      <c r="RYK67" s="242"/>
      <c r="RYL67" s="242"/>
      <c r="RYM67" s="242"/>
      <c r="RYN67" s="108"/>
      <c r="RYO67" s="243"/>
      <c r="RYP67" s="243"/>
      <c r="RYQ67" s="243"/>
      <c r="RYR67" s="242"/>
      <c r="RYS67" s="242"/>
      <c r="RYT67" s="242"/>
      <c r="RYU67" s="242"/>
      <c r="RYV67" s="242"/>
      <c r="RYW67" s="242"/>
      <c r="RYX67" s="242"/>
      <c r="RYY67" s="242"/>
      <c r="RYZ67" s="242"/>
      <c r="RZA67" s="108"/>
      <c r="RZB67" s="243"/>
      <c r="RZC67" s="243"/>
      <c r="RZD67" s="243"/>
      <c r="RZE67" s="242"/>
      <c r="RZF67" s="242"/>
      <c r="RZG67" s="242"/>
      <c r="RZH67" s="242"/>
      <c r="RZI67" s="242"/>
      <c r="RZJ67" s="242"/>
      <c r="RZK67" s="242"/>
      <c r="RZL67" s="242"/>
      <c r="RZM67" s="242"/>
      <c r="RZN67" s="108"/>
      <c r="RZO67" s="243"/>
      <c r="RZP67" s="243"/>
      <c r="RZQ67" s="243"/>
      <c r="RZR67" s="242"/>
      <c r="RZS67" s="242"/>
      <c r="RZT67" s="242"/>
      <c r="RZU67" s="242"/>
      <c r="RZV67" s="242"/>
      <c r="RZW67" s="242"/>
      <c r="RZX67" s="242"/>
      <c r="RZY67" s="242"/>
      <c r="RZZ67" s="242"/>
      <c r="SAA67" s="108"/>
      <c r="SAB67" s="243"/>
      <c r="SAC67" s="243"/>
      <c r="SAD67" s="243"/>
      <c r="SAE67" s="242"/>
      <c r="SAF67" s="242"/>
      <c r="SAG67" s="242"/>
      <c r="SAH67" s="242"/>
      <c r="SAI67" s="242"/>
      <c r="SAJ67" s="242"/>
      <c r="SAK67" s="242"/>
      <c r="SAL67" s="242"/>
      <c r="SAM67" s="242"/>
      <c r="SAN67" s="108"/>
      <c r="SAO67" s="243"/>
      <c r="SAP67" s="243"/>
      <c r="SAQ67" s="243"/>
      <c r="SAR67" s="242"/>
      <c r="SAS67" s="242"/>
      <c r="SAT67" s="242"/>
      <c r="SAU67" s="242"/>
      <c r="SAV67" s="242"/>
      <c r="SAW67" s="242"/>
      <c r="SAX67" s="242"/>
      <c r="SAY67" s="242"/>
      <c r="SAZ67" s="242"/>
      <c r="SBA67" s="108"/>
      <c r="SBB67" s="243"/>
      <c r="SBC67" s="243"/>
      <c r="SBD67" s="243"/>
      <c r="SBE67" s="242"/>
      <c r="SBF67" s="242"/>
      <c r="SBG67" s="242"/>
      <c r="SBH67" s="242"/>
      <c r="SBI67" s="242"/>
      <c r="SBJ67" s="242"/>
      <c r="SBK67" s="242"/>
      <c r="SBL67" s="242"/>
      <c r="SBM67" s="242"/>
      <c r="SBN67" s="108"/>
      <c r="SBO67" s="243"/>
      <c r="SBP67" s="243"/>
      <c r="SBQ67" s="243"/>
      <c r="SBR67" s="242"/>
      <c r="SBS67" s="242"/>
      <c r="SBT67" s="242"/>
      <c r="SBU67" s="242"/>
      <c r="SBV67" s="242"/>
      <c r="SBW67" s="242"/>
      <c r="SBX67" s="242"/>
      <c r="SBY67" s="242"/>
      <c r="SBZ67" s="242"/>
      <c r="SCA67" s="108"/>
      <c r="SCB67" s="243"/>
      <c r="SCC67" s="243"/>
      <c r="SCD67" s="243"/>
      <c r="SCE67" s="242"/>
      <c r="SCF67" s="242"/>
      <c r="SCG67" s="242"/>
      <c r="SCH67" s="242"/>
      <c r="SCI67" s="242"/>
      <c r="SCJ67" s="242"/>
      <c r="SCK67" s="242"/>
      <c r="SCL67" s="242"/>
      <c r="SCM67" s="242"/>
      <c r="SCN67" s="108"/>
      <c r="SCO67" s="243"/>
      <c r="SCP67" s="243"/>
      <c r="SCQ67" s="243"/>
      <c r="SCR67" s="242"/>
      <c r="SCS67" s="242"/>
      <c r="SCT67" s="242"/>
      <c r="SCU67" s="242"/>
      <c r="SCV67" s="242"/>
      <c r="SCW67" s="242"/>
      <c r="SCX67" s="242"/>
      <c r="SCY67" s="242"/>
      <c r="SCZ67" s="242"/>
      <c r="SDA67" s="108"/>
      <c r="SDB67" s="243"/>
      <c r="SDC67" s="243"/>
      <c r="SDD67" s="243"/>
      <c r="SDE67" s="242"/>
      <c r="SDF67" s="242"/>
      <c r="SDG67" s="242"/>
      <c r="SDH67" s="242"/>
      <c r="SDI67" s="242"/>
      <c r="SDJ67" s="242"/>
      <c r="SDK67" s="242"/>
      <c r="SDL67" s="242"/>
      <c r="SDM67" s="242"/>
      <c r="SDN67" s="108"/>
      <c r="SDO67" s="243"/>
      <c r="SDP67" s="243"/>
      <c r="SDQ67" s="243"/>
      <c r="SDR67" s="242"/>
      <c r="SDS67" s="242"/>
      <c r="SDT67" s="242"/>
      <c r="SDU67" s="242"/>
      <c r="SDV67" s="242"/>
      <c r="SDW67" s="242"/>
      <c r="SDX67" s="242"/>
      <c r="SDY67" s="242"/>
      <c r="SDZ67" s="242"/>
      <c r="SEA67" s="108"/>
      <c r="SEB67" s="243"/>
      <c r="SEC67" s="243"/>
      <c r="SED67" s="243"/>
      <c r="SEE67" s="242"/>
      <c r="SEF67" s="242"/>
      <c r="SEG67" s="242"/>
      <c r="SEH67" s="242"/>
      <c r="SEI67" s="242"/>
      <c r="SEJ67" s="242"/>
      <c r="SEK67" s="242"/>
      <c r="SEL67" s="242"/>
      <c r="SEM67" s="242"/>
      <c r="SEN67" s="108"/>
      <c r="SEO67" s="243"/>
      <c r="SEP67" s="243"/>
      <c r="SEQ67" s="243"/>
      <c r="SER67" s="242"/>
      <c r="SES67" s="242"/>
      <c r="SET67" s="242"/>
      <c r="SEU67" s="242"/>
      <c r="SEV67" s="242"/>
      <c r="SEW67" s="242"/>
      <c r="SEX67" s="242"/>
      <c r="SEY67" s="242"/>
      <c r="SEZ67" s="242"/>
      <c r="SFA67" s="108"/>
      <c r="SFB67" s="243"/>
      <c r="SFC67" s="243"/>
      <c r="SFD67" s="243"/>
      <c r="SFE67" s="242"/>
      <c r="SFF67" s="242"/>
      <c r="SFG67" s="242"/>
      <c r="SFH67" s="242"/>
      <c r="SFI67" s="242"/>
      <c r="SFJ67" s="242"/>
      <c r="SFK67" s="242"/>
      <c r="SFL67" s="242"/>
      <c r="SFM67" s="242"/>
      <c r="SFN67" s="108"/>
      <c r="SFO67" s="243"/>
      <c r="SFP67" s="243"/>
      <c r="SFQ67" s="243"/>
      <c r="SFR67" s="242"/>
      <c r="SFS67" s="242"/>
      <c r="SFT67" s="242"/>
      <c r="SFU67" s="242"/>
      <c r="SFV67" s="242"/>
      <c r="SFW67" s="242"/>
      <c r="SFX67" s="242"/>
      <c r="SFY67" s="242"/>
      <c r="SFZ67" s="242"/>
      <c r="SGA67" s="108"/>
      <c r="SGB67" s="243"/>
      <c r="SGC67" s="243"/>
      <c r="SGD67" s="243"/>
      <c r="SGE67" s="242"/>
      <c r="SGF67" s="242"/>
      <c r="SGG67" s="242"/>
      <c r="SGH67" s="242"/>
      <c r="SGI67" s="242"/>
      <c r="SGJ67" s="242"/>
      <c r="SGK67" s="242"/>
      <c r="SGL67" s="242"/>
      <c r="SGM67" s="242"/>
      <c r="SGN67" s="108"/>
      <c r="SGO67" s="243"/>
      <c r="SGP67" s="243"/>
      <c r="SGQ67" s="243"/>
      <c r="SGR67" s="242"/>
      <c r="SGS67" s="242"/>
      <c r="SGT67" s="242"/>
      <c r="SGU67" s="242"/>
      <c r="SGV67" s="242"/>
      <c r="SGW67" s="242"/>
      <c r="SGX67" s="242"/>
      <c r="SGY67" s="242"/>
      <c r="SGZ67" s="242"/>
      <c r="SHA67" s="108"/>
      <c r="SHB67" s="243"/>
      <c r="SHC67" s="243"/>
      <c r="SHD67" s="243"/>
      <c r="SHE67" s="242"/>
      <c r="SHF67" s="242"/>
      <c r="SHG67" s="242"/>
      <c r="SHH67" s="242"/>
      <c r="SHI67" s="242"/>
      <c r="SHJ67" s="242"/>
      <c r="SHK67" s="242"/>
      <c r="SHL67" s="242"/>
      <c r="SHM67" s="242"/>
      <c r="SHN67" s="108"/>
      <c r="SHO67" s="243"/>
      <c r="SHP67" s="243"/>
      <c r="SHQ67" s="243"/>
      <c r="SHR67" s="242"/>
      <c r="SHS67" s="242"/>
      <c r="SHT67" s="242"/>
      <c r="SHU67" s="242"/>
      <c r="SHV67" s="242"/>
      <c r="SHW67" s="242"/>
      <c r="SHX67" s="242"/>
      <c r="SHY67" s="242"/>
      <c r="SHZ67" s="242"/>
      <c r="SIA67" s="108"/>
      <c r="SIB67" s="243"/>
      <c r="SIC67" s="243"/>
      <c r="SID67" s="243"/>
      <c r="SIE67" s="242"/>
      <c r="SIF67" s="242"/>
      <c r="SIG67" s="242"/>
      <c r="SIH67" s="242"/>
      <c r="SII67" s="242"/>
      <c r="SIJ67" s="242"/>
      <c r="SIK67" s="242"/>
      <c r="SIL67" s="242"/>
      <c r="SIM67" s="242"/>
      <c r="SIN67" s="108"/>
      <c r="SIO67" s="243"/>
      <c r="SIP67" s="243"/>
      <c r="SIQ67" s="243"/>
      <c r="SIR67" s="242"/>
      <c r="SIS67" s="242"/>
      <c r="SIT67" s="242"/>
      <c r="SIU67" s="242"/>
      <c r="SIV67" s="242"/>
      <c r="SIW67" s="242"/>
      <c r="SIX67" s="242"/>
      <c r="SIY67" s="242"/>
      <c r="SIZ67" s="242"/>
      <c r="SJA67" s="108"/>
      <c r="SJB67" s="243"/>
      <c r="SJC67" s="243"/>
      <c r="SJD67" s="243"/>
      <c r="SJE67" s="242"/>
      <c r="SJF67" s="242"/>
      <c r="SJG67" s="242"/>
      <c r="SJH67" s="242"/>
      <c r="SJI67" s="242"/>
      <c r="SJJ67" s="242"/>
      <c r="SJK67" s="242"/>
      <c r="SJL67" s="242"/>
      <c r="SJM67" s="242"/>
      <c r="SJN67" s="108"/>
      <c r="SJO67" s="243"/>
      <c r="SJP67" s="243"/>
      <c r="SJQ67" s="243"/>
      <c r="SJR67" s="242"/>
      <c r="SJS67" s="242"/>
      <c r="SJT67" s="242"/>
      <c r="SJU67" s="242"/>
      <c r="SJV67" s="242"/>
      <c r="SJW67" s="242"/>
      <c r="SJX67" s="242"/>
      <c r="SJY67" s="242"/>
      <c r="SJZ67" s="242"/>
      <c r="SKA67" s="108"/>
      <c r="SKB67" s="243"/>
      <c r="SKC67" s="243"/>
      <c r="SKD67" s="243"/>
      <c r="SKE67" s="242"/>
      <c r="SKF67" s="242"/>
      <c r="SKG67" s="242"/>
      <c r="SKH67" s="242"/>
      <c r="SKI67" s="242"/>
      <c r="SKJ67" s="242"/>
      <c r="SKK67" s="242"/>
      <c r="SKL67" s="242"/>
      <c r="SKM67" s="242"/>
      <c r="SKN67" s="108"/>
      <c r="SKO67" s="243"/>
      <c r="SKP67" s="243"/>
      <c r="SKQ67" s="243"/>
      <c r="SKR67" s="242"/>
      <c r="SKS67" s="242"/>
      <c r="SKT67" s="242"/>
      <c r="SKU67" s="242"/>
      <c r="SKV67" s="242"/>
      <c r="SKW67" s="242"/>
      <c r="SKX67" s="242"/>
      <c r="SKY67" s="242"/>
      <c r="SKZ67" s="242"/>
      <c r="SLA67" s="108"/>
      <c r="SLB67" s="243"/>
      <c r="SLC67" s="243"/>
      <c r="SLD67" s="243"/>
      <c r="SLE67" s="242"/>
      <c r="SLF67" s="242"/>
      <c r="SLG67" s="242"/>
      <c r="SLH67" s="242"/>
      <c r="SLI67" s="242"/>
      <c r="SLJ67" s="242"/>
      <c r="SLK67" s="242"/>
      <c r="SLL67" s="242"/>
      <c r="SLM67" s="242"/>
      <c r="SLN67" s="108"/>
      <c r="SLO67" s="243"/>
      <c r="SLP67" s="243"/>
      <c r="SLQ67" s="243"/>
      <c r="SLR67" s="242"/>
      <c r="SLS67" s="242"/>
      <c r="SLT67" s="242"/>
      <c r="SLU67" s="242"/>
      <c r="SLV67" s="242"/>
      <c r="SLW67" s="242"/>
      <c r="SLX67" s="242"/>
      <c r="SLY67" s="242"/>
      <c r="SLZ67" s="242"/>
      <c r="SMA67" s="108"/>
      <c r="SMB67" s="243"/>
      <c r="SMC67" s="243"/>
      <c r="SMD67" s="243"/>
      <c r="SME67" s="242"/>
      <c r="SMF67" s="242"/>
      <c r="SMG67" s="242"/>
      <c r="SMH67" s="242"/>
      <c r="SMI67" s="242"/>
      <c r="SMJ67" s="242"/>
      <c r="SMK67" s="242"/>
      <c r="SML67" s="242"/>
      <c r="SMM67" s="242"/>
      <c r="SMN67" s="108"/>
      <c r="SMO67" s="243"/>
      <c r="SMP67" s="243"/>
      <c r="SMQ67" s="243"/>
      <c r="SMR67" s="242"/>
      <c r="SMS67" s="242"/>
      <c r="SMT67" s="242"/>
      <c r="SMU67" s="242"/>
      <c r="SMV67" s="242"/>
      <c r="SMW67" s="242"/>
      <c r="SMX67" s="242"/>
      <c r="SMY67" s="242"/>
      <c r="SMZ67" s="242"/>
      <c r="SNA67" s="108"/>
      <c r="SNB67" s="243"/>
      <c r="SNC67" s="243"/>
      <c r="SND67" s="243"/>
      <c r="SNE67" s="242"/>
      <c r="SNF67" s="242"/>
      <c r="SNG67" s="242"/>
      <c r="SNH67" s="242"/>
      <c r="SNI67" s="242"/>
      <c r="SNJ67" s="242"/>
      <c r="SNK67" s="242"/>
      <c r="SNL67" s="242"/>
      <c r="SNM67" s="242"/>
      <c r="SNN67" s="108"/>
      <c r="SNO67" s="243"/>
      <c r="SNP67" s="243"/>
      <c r="SNQ67" s="243"/>
      <c r="SNR67" s="242"/>
      <c r="SNS67" s="242"/>
      <c r="SNT67" s="242"/>
      <c r="SNU67" s="242"/>
      <c r="SNV67" s="242"/>
      <c r="SNW67" s="242"/>
      <c r="SNX67" s="242"/>
      <c r="SNY67" s="242"/>
      <c r="SNZ67" s="242"/>
      <c r="SOA67" s="108"/>
      <c r="SOB67" s="243"/>
      <c r="SOC67" s="243"/>
      <c r="SOD67" s="243"/>
      <c r="SOE67" s="242"/>
      <c r="SOF67" s="242"/>
      <c r="SOG67" s="242"/>
      <c r="SOH67" s="242"/>
      <c r="SOI67" s="242"/>
      <c r="SOJ67" s="242"/>
      <c r="SOK67" s="242"/>
      <c r="SOL67" s="242"/>
      <c r="SOM67" s="242"/>
      <c r="SON67" s="108"/>
      <c r="SOO67" s="243"/>
      <c r="SOP67" s="243"/>
      <c r="SOQ67" s="243"/>
      <c r="SOR67" s="242"/>
      <c r="SOS67" s="242"/>
      <c r="SOT67" s="242"/>
      <c r="SOU67" s="242"/>
      <c r="SOV67" s="242"/>
      <c r="SOW67" s="242"/>
      <c r="SOX67" s="242"/>
      <c r="SOY67" s="242"/>
      <c r="SOZ67" s="242"/>
      <c r="SPA67" s="108"/>
      <c r="SPB67" s="243"/>
      <c r="SPC67" s="243"/>
      <c r="SPD67" s="243"/>
      <c r="SPE67" s="242"/>
      <c r="SPF67" s="242"/>
      <c r="SPG67" s="242"/>
      <c r="SPH67" s="242"/>
      <c r="SPI67" s="242"/>
      <c r="SPJ67" s="242"/>
      <c r="SPK67" s="242"/>
      <c r="SPL67" s="242"/>
      <c r="SPM67" s="242"/>
      <c r="SPN67" s="108"/>
      <c r="SPO67" s="243"/>
      <c r="SPP67" s="243"/>
      <c r="SPQ67" s="243"/>
      <c r="SPR67" s="242"/>
      <c r="SPS67" s="242"/>
      <c r="SPT67" s="242"/>
      <c r="SPU67" s="242"/>
      <c r="SPV67" s="242"/>
      <c r="SPW67" s="242"/>
      <c r="SPX67" s="242"/>
      <c r="SPY67" s="242"/>
      <c r="SPZ67" s="242"/>
      <c r="SQA67" s="108"/>
      <c r="SQB67" s="243"/>
      <c r="SQC67" s="243"/>
      <c r="SQD67" s="243"/>
      <c r="SQE67" s="242"/>
      <c r="SQF67" s="242"/>
      <c r="SQG67" s="242"/>
      <c r="SQH67" s="242"/>
      <c r="SQI67" s="242"/>
      <c r="SQJ67" s="242"/>
      <c r="SQK67" s="242"/>
      <c r="SQL67" s="242"/>
      <c r="SQM67" s="242"/>
      <c r="SQN67" s="108"/>
      <c r="SQO67" s="243"/>
      <c r="SQP67" s="243"/>
      <c r="SQQ67" s="243"/>
      <c r="SQR67" s="242"/>
      <c r="SQS67" s="242"/>
      <c r="SQT67" s="242"/>
      <c r="SQU67" s="242"/>
      <c r="SQV67" s="242"/>
      <c r="SQW67" s="242"/>
      <c r="SQX67" s="242"/>
      <c r="SQY67" s="242"/>
      <c r="SQZ67" s="242"/>
      <c r="SRA67" s="108"/>
      <c r="SRB67" s="243"/>
      <c r="SRC67" s="243"/>
      <c r="SRD67" s="243"/>
      <c r="SRE67" s="242"/>
      <c r="SRF67" s="242"/>
      <c r="SRG67" s="242"/>
      <c r="SRH67" s="242"/>
      <c r="SRI67" s="242"/>
      <c r="SRJ67" s="242"/>
      <c r="SRK67" s="242"/>
      <c r="SRL67" s="242"/>
      <c r="SRM67" s="242"/>
      <c r="SRN67" s="108"/>
      <c r="SRO67" s="243"/>
      <c r="SRP67" s="243"/>
      <c r="SRQ67" s="243"/>
      <c r="SRR67" s="242"/>
      <c r="SRS67" s="242"/>
      <c r="SRT67" s="242"/>
      <c r="SRU67" s="242"/>
      <c r="SRV67" s="242"/>
      <c r="SRW67" s="242"/>
      <c r="SRX67" s="242"/>
      <c r="SRY67" s="242"/>
      <c r="SRZ67" s="242"/>
      <c r="SSA67" s="108"/>
      <c r="SSB67" s="243"/>
      <c r="SSC67" s="243"/>
      <c r="SSD67" s="243"/>
      <c r="SSE67" s="242"/>
      <c r="SSF67" s="242"/>
      <c r="SSG67" s="242"/>
      <c r="SSH67" s="242"/>
      <c r="SSI67" s="242"/>
      <c r="SSJ67" s="242"/>
      <c r="SSK67" s="242"/>
      <c r="SSL67" s="242"/>
      <c r="SSM67" s="242"/>
      <c r="SSN67" s="108"/>
      <c r="SSO67" s="243"/>
      <c r="SSP67" s="243"/>
      <c r="SSQ67" s="243"/>
      <c r="SSR67" s="242"/>
      <c r="SSS67" s="242"/>
      <c r="SST67" s="242"/>
      <c r="SSU67" s="242"/>
      <c r="SSV67" s="242"/>
      <c r="SSW67" s="242"/>
      <c r="SSX67" s="242"/>
      <c r="SSY67" s="242"/>
      <c r="SSZ67" s="242"/>
      <c r="STA67" s="108"/>
      <c r="STB67" s="243"/>
      <c r="STC67" s="243"/>
      <c r="STD67" s="243"/>
      <c r="STE67" s="242"/>
      <c r="STF67" s="242"/>
      <c r="STG67" s="242"/>
      <c r="STH67" s="242"/>
      <c r="STI67" s="242"/>
      <c r="STJ67" s="242"/>
      <c r="STK67" s="242"/>
      <c r="STL67" s="242"/>
      <c r="STM67" s="242"/>
      <c r="STN67" s="108"/>
      <c r="STO67" s="243"/>
      <c r="STP67" s="243"/>
      <c r="STQ67" s="243"/>
      <c r="STR67" s="242"/>
      <c r="STS67" s="242"/>
      <c r="STT67" s="242"/>
      <c r="STU67" s="242"/>
      <c r="STV67" s="242"/>
      <c r="STW67" s="242"/>
      <c r="STX67" s="242"/>
      <c r="STY67" s="242"/>
      <c r="STZ67" s="242"/>
      <c r="SUA67" s="108"/>
      <c r="SUB67" s="243"/>
      <c r="SUC67" s="243"/>
      <c r="SUD67" s="243"/>
      <c r="SUE67" s="242"/>
      <c r="SUF67" s="242"/>
      <c r="SUG67" s="242"/>
      <c r="SUH67" s="242"/>
      <c r="SUI67" s="242"/>
      <c r="SUJ67" s="242"/>
      <c r="SUK67" s="242"/>
      <c r="SUL67" s="242"/>
      <c r="SUM67" s="242"/>
      <c r="SUN67" s="108"/>
      <c r="SUO67" s="243"/>
      <c r="SUP67" s="243"/>
      <c r="SUQ67" s="243"/>
      <c r="SUR67" s="242"/>
      <c r="SUS67" s="242"/>
      <c r="SUT67" s="242"/>
      <c r="SUU67" s="242"/>
      <c r="SUV67" s="242"/>
      <c r="SUW67" s="242"/>
      <c r="SUX67" s="242"/>
      <c r="SUY67" s="242"/>
      <c r="SUZ67" s="242"/>
      <c r="SVA67" s="108"/>
      <c r="SVB67" s="243"/>
      <c r="SVC67" s="243"/>
      <c r="SVD67" s="243"/>
      <c r="SVE67" s="242"/>
      <c r="SVF67" s="242"/>
      <c r="SVG67" s="242"/>
      <c r="SVH67" s="242"/>
      <c r="SVI67" s="242"/>
      <c r="SVJ67" s="242"/>
      <c r="SVK67" s="242"/>
      <c r="SVL67" s="242"/>
      <c r="SVM67" s="242"/>
      <c r="SVN67" s="108"/>
      <c r="SVO67" s="243"/>
      <c r="SVP67" s="243"/>
      <c r="SVQ67" s="243"/>
      <c r="SVR67" s="242"/>
      <c r="SVS67" s="242"/>
      <c r="SVT67" s="242"/>
      <c r="SVU67" s="242"/>
      <c r="SVV67" s="242"/>
      <c r="SVW67" s="242"/>
      <c r="SVX67" s="242"/>
      <c r="SVY67" s="242"/>
      <c r="SVZ67" s="242"/>
      <c r="SWA67" s="108"/>
      <c r="SWB67" s="243"/>
      <c r="SWC67" s="243"/>
      <c r="SWD67" s="243"/>
      <c r="SWE67" s="242"/>
      <c r="SWF67" s="242"/>
      <c r="SWG67" s="242"/>
      <c r="SWH67" s="242"/>
      <c r="SWI67" s="242"/>
      <c r="SWJ67" s="242"/>
      <c r="SWK67" s="242"/>
      <c r="SWL67" s="242"/>
      <c r="SWM67" s="242"/>
      <c r="SWN67" s="108"/>
      <c r="SWO67" s="243"/>
      <c r="SWP67" s="243"/>
      <c r="SWQ67" s="243"/>
      <c r="SWR67" s="242"/>
      <c r="SWS67" s="242"/>
      <c r="SWT67" s="242"/>
      <c r="SWU67" s="242"/>
      <c r="SWV67" s="242"/>
      <c r="SWW67" s="242"/>
      <c r="SWX67" s="242"/>
      <c r="SWY67" s="242"/>
      <c r="SWZ67" s="242"/>
      <c r="SXA67" s="108"/>
      <c r="SXB67" s="243"/>
      <c r="SXC67" s="243"/>
      <c r="SXD67" s="243"/>
      <c r="SXE67" s="242"/>
      <c r="SXF67" s="242"/>
      <c r="SXG67" s="242"/>
      <c r="SXH67" s="242"/>
      <c r="SXI67" s="242"/>
      <c r="SXJ67" s="242"/>
      <c r="SXK67" s="242"/>
      <c r="SXL67" s="242"/>
      <c r="SXM67" s="242"/>
      <c r="SXN67" s="108"/>
      <c r="SXO67" s="243"/>
      <c r="SXP67" s="243"/>
      <c r="SXQ67" s="243"/>
      <c r="SXR67" s="242"/>
      <c r="SXS67" s="242"/>
      <c r="SXT67" s="242"/>
      <c r="SXU67" s="242"/>
      <c r="SXV67" s="242"/>
      <c r="SXW67" s="242"/>
      <c r="SXX67" s="242"/>
      <c r="SXY67" s="242"/>
      <c r="SXZ67" s="242"/>
      <c r="SYA67" s="108"/>
      <c r="SYB67" s="243"/>
      <c r="SYC67" s="243"/>
      <c r="SYD67" s="243"/>
      <c r="SYE67" s="242"/>
      <c r="SYF67" s="242"/>
      <c r="SYG67" s="242"/>
      <c r="SYH67" s="242"/>
      <c r="SYI67" s="242"/>
      <c r="SYJ67" s="242"/>
      <c r="SYK67" s="242"/>
      <c r="SYL67" s="242"/>
      <c r="SYM67" s="242"/>
      <c r="SYN67" s="108"/>
      <c r="SYO67" s="243"/>
      <c r="SYP67" s="243"/>
      <c r="SYQ67" s="243"/>
      <c r="SYR67" s="242"/>
      <c r="SYS67" s="242"/>
      <c r="SYT67" s="242"/>
      <c r="SYU67" s="242"/>
      <c r="SYV67" s="242"/>
      <c r="SYW67" s="242"/>
      <c r="SYX67" s="242"/>
      <c r="SYY67" s="242"/>
      <c r="SYZ67" s="242"/>
      <c r="SZA67" s="108"/>
      <c r="SZB67" s="243"/>
      <c r="SZC67" s="243"/>
      <c r="SZD67" s="243"/>
      <c r="SZE67" s="242"/>
      <c r="SZF67" s="242"/>
      <c r="SZG67" s="242"/>
      <c r="SZH67" s="242"/>
      <c r="SZI67" s="242"/>
      <c r="SZJ67" s="242"/>
      <c r="SZK67" s="242"/>
      <c r="SZL67" s="242"/>
      <c r="SZM67" s="242"/>
      <c r="SZN67" s="108"/>
      <c r="SZO67" s="243"/>
      <c r="SZP67" s="243"/>
      <c r="SZQ67" s="243"/>
      <c r="SZR67" s="242"/>
      <c r="SZS67" s="242"/>
      <c r="SZT67" s="242"/>
      <c r="SZU67" s="242"/>
      <c r="SZV67" s="242"/>
      <c r="SZW67" s="242"/>
      <c r="SZX67" s="242"/>
      <c r="SZY67" s="242"/>
      <c r="SZZ67" s="242"/>
      <c r="TAA67" s="108"/>
      <c r="TAB67" s="243"/>
      <c r="TAC67" s="243"/>
      <c r="TAD67" s="243"/>
      <c r="TAE67" s="242"/>
      <c r="TAF67" s="242"/>
      <c r="TAG67" s="242"/>
      <c r="TAH67" s="242"/>
      <c r="TAI67" s="242"/>
      <c r="TAJ67" s="242"/>
      <c r="TAK67" s="242"/>
      <c r="TAL67" s="242"/>
      <c r="TAM67" s="242"/>
      <c r="TAN67" s="108"/>
      <c r="TAO67" s="243"/>
      <c r="TAP67" s="243"/>
      <c r="TAQ67" s="243"/>
      <c r="TAR67" s="242"/>
      <c r="TAS67" s="242"/>
      <c r="TAT67" s="242"/>
      <c r="TAU67" s="242"/>
      <c r="TAV67" s="242"/>
      <c r="TAW67" s="242"/>
      <c r="TAX67" s="242"/>
      <c r="TAY67" s="242"/>
      <c r="TAZ67" s="242"/>
      <c r="TBA67" s="108"/>
      <c r="TBB67" s="243"/>
      <c r="TBC67" s="243"/>
      <c r="TBD67" s="243"/>
      <c r="TBE67" s="242"/>
      <c r="TBF67" s="242"/>
      <c r="TBG67" s="242"/>
      <c r="TBH67" s="242"/>
      <c r="TBI67" s="242"/>
      <c r="TBJ67" s="242"/>
      <c r="TBK67" s="242"/>
      <c r="TBL67" s="242"/>
      <c r="TBM67" s="242"/>
      <c r="TBN67" s="108"/>
      <c r="TBO67" s="243"/>
      <c r="TBP67" s="243"/>
      <c r="TBQ67" s="243"/>
      <c r="TBR67" s="242"/>
      <c r="TBS67" s="242"/>
      <c r="TBT67" s="242"/>
      <c r="TBU67" s="242"/>
      <c r="TBV67" s="242"/>
      <c r="TBW67" s="242"/>
      <c r="TBX67" s="242"/>
      <c r="TBY67" s="242"/>
      <c r="TBZ67" s="242"/>
      <c r="TCA67" s="108"/>
      <c r="TCB67" s="243"/>
      <c r="TCC67" s="243"/>
      <c r="TCD67" s="243"/>
      <c r="TCE67" s="242"/>
      <c r="TCF67" s="242"/>
      <c r="TCG67" s="242"/>
      <c r="TCH67" s="242"/>
      <c r="TCI67" s="242"/>
      <c r="TCJ67" s="242"/>
      <c r="TCK67" s="242"/>
      <c r="TCL67" s="242"/>
      <c r="TCM67" s="242"/>
      <c r="TCN67" s="108"/>
      <c r="TCO67" s="243"/>
      <c r="TCP67" s="243"/>
      <c r="TCQ67" s="243"/>
      <c r="TCR67" s="242"/>
      <c r="TCS67" s="242"/>
      <c r="TCT67" s="242"/>
      <c r="TCU67" s="242"/>
      <c r="TCV67" s="242"/>
      <c r="TCW67" s="242"/>
      <c r="TCX67" s="242"/>
      <c r="TCY67" s="242"/>
      <c r="TCZ67" s="242"/>
      <c r="TDA67" s="108"/>
      <c r="TDB67" s="243"/>
      <c r="TDC67" s="243"/>
      <c r="TDD67" s="243"/>
      <c r="TDE67" s="242"/>
      <c r="TDF67" s="242"/>
      <c r="TDG67" s="242"/>
      <c r="TDH67" s="242"/>
      <c r="TDI67" s="242"/>
      <c r="TDJ67" s="242"/>
      <c r="TDK67" s="242"/>
      <c r="TDL67" s="242"/>
      <c r="TDM67" s="242"/>
      <c r="TDN67" s="108"/>
      <c r="TDO67" s="243"/>
      <c r="TDP67" s="243"/>
      <c r="TDQ67" s="243"/>
      <c r="TDR67" s="242"/>
      <c r="TDS67" s="242"/>
      <c r="TDT67" s="242"/>
      <c r="TDU67" s="242"/>
      <c r="TDV67" s="242"/>
      <c r="TDW67" s="242"/>
      <c r="TDX67" s="242"/>
      <c r="TDY67" s="242"/>
      <c r="TDZ67" s="242"/>
      <c r="TEA67" s="108"/>
      <c r="TEB67" s="243"/>
      <c r="TEC67" s="243"/>
      <c r="TED67" s="243"/>
      <c r="TEE67" s="242"/>
      <c r="TEF67" s="242"/>
      <c r="TEG67" s="242"/>
      <c r="TEH67" s="242"/>
      <c r="TEI67" s="242"/>
      <c r="TEJ67" s="242"/>
      <c r="TEK67" s="242"/>
      <c r="TEL67" s="242"/>
      <c r="TEM67" s="242"/>
      <c r="TEN67" s="108"/>
      <c r="TEO67" s="243"/>
      <c r="TEP67" s="243"/>
      <c r="TEQ67" s="243"/>
      <c r="TER67" s="242"/>
      <c r="TES67" s="242"/>
      <c r="TET67" s="242"/>
      <c r="TEU67" s="242"/>
      <c r="TEV67" s="242"/>
      <c r="TEW67" s="242"/>
      <c r="TEX67" s="242"/>
      <c r="TEY67" s="242"/>
      <c r="TEZ67" s="242"/>
      <c r="TFA67" s="108"/>
      <c r="TFB67" s="243"/>
      <c r="TFC67" s="243"/>
      <c r="TFD67" s="243"/>
      <c r="TFE67" s="242"/>
      <c r="TFF67" s="242"/>
      <c r="TFG67" s="242"/>
      <c r="TFH67" s="242"/>
      <c r="TFI67" s="242"/>
      <c r="TFJ67" s="242"/>
      <c r="TFK67" s="242"/>
      <c r="TFL67" s="242"/>
      <c r="TFM67" s="242"/>
      <c r="TFN67" s="108"/>
      <c r="TFO67" s="243"/>
      <c r="TFP67" s="243"/>
      <c r="TFQ67" s="243"/>
      <c r="TFR67" s="242"/>
      <c r="TFS67" s="242"/>
      <c r="TFT67" s="242"/>
      <c r="TFU67" s="242"/>
      <c r="TFV67" s="242"/>
      <c r="TFW67" s="242"/>
      <c r="TFX67" s="242"/>
      <c r="TFY67" s="242"/>
      <c r="TFZ67" s="242"/>
      <c r="TGA67" s="108"/>
      <c r="TGB67" s="243"/>
      <c r="TGC67" s="243"/>
      <c r="TGD67" s="243"/>
      <c r="TGE67" s="242"/>
      <c r="TGF67" s="242"/>
      <c r="TGG67" s="242"/>
      <c r="TGH67" s="242"/>
      <c r="TGI67" s="242"/>
      <c r="TGJ67" s="242"/>
      <c r="TGK67" s="242"/>
      <c r="TGL67" s="242"/>
      <c r="TGM67" s="242"/>
      <c r="TGN67" s="108"/>
      <c r="TGO67" s="243"/>
      <c r="TGP67" s="243"/>
      <c r="TGQ67" s="243"/>
      <c r="TGR67" s="242"/>
      <c r="TGS67" s="242"/>
      <c r="TGT67" s="242"/>
      <c r="TGU67" s="242"/>
      <c r="TGV67" s="242"/>
      <c r="TGW67" s="242"/>
      <c r="TGX67" s="242"/>
      <c r="TGY67" s="242"/>
      <c r="TGZ67" s="242"/>
      <c r="THA67" s="108"/>
      <c r="THB67" s="243"/>
      <c r="THC67" s="243"/>
      <c r="THD67" s="243"/>
      <c r="THE67" s="242"/>
      <c r="THF67" s="242"/>
      <c r="THG67" s="242"/>
      <c r="THH67" s="242"/>
      <c r="THI67" s="242"/>
      <c r="THJ67" s="242"/>
      <c r="THK67" s="242"/>
      <c r="THL67" s="242"/>
      <c r="THM67" s="242"/>
      <c r="THN67" s="108"/>
      <c r="THO67" s="243"/>
      <c r="THP67" s="243"/>
      <c r="THQ67" s="243"/>
      <c r="THR67" s="242"/>
      <c r="THS67" s="242"/>
      <c r="THT67" s="242"/>
      <c r="THU67" s="242"/>
      <c r="THV67" s="242"/>
      <c r="THW67" s="242"/>
      <c r="THX67" s="242"/>
      <c r="THY67" s="242"/>
      <c r="THZ67" s="242"/>
      <c r="TIA67" s="108"/>
      <c r="TIB67" s="243"/>
      <c r="TIC67" s="243"/>
      <c r="TID67" s="243"/>
      <c r="TIE67" s="242"/>
      <c r="TIF67" s="242"/>
      <c r="TIG67" s="242"/>
      <c r="TIH67" s="242"/>
      <c r="TII67" s="242"/>
      <c r="TIJ67" s="242"/>
      <c r="TIK67" s="242"/>
      <c r="TIL67" s="242"/>
      <c r="TIM67" s="242"/>
      <c r="TIN67" s="108"/>
      <c r="TIO67" s="243"/>
      <c r="TIP67" s="243"/>
      <c r="TIQ67" s="243"/>
      <c r="TIR67" s="242"/>
      <c r="TIS67" s="242"/>
      <c r="TIT67" s="242"/>
      <c r="TIU67" s="242"/>
      <c r="TIV67" s="242"/>
      <c r="TIW67" s="242"/>
      <c r="TIX67" s="242"/>
      <c r="TIY67" s="242"/>
      <c r="TIZ67" s="242"/>
      <c r="TJA67" s="108"/>
      <c r="TJB67" s="243"/>
      <c r="TJC67" s="243"/>
      <c r="TJD67" s="243"/>
      <c r="TJE67" s="242"/>
      <c r="TJF67" s="242"/>
      <c r="TJG67" s="242"/>
      <c r="TJH67" s="242"/>
      <c r="TJI67" s="242"/>
      <c r="TJJ67" s="242"/>
      <c r="TJK67" s="242"/>
      <c r="TJL67" s="242"/>
      <c r="TJM67" s="242"/>
      <c r="TJN67" s="108"/>
      <c r="TJO67" s="243"/>
      <c r="TJP67" s="243"/>
      <c r="TJQ67" s="243"/>
      <c r="TJR67" s="242"/>
      <c r="TJS67" s="242"/>
      <c r="TJT67" s="242"/>
      <c r="TJU67" s="242"/>
      <c r="TJV67" s="242"/>
      <c r="TJW67" s="242"/>
      <c r="TJX67" s="242"/>
      <c r="TJY67" s="242"/>
      <c r="TJZ67" s="242"/>
      <c r="TKA67" s="108"/>
      <c r="TKB67" s="243"/>
      <c r="TKC67" s="243"/>
      <c r="TKD67" s="243"/>
      <c r="TKE67" s="242"/>
      <c r="TKF67" s="242"/>
      <c r="TKG67" s="242"/>
      <c r="TKH67" s="242"/>
      <c r="TKI67" s="242"/>
      <c r="TKJ67" s="242"/>
      <c r="TKK67" s="242"/>
      <c r="TKL67" s="242"/>
      <c r="TKM67" s="242"/>
      <c r="TKN67" s="108"/>
      <c r="TKO67" s="243"/>
      <c r="TKP67" s="243"/>
      <c r="TKQ67" s="243"/>
      <c r="TKR67" s="242"/>
      <c r="TKS67" s="242"/>
      <c r="TKT67" s="242"/>
      <c r="TKU67" s="242"/>
      <c r="TKV67" s="242"/>
      <c r="TKW67" s="242"/>
      <c r="TKX67" s="242"/>
      <c r="TKY67" s="242"/>
      <c r="TKZ67" s="242"/>
      <c r="TLA67" s="108"/>
      <c r="TLB67" s="243"/>
      <c r="TLC67" s="243"/>
      <c r="TLD67" s="243"/>
      <c r="TLE67" s="242"/>
      <c r="TLF67" s="242"/>
      <c r="TLG67" s="242"/>
      <c r="TLH67" s="242"/>
      <c r="TLI67" s="242"/>
      <c r="TLJ67" s="242"/>
      <c r="TLK67" s="242"/>
      <c r="TLL67" s="242"/>
      <c r="TLM67" s="242"/>
      <c r="TLN67" s="108"/>
      <c r="TLO67" s="243"/>
      <c r="TLP67" s="243"/>
      <c r="TLQ67" s="243"/>
      <c r="TLR67" s="242"/>
      <c r="TLS67" s="242"/>
      <c r="TLT67" s="242"/>
      <c r="TLU67" s="242"/>
      <c r="TLV67" s="242"/>
      <c r="TLW67" s="242"/>
      <c r="TLX67" s="242"/>
      <c r="TLY67" s="242"/>
      <c r="TLZ67" s="242"/>
      <c r="TMA67" s="108"/>
      <c r="TMB67" s="243"/>
      <c r="TMC67" s="243"/>
      <c r="TMD67" s="243"/>
      <c r="TME67" s="242"/>
      <c r="TMF67" s="242"/>
      <c r="TMG67" s="242"/>
      <c r="TMH67" s="242"/>
      <c r="TMI67" s="242"/>
      <c r="TMJ67" s="242"/>
      <c r="TMK67" s="242"/>
      <c r="TML67" s="242"/>
      <c r="TMM67" s="242"/>
      <c r="TMN67" s="108"/>
      <c r="TMO67" s="243"/>
      <c r="TMP67" s="243"/>
      <c r="TMQ67" s="243"/>
      <c r="TMR67" s="242"/>
      <c r="TMS67" s="242"/>
      <c r="TMT67" s="242"/>
      <c r="TMU67" s="242"/>
      <c r="TMV67" s="242"/>
      <c r="TMW67" s="242"/>
      <c r="TMX67" s="242"/>
      <c r="TMY67" s="242"/>
      <c r="TMZ67" s="242"/>
      <c r="TNA67" s="108"/>
      <c r="TNB67" s="243"/>
      <c r="TNC67" s="243"/>
      <c r="TND67" s="243"/>
      <c r="TNE67" s="242"/>
      <c r="TNF67" s="242"/>
      <c r="TNG67" s="242"/>
      <c r="TNH67" s="242"/>
      <c r="TNI67" s="242"/>
      <c r="TNJ67" s="242"/>
      <c r="TNK67" s="242"/>
      <c r="TNL67" s="242"/>
      <c r="TNM67" s="242"/>
      <c r="TNN67" s="108"/>
      <c r="TNO67" s="243"/>
      <c r="TNP67" s="243"/>
      <c r="TNQ67" s="243"/>
      <c r="TNR67" s="242"/>
      <c r="TNS67" s="242"/>
      <c r="TNT67" s="242"/>
      <c r="TNU67" s="242"/>
      <c r="TNV67" s="242"/>
      <c r="TNW67" s="242"/>
      <c r="TNX67" s="242"/>
      <c r="TNY67" s="242"/>
      <c r="TNZ67" s="242"/>
      <c r="TOA67" s="108"/>
      <c r="TOB67" s="243"/>
      <c r="TOC67" s="243"/>
      <c r="TOD67" s="243"/>
      <c r="TOE67" s="242"/>
      <c r="TOF67" s="242"/>
      <c r="TOG67" s="242"/>
      <c r="TOH67" s="242"/>
      <c r="TOI67" s="242"/>
      <c r="TOJ67" s="242"/>
      <c r="TOK67" s="242"/>
      <c r="TOL67" s="242"/>
      <c r="TOM67" s="242"/>
      <c r="TON67" s="108"/>
      <c r="TOO67" s="243"/>
      <c r="TOP67" s="243"/>
      <c r="TOQ67" s="243"/>
      <c r="TOR67" s="242"/>
      <c r="TOS67" s="242"/>
      <c r="TOT67" s="242"/>
      <c r="TOU67" s="242"/>
      <c r="TOV67" s="242"/>
      <c r="TOW67" s="242"/>
      <c r="TOX67" s="242"/>
      <c r="TOY67" s="242"/>
      <c r="TOZ67" s="242"/>
      <c r="TPA67" s="108"/>
      <c r="TPB67" s="243"/>
      <c r="TPC67" s="243"/>
      <c r="TPD67" s="243"/>
      <c r="TPE67" s="242"/>
      <c r="TPF67" s="242"/>
      <c r="TPG67" s="242"/>
      <c r="TPH67" s="242"/>
      <c r="TPI67" s="242"/>
      <c r="TPJ67" s="242"/>
      <c r="TPK67" s="242"/>
      <c r="TPL67" s="242"/>
      <c r="TPM67" s="242"/>
      <c r="TPN67" s="108"/>
      <c r="TPO67" s="243"/>
      <c r="TPP67" s="243"/>
      <c r="TPQ67" s="243"/>
      <c r="TPR67" s="242"/>
      <c r="TPS67" s="242"/>
      <c r="TPT67" s="242"/>
      <c r="TPU67" s="242"/>
      <c r="TPV67" s="242"/>
      <c r="TPW67" s="242"/>
      <c r="TPX67" s="242"/>
      <c r="TPY67" s="242"/>
      <c r="TPZ67" s="242"/>
      <c r="TQA67" s="108"/>
      <c r="TQB67" s="243"/>
      <c r="TQC67" s="243"/>
      <c r="TQD67" s="243"/>
      <c r="TQE67" s="242"/>
      <c r="TQF67" s="242"/>
      <c r="TQG67" s="242"/>
      <c r="TQH67" s="242"/>
      <c r="TQI67" s="242"/>
      <c r="TQJ67" s="242"/>
      <c r="TQK67" s="242"/>
      <c r="TQL67" s="242"/>
      <c r="TQM67" s="242"/>
      <c r="TQN67" s="108"/>
      <c r="TQO67" s="243"/>
      <c r="TQP67" s="243"/>
      <c r="TQQ67" s="243"/>
      <c r="TQR67" s="242"/>
      <c r="TQS67" s="242"/>
      <c r="TQT67" s="242"/>
      <c r="TQU67" s="242"/>
      <c r="TQV67" s="242"/>
      <c r="TQW67" s="242"/>
      <c r="TQX67" s="242"/>
      <c r="TQY67" s="242"/>
      <c r="TQZ67" s="242"/>
      <c r="TRA67" s="108"/>
      <c r="TRB67" s="243"/>
      <c r="TRC67" s="243"/>
      <c r="TRD67" s="243"/>
      <c r="TRE67" s="242"/>
      <c r="TRF67" s="242"/>
      <c r="TRG67" s="242"/>
      <c r="TRH67" s="242"/>
      <c r="TRI67" s="242"/>
      <c r="TRJ67" s="242"/>
      <c r="TRK67" s="242"/>
      <c r="TRL67" s="242"/>
      <c r="TRM67" s="242"/>
      <c r="TRN67" s="108"/>
      <c r="TRO67" s="243"/>
      <c r="TRP67" s="243"/>
      <c r="TRQ67" s="243"/>
      <c r="TRR67" s="242"/>
      <c r="TRS67" s="242"/>
      <c r="TRT67" s="242"/>
      <c r="TRU67" s="242"/>
      <c r="TRV67" s="242"/>
      <c r="TRW67" s="242"/>
      <c r="TRX67" s="242"/>
      <c r="TRY67" s="242"/>
      <c r="TRZ67" s="242"/>
      <c r="TSA67" s="108"/>
      <c r="TSB67" s="243"/>
      <c r="TSC67" s="243"/>
      <c r="TSD67" s="243"/>
      <c r="TSE67" s="242"/>
      <c r="TSF67" s="242"/>
      <c r="TSG67" s="242"/>
      <c r="TSH67" s="242"/>
      <c r="TSI67" s="242"/>
      <c r="TSJ67" s="242"/>
      <c r="TSK67" s="242"/>
      <c r="TSL67" s="242"/>
      <c r="TSM67" s="242"/>
      <c r="TSN67" s="108"/>
      <c r="TSO67" s="243"/>
      <c r="TSP67" s="243"/>
      <c r="TSQ67" s="243"/>
      <c r="TSR67" s="242"/>
      <c r="TSS67" s="242"/>
      <c r="TST67" s="242"/>
      <c r="TSU67" s="242"/>
      <c r="TSV67" s="242"/>
      <c r="TSW67" s="242"/>
      <c r="TSX67" s="242"/>
      <c r="TSY67" s="242"/>
      <c r="TSZ67" s="242"/>
      <c r="TTA67" s="108"/>
      <c r="TTB67" s="243"/>
      <c r="TTC67" s="243"/>
      <c r="TTD67" s="243"/>
      <c r="TTE67" s="242"/>
      <c r="TTF67" s="242"/>
      <c r="TTG67" s="242"/>
      <c r="TTH67" s="242"/>
      <c r="TTI67" s="242"/>
      <c r="TTJ67" s="242"/>
      <c r="TTK67" s="242"/>
      <c r="TTL67" s="242"/>
      <c r="TTM67" s="242"/>
      <c r="TTN67" s="108"/>
      <c r="TTO67" s="243"/>
      <c r="TTP67" s="243"/>
      <c r="TTQ67" s="243"/>
      <c r="TTR67" s="242"/>
      <c r="TTS67" s="242"/>
      <c r="TTT67" s="242"/>
      <c r="TTU67" s="242"/>
      <c r="TTV67" s="242"/>
      <c r="TTW67" s="242"/>
      <c r="TTX67" s="242"/>
      <c r="TTY67" s="242"/>
      <c r="TTZ67" s="242"/>
      <c r="TUA67" s="108"/>
      <c r="TUB67" s="243"/>
      <c r="TUC67" s="243"/>
      <c r="TUD67" s="243"/>
      <c r="TUE67" s="242"/>
      <c r="TUF67" s="242"/>
      <c r="TUG67" s="242"/>
      <c r="TUH67" s="242"/>
      <c r="TUI67" s="242"/>
      <c r="TUJ67" s="242"/>
      <c r="TUK67" s="242"/>
      <c r="TUL67" s="242"/>
      <c r="TUM67" s="242"/>
      <c r="TUN67" s="108"/>
      <c r="TUO67" s="243"/>
      <c r="TUP67" s="243"/>
      <c r="TUQ67" s="243"/>
      <c r="TUR67" s="242"/>
      <c r="TUS67" s="242"/>
      <c r="TUT67" s="242"/>
      <c r="TUU67" s="242"/>
      <c r="TUV67" s="242"/>
      <c r="TUW67" s="242"/>
      <c r="TUX67" s="242"/>
      <c r="TUY67" s="242"/>
      <c r="TUZ67" s="242"/>
      <c r="TVA67" s="108"/>
      <c r="TVB67" s="243"/>
      <c r="TVC67" s="243"/>
      <c r="TVD67" s="243"/>
      <c r="TVE67" s="242"/>
      <c r="TVF67" s="242"/>
      <c r="TVG67" s="242"/>
      <c r="TVH67" s="242"/>
      <c r="TVI67" s="242"/>
      <c r="TVJ67" s="242"/>
      <c r="TVK67" s="242"/>
      <c r="TVL67" s="242"/>
      <c r="TVM67" s="242"/>
      <c r="TVN67" s="108"/>
      <c r="TVO67" s="243"/>
      <c r="TVP67" s="243"/>
      <c r="TVQ67" s="243"/>
      <c r="TVR67" s="242"/>
      <c r="TVS67" s="242"/>
      <c r="TVT67" s="242"/>
      <c r="TVU67" s="242"/>
      <c r="TVV67" s="242"/>
      <c r="TVW67" s="242"/>
      <c r="TVX67" s="242"/>
      <c r="TVY67" s="242"/>
      <c r="TVZ67" s="242"/>
      <c r="TWA67" s="108"/>
      <c r="TWB67" s="243"/>
      <c r="TWC67" s="243"/>
      <c r="TWD67" s="243"/>
      <c r="TWE67" s="242"/>
      <c r="TWF67" s="242"/>
      <c r="TWG67" s="242"/>
      <c r="TWH67" s="242"/>
      <c r="TWI67" s="242"/>
      <c r="TWJ67" s="242"/>
      <c r="TWK67" s="242"/>
      <c r="TWL67" s="242"/>
      <c r="TWM67" s="242"/>
      <c r="TWN67" s="108"/>
      <c r="TWO67" s="243"/>
      <c r="TWP67" s="243"/>
      <c r="TWQ67" s="243"/>
      <c r="TWR67" s="242"/>
      <c r="TWS67" s="242"/>
      <c r="TWT67" s="242"/>
      <c r="TWU67" s="242"/>
      <c r="TWV67" s="242"/>
      <c r="TWW67" s="242"/>
      <c r="TWX67" s="242"/>
      <c r="TWY67" s="242"/>
      <c r="TWZ67" s="242"/>
      <c r="TXA67" s="108"/>
      <c r="TXB67" s="243"/>
      <c r="TXC67" s="243"/>
      <c r="TXD67" s="243"/>
      <c r="TXE67" s="242"/>
      <c r="TXF67" s="242"/>
      <c r="TXG67" s="242"/>
      <c r="TXH67" s="242"/>
      <c r="TXI67" s="242"/>
      <c r="TXJ67" s="242"/>
      <c r="TXK67" s="242"/>
      <c r="TXL67" s="242"/>
      <c r="TXM67" s="242"/>
      <c r="TXN67" s="108"/>
      <c r="TXO67" s="243"/>
      <c r="TXP67" s="243"/>
      <c r="TXQ67" s="243"/>
      <c r="TXR67" s="242"/>
      <c r="TXS67" s="242"/>
      <c r="TXT67" s="242"/>
      <c r="TXU67" s="242"/>
      <c r="TXV67" s="242"/>
      <c r="TXW67" s="242"/>
      <c r="TXX67" s="242"/>
      <c r="TXY67" s="242"/>
      <c r="TXZ67" s="242"/>
      <c r="TYA67" s="108"/>
      <c r="TYB67" s="243"/>
      <c r="TYC67" s="243"/>
      <c r="TYD67" s="243"/>
      <c r="TYE67" s="242"/>
      <c r="TYF67" s="242"/>
      <c r="TYG67" s="242"/>
      <c r="TYH67" s="242"/>
      <c r="TYI67" s="242"/>
      <c r="TYJ67" s="242"/>
      <c r="TYK67" s="242"/>
      <c r="TYL67" s="242"/>
      <c r="TYM67" s="242"/>
      <c r="TYN67" s="108"/>
      <c r="TYO67" s="243"/>
      <c r="TYP67" s="243"/>
      <c r="TYQ67" s="243"/>
      <c r="TYR67" s="242"/>
      <c r="TYS67" s="242"/>
      <c r="TYT67" s="242"/>
      <c r="TYU67" s="242"/>
      <c r="TYV67" s="242"/>
      <c r="TYW67" s="242"/>
      <c r="TYX67" s="242"/>
      <c r="TYY67" s="242"/>
      <c r="TYZ67" s="242"/>
      <c r="TZA67" s="108"/>
      <c r="TZB67" s="243"/>
      <c r="TZC67" s="243"/>
      <c r="TZD67" s="243"/>
      <c r="TZE67" s="242"/>
      <c r="TZF67" s="242"/>
      <c r="TZG67" s="242"/>
      <c r="TZH67" s="242"/>
      <c r="TZI67" s="242"/>
      <c r="TZJ67" s="242"/>
      <c r="TZK67" s="242"/>
      <c r="TZL67" s="242"/>
      <c r="TZM67" s="242"/>
      <c r="TZN67" s="108"/>
      <c r="TZO67" s="243"/>
      <c r="TZP67" s="243"/>
      <c r="TZQ67" s="243"/>
      <c r="TZR67" s="242"/>
      <c r="TZS67" s="242"/>
      <c r="TZT67" s="242"/>
      <c r="TZU67" s="242"/>
      <c r="TZV67" s="242"/>
      <c r="TZW67" s="242"/>
      <c r="TZX67" s="242"/>
      <c r="TZY67" s="242"/>
      <c r="TZZ67" s="242"/>
      <c r="UAA67" s="108"/>
      <c r="UAB67" s="243"/>
      <c r="UAC67" s="243"/>
      <c r="UAD67" s="243"/>
      <c r="UAE67" s="242"/>
      <c r="UAF67" s="242"/>
      <c r="UAG67" s="242"/>
      <c r="UAH67" s="242"/>
      <c r="UAI67" s="242"/>
      <c r="UAJ67" s="242"/>
      <c r="UAK67" s="242"/>
      <c r="UAL67" s="242"/>
      <c r="UAM67" s="242"/>
      <c r="UAN67" s="108"/>
      <c r="UAO67" s="243"/>
      <c r="UAP67" s="243"/>
      <c r="UAQ67" s="243"/>
      <c r="UAR67" s="242"/>
      <c r="UAS67" s="242"/>
      <c r="UAT67" s="242"/>
      <c r="UAU67" s="242"/>
      <c r="UAV67" s="242"/>
      <c r="UAW67" s="242"/>
      <c r="UAX67" s="242"/>
      <c r="UAY67" s="242"/>
      <c r="UAZ67" s="242"/>
      <c r="UBA67" s="108"/>
      <c r="UBB67" s="243"/>
      <c r="UBC67" s="243"/>
      <c r="UBD67" s="243"/>
      <c r="UBE67" s="242"/>
      <c r="UBF67" s="242"/>
      <c r="UBG67" s="242"/>
      <c r="UBH67" s="242"/>
      <c r="UBI67" s="242"/>
      <c r="UBJ67" s="242"/>
      <c r="UBK67" s="242"/>
      <c r="UBL67" s="242"/>
      <c r="UBM67" s="242"/>
      <c r="UBN67" s="108"/>
      <c r="UBO67" s="243"/>
      <c r="UBP67" s="243"/>
      <c r="UBQ67" s="243"/>
      <c r="UBR67" s="242"/>
      <c r="UBS67" s="242"/>
      <c r="UBT67" s="242"/>
      <c r="UBU67" s="242"/>
      <c r="UBV67" s="242"/>
      <c r="UBW67" s="242"/>
      <c r="UBX67" s="242"/>
      <c r="UBY67" s="242"/>
      <c r="UBZ67" s="242"/>
      <c r="UCA67" s="108"/>
      <c r="UCB67" s="243"/>
      <c r="UCC67" s="243"/>
      <c r="UCD67" s="243"/>
      <c r="UCE67" s="242"/>
      <c r="UCF67" s="242"/>
      <c r="UCG67" s="242"/>
      <c r="UCH67" s="242"/>
      <c r="UCI67" s="242"/>
      <c r="UCJ67" s="242"/>
      <c r="UCK67" s="242"/>
      <c r="UCL67" s="242"/>
      <c r="UCM67" s="242"/>
      <c r="UCN67" s="108"/>
      <c r="UCO67" s="243"/>
      <c r="UCP67" s="243"/>
      <c r="UCQ67" s="243"/>
      <c r="UCR67" s="242"/>
      <c r="UCS67" s="242"/>
      <c r="UCT67" s="242"/>
      <c r="UCU67" s="242"/>
      <c r="UCV67" s="242"/>
      <c r="UCW67" s="242"/>
      <c r="UCX67" s="242"/>
      <c r="UCY67" s="242"/>
      <c r="UCZ67" s="242"/>
      <c r="UDA67" s="108"/>
      <c r="UDB67" s="243"/>
      <c r="UDC67" s="243"/>
      <c r="UDD67" s="243"/>
      <c r="UDE67" s="242"/>
      <c r="UDF67" s="242"/>
      <c r="UDG67" s="242"/>
      <c r="UDH67" s="242"/>
      <c r="UDI67" s="242"/>
      <c r="UDJ67" s="242"/>
      <c r="UDK67" s="242"/>
      <c r="UDL67" s="242"/>
      <c r="UDM67" s="242"/>
      <c r="UDN67" s="108"/>
      <c r="UDO67" s="243"/>
      <c r="UDP67" s="243"/>
      <c r="UDQ67" s="243"/>
      <c r="UDR67" s="242"/>
      <c r="UDS67" s="242"/>
      <c r="UDT67" s="242"/>
      <c r="UDU67" s="242"/>
      <c r="UDV67" s="242"/>
      <c r="UDW67" s="242"/>
      <c r="UDX67" s="242"/>
      <c r="UDY67" s="242"/>
      <c r="UDZ67" s="242"/>
      <c r="UEA67" s="108"/>
      <c r="UEB67" s="243"/>
      <c r="UEC67" s="243"/>
      <c r="UED67" s="243"/>
      <c r="UEE67" s="242"/>
      <c r="UEF67" s="242"/>
      <c r="UEG67" s="242"/>
      <c r="UEH67" s="242"/>
      <c r="UEI67" s="242"/>
      <c r="UEJ67" s="242"/>
      <c r="UEK67" s="242"/>
      <c r="UEL67" s="242"/>
      <c r="UEM67" s="242"/>
      <c r="UEN67" s="108"/>
      <c r="UEO67" s="243"/>
      <c r="UEP67" s="243"/>
      <c r="UEQ67" s="243"/>
      <c r="UER67" s="242"/>
      <c r="UES67" s="242"/>
      <c r="UET67" s="242"/>
      <c r="UEU67" s="242"/>
      <c r="UEV67" s="242"/>
      <c r="UEW67" s="242"/>
      <c r="UEX67" s="242"/>
      <c r="UEY67" s="242"/>
      <c r="UEZ67" s="242"/>
      <c r="UFA67" s="108"/>
      <c r="UFB67" s="243"/>
      <c r="UFC67" s="243"/>
      <c r="UFD67" s="243"/>
      <c r="UFE67" s="242"/>
      <c r="UFF67" s="242"/>
      <c r="UFG67" s="242"/>
      <c r="UFH67" s="242"/>
      <c r="UFI67" s="242"/>
      <c r="UFJ67" s="242"/>
      <c r="UFK67" s="242"/>
      <c r="UFL67" s="242"/>
      <c r="UFM67" s="242"/>
      <c r="UFN67" s="108"/>
      <c r="UFO67" s="243"/>
      <c r="UFP67" s="243"/>
      <c r="UFQ67" s="243"/>
      <c r="UFR67" s="242"/>
      <c r="UFS67" s="242"/>
      <c r="UFT67" s="242"/>
      <c r="UFU67" s="242"/>
      <c r="UFV67" s="242"/>
      <c r="UFW67" s="242"/>
      <c r="UFX67" s="242"/>
      <c r="UFY67" s="242"/>
      <c r="UFZ67" s="242"/>
      <c r="UGA67" s="108"/>
      <c r="UGB67" s="243"/>
      <c r="UGC67" s="243"/>
      <c r="UGD67" s="243"/>
      <c r="UGE67" s="242"/>
      <c r="UGF67" s="242"/>
      <c r="UGG67" s="242"/>
      <c r="UGH67" s="242"/>
      <c r="UGI67" s="242"/>
      <c r="UGJ67" s="242"/>
      <c r="UGK67" s="242"/>
      <c r="UGL67" s="242"/>
      <c r="UGM67" s="242"/>
      <c r="UGN67" s="108"/>
      <c r="UGO67" s="243"/>
      <c r="UGP67" s="243"/>
      <c r="UGQ67" s="243"/>
      <c r="UGR67" s="242"/>
      <c r="UGS67" s="242"/>
      <c r="UGT67" s="242"/>
      <c r="UGU67" s="242"/>
      <c r="UGV67" s="242"/>
      <c r="UGW67" s="242"/>
      <c r="UGX67" s="242"/>
      <c r="UGY67" s="242"/>
      <c r="UGZ67" s="242"/>
      <c r="UHA67" s="108"/>
      <c r="UHB67" s="243"/>
      <c r="UHC67" s="243"/>
      <c r="UHD67" s="243"/>
      <c r="UHE67" s="242"/>
      <c r="UHF67" s="242"/>
      <c r="UHG67" s="242"/>
      <c r="UHH67" s="242"/>
      <c r="UHI67" s="242"/>
      <c r="UHJ67" s="242"/>
      <c r="UHK67" s="242"/>
      <c r="UHL67" s="242"/>
      <c r="UHM67" s="242"/>
      <c r="UHN67" s="108"/>
      <c r="UHO67" s="243"/>
      <c r="UHP67" s="243"/>
      <c r="UHQ67" s="243"/>
      <c r="UHR67" s="242"/>
      <c r="UHS67" s="242"/>
      <c r="UHT67" s="242"/>
      <c r="UHU67" s="242"/>
      <c r="UHV67" s="242"/>
      <c r="UHW67" s="242"/>
      <c r="UHX67" s="242"/>
      <c r="UHY67" s="242"/>
      <c r="UHZ67" s="242"/>
      <c r="UIA67" s="108"/>
      <c r="UIB67" s="243"/>
      <c r="UIC67" s="243"/>
      <c r="UID67" s="243"/>
      <c r="UIE67" s="242"/>
      <c r="UIF67" s="242"/>
      <c r="UIG67" s="242"/>
      <c r="UIH67" s="242"/>
      <c r="UII67" s="242"/>
      <c r="UIJ67" s="242"/>
      <c r="UIK67" s="242"/>
      <c r="UIL67" s="242"/>
      <c r="UIM67" s="242"/>
      <c r="UIN67" s="108"/>
      <c r="UIO67" s="243"/>
      <c r="UIP67" s="243"/>
      <c r="UIQ67" s="243"/>
      <c r="UIR67" s="242"/>
      <c r="UIS67" s="242"/>
      <c r="UIT67" s="242"/>
      <c r="UIU67" s="242"/>
      <c r="UIV67" s="242"/>
      <c r="UIW67" s="242"/>
      <c r="UIX67" s="242"/>
      <c r="UIY67" s="242"/>
      <c r="UIZ67" s="242"/>
      <c r="UJA67" s="108"/>
      <c r="UJB67" s="243"/>
      <c r="UJC67" s="243"/>
      <c r="UJD67" s="243"/>
      <c r="UJE67" s="242"/>
      <c r="UJF67" s="242"/>
      <c r="UJG67" s="242"/>
      <c r="UJH67" s="242"/>
      <c r="UJI67" s="242"/>
      <c r="UJJ67" s="242"/>
      <c r="UJK67" s="242"/>
      <c r="UJL67" s="242"/>
      <c r="UJM67" s="242"/>
      <c r="UJN67" s="108"/>
      <c r="UJO67" s="243"/>
      <c r="UJP67" s="243"/>
      <c r="UJQ67" s="243"/>
      <c r="UJR67" s="242"/>
      <c r="UJS67" s="242"/>
      <c r="UJT67" s="242"/>
      <c r="UJU67" s="242"/>
      <c r="UJV67" s="242"/>
      <c r="UJW67" s="242"/>
      <c r="UJX67" s="242"/>
      <c r="UJY67" s="242"/>
      <c r="UJZ67" s="242"/>
      <c r="UKA67" s="108"/>
      <c r="UKB67" s="243"/>
      <c r="UKC67" s="243"/>
      <c r="UKD67" s="243"/>
      <c r="UKE67" s="242"/>
      <c r="UKF67" s="242"/>
      <c r="UKG67" s="242"/>
      <c r="UKH67" s="242"/>
      <c r="UKI67" s="242"/>
      <c r="UKJ67" s="242"/>
      <c r="UKK67" s="242"/>
      <c r="UKL67" s="242"/>
      <c r="UKM67" s="242"/>
      <c r="UKN67" s="108"/>
      <c r="UKO67" s="243"/>
      <c r="UKP67" s="243"/>
      <c r="UKQ67" s="243"/>
      <c r="UKR67" s="242"/>
      <c r="UKS67" s="242"/>
      <c r="UKT67" s="242"/>
      <c r="UKU67" s="242"/>
      <c r="UKV67" s="242"/>
      <c r="UKW67" s="242"/>
      <c r="UKX67" s="242"/>
      <c r="UKY67" s="242"/>
      <c r="UKZ67" s="242"/>
      <c r="ULA67" s="108"/>
      <c r="ULB67" s="243"/>
      <c r="ULC67" s="243"/>
      <c r="ULD67" s="243"/>
      <c r="ULE67" s="242"/>
      <c r="ULF67" s="242"/>
      <c r="ULG67" s="242"/>
      <c r="ULH67" s="242"/>
      <c r="ULI67" s="242"/>
      <c r="ULJ67" s="242"/>
      <c r="ULK67" s="242"/>
      <c r="ULL67" s="242"/>
      <c r="ULM67" s="242"/>
      <c r="ULN67" s="108"/>
      <c r="ULO67" s="243"/>
      <c r="ULP67" s="243"/>
      <c r="ULQ67" s="243"/>
      <c r="ULR67" s="242"/>
      <c r="ULS67" s="242"/>
      <c r="ULT67" s="242"/>
      <c r="ULU67" s="242"/>
      <c r="ULV67" s="242"/>
      <c r="ULW67" s="242"/>
      <c r="ULX67" s="242"/>
      <c r="ULY67" s="242"/>
      <c r="ULZ67" s="242"/>
      <c r="UMA67" s="108"/>
      <c r="UMB67" s="243"/>
      <c r="UMC67" s="243"/>
      <c r="UMD67" s="243"/>
      <c r="UME67" s="242"/>
      <c r="UMF67" s="242"/>
      <c r="UMG67" s="242"/>
      <c r="UMH67" s="242"/>
      <c r="UMI67" s="242"/>
      <c r="UMJ67" s="242"/>
      <c r="UMK67" s="242"/>
      <c r="UML67" s="242"/>
      <c r="UMM67" s="242"/>
      <c r="UMN67" s="108"/>
      <c r="UMO67" s="243"/>
      <c r="UMP67" s="243"/>
      <c r="UMQ67" s="243"/>
      <c r="UMR67" s="242"/>
      <c r="UMS67" s="242"/>
      <c r="UMT67" s="242"/>
      <c r="UMU67" s="242"/>
      <c r="UMV67" s="242"/>
      <c r="UMW67" s="242"/>
      <c r="UMX67" s="242"/>
      <c r="UMY67" s="242"/>
      <c r="UMZ67" s="242"/>
      <c r="UNA67" s="108"/>
      <c r="UNB67" s="243"/>
      <c r="UNC67" s="243"/>
      <c r="UND67" s="243"/>
      <c r="UNE67" s="242"/>
      <c r="UNF67" s="242"/>
      <c r="UNG67" s="242"/>
      <c r="UNH67" s="242"/>
      <c r="UNI67" s="242"/>
      <c r="UNJ67" s="242"/>
      <c r="UNK67" s="242"/>
      <c r="UNL67" s="242"/>
      <c r="UNM67" s="242"/>
      <c r="UNN67" s="108"/>
      <c r="UNO67" s="243"/>
      <c r="UNP67" s="243"/>
      <c r="UNQ67" s="243"/>
      <c r="UNR67" s="242"/>
      <c r="UNS67" s="242"/>
      <c r="UNT67" s="242"/>
      <c r="UNU67" s="242"/>
      <c r="UNV67" s="242"/>
      <c r="UNW67" s="242"/>
      <c r="UNX67" s="242"/>
      <c r="UNY67" s="242"/>
      <c r="UNZ67" s="242"/>
      <c r="UOA67" s="108"/>
      <c r="UOB67" s="243"/>
      <c r="UOC67" s="243"/>
      <c r="UOD67" s="243"/>
      <c r="UOE67" s="242"/>
      <c r="UOF67" s="242"/>
      <c r="UOG67" s="242"/>
      <c r="UOH67" s="242"/>
      <c r="UOI67" s="242"/>
      <c r="UOJ67" s="242"/>
      <c r="UOK67" s="242"/>
      <c r="UOL67" s="242"/>
      <c r="UOM67" s="242"/>
      <c r="UON67" s="108"/>
      <c r="UOO67" s="243"/>
      <c r="UOP67" s="243"/>
      <c r="UOQ67" s="243"/>
      <c r="UOR67" s="242"/>
      <c r="UOS67" s="242"/>
      <c r="UOT67" s="242"/>
      <c r="UOU67" s="242"/>
      <c r="UOV67" s="242"/>
      <c r="UOW67" s="242"/>
      <c r="UOX67" s="242"/>
      <c r="UOY67" s="242"/>
      <c r="UOZ67" s="242"/>
      <c r="UPA67" s="108"/>
      <c r="UPB67" s="243"/>
      <c r="UPC67" s="243"/>
      <c r="UPD67" s="243"/>
      <c r="UPE67" s="242"/>
      <c r="UPF67" s="242"/>
      <c r="UPG67" s="242"/>
      <c r="UPH67" s="242"/>
      <c r="UPI67" s="242"/>
      <c r="UPJ67" s="242"/>
      <c r="UPK67" s="242"/>
      <c r="UPL67" s="242"/>
      <c r="UPM67" s="242"/>
      <c r="UPN67" s="108"/>
      <c r="UPO67" s="243"/>
      <c r="UPP67" s="243"/>
      <c r="UPQ67" s="243"/>
      <c r="UPR67" s="242"/>
      <c r="UPS67" s="242"/>
      <c r="UPT67" s="242"/>
      <c r="UPU67" s="242"/>
      <c r="UPV67" s="242"/>
      <c r="UPW67" s="242"/>
      <c r="UPX67" s="242"/>
      <c r="UPY67" s="242"/>
      <c r="UPZ67" s="242"/>
      <c r="UQA67" s="108"/>
      <c r="UQB67" s="243"/>
      <c r="UQC67" s="243"/>
      <c r="UQD67" s="243"/>
      <c r="UQE67" s="242"/>
      <c r="UQF67" s="242"/>
      <c r="UQG67" s="242"/>
      <c r="UQH67" s="242"/>
      <c r="UQI67" s="242"/>
      <c r="UQJ67" s="242"/>
      <c r="UQK67" s="242"/>
      <c r="UQL67" s="242"/>
      <c r="UQM67" s="242"/>
      <c r="UQN67" s="108"/>
      <c r="UQO67" s="243"/>
      <c r="UQP67" s="243"/>
      <c r="UQQ67" s="243"/>
      <c r="UQR67" s="242"/>
      <c r="UQS67" s="242"/>
      <c r="UQT67" s="242"/>
      <c r="UQU67" s="242"/>
      <c r="UQV67" s="242"/>
      <c r="UQW67" s="242"/>
      <c r="UQX67" s="242"/>
      <c r="UQY67" s="242"/>
      <c r="UQZ67" s="242"/>
      <c r="URA67" s="108"/>
      <c r="URB67" s="243"/>
      <c r="URC67" s="243"/>
      <c r="URD67" s="243"/>
      <c r="URE67" s="242"/>
      <c r="URF67" s="242"/>
      <c r="URG67" s="242"/>
      <c r="URH67" s="242"/>
      <c r="URI67" s="242"/>
      <c r="URJ67" s="242"/>
      <c r="URK67" s="242"/>
      <c r="URL67" s="242"/>
      <c r="URM67" s="242"/>
      <c r="URN67" s="108"/>
      <c r="URO67" s="243"/>
      <c r="URP67" s="243"/>
      <c r="URQ67" s="243"/>
      <c r="URR67" s="242"/>
      <c r="URS67" s="242"/>
      <c r="URT67" s="242"/>
      <c r="URU67" s="242"/>
      <c r="URV67" s="242"/>
      <c r="URW67" s="242"/>
      <c r="URX67" s="242"/>
      <c r="URY67" s="242"/>
      <c r="URZ67" s="242"/>
      <c r="USA67" s="108"/>
      <c r="USB67" s="243"/>
      <c r="USC67" s="243"/>
      <c r="USD67" s="243"/>
      <c r="USE67" s="242"/>
      <c r="USF67" s="242"/>
      <c r="USG67" s="242"/>
      <c r="USH67" s="242"/>
      <c r="USI67" s="242"/>
      <c r="USJ67" s="242"/>
      <c r="USK67" s="242"/>
      <c r="USL67" s="242"/>
      <c r="USM67" s="242"/>
      <c r="USN67" s="108"/>
      <c r="USO67" s="243"/>
      <c r="USP67" s="243"/>
      <c r="USQ67" s="243"/>
      <c r="USR67" s="242"/>
      <c r="USS67" s="242"/>
      <c r="UST67" s="242"/>
      <c r="USU67" s="242"/>
      <c r="USV67" s="242"/>
      <c r="USW67" s="242"/>
      <c r="USX67" s="242"/>
      <c r="USY67" s="242"/>
      <c r="USZ67" s="242"/>
      <c r="UTA67" s="108"/>
      <c r="UTB67" s="243"/>
      <c r="UTC67" s="243"/>
      <c r="UTD67" s="243"/>
      <c r="UTE67" s="242"/>
      <c r="UTF67" s="242"/>
      <c r="UTG67" s="242"/>
      <c r="UTH67" s="242"/>
      <c r="UTI67" s="242"/>
      <c r="UTJ67" s="242"/>
      <c r="UTK67" s="242"/>
      <c r="UTL67" s="242"/>
      <c r="UTM67" s="242"/>
      <c r="UTN67" s="108"/>
      <c r="UTO67" s="243"/>
      <c r="UTP67" s="243"/>
      <c r="UTQ67" s="243"/>
      <c r="UTR67" s="242"/>
      <c r="UTS67" s="242"/>
      <c r="UTT67" s="242"/>
      <c r="UTU67" s="242"/>
      <c r="UTV67" s="242"/>
      <c r="UTW67" s="242"/>
      <c r="UTX67" s="242"/>
      <c r="UTY67" s="242"/>
      <c r="UTZ67" s="242"/>
      <c r="UUA67" s="108"/>
      <c r="UUB67" s="243"/>
      <c r="UUC67" s="243"/>
      <c r="UUD67" s="243"/>
      <c r="UUE67" s="242"/>
      <c r="UUF67" s="242"/>
      <c r="UUG67" s="242"/>
      <c r="UUH67" s="242"/>
      <c r="UUI67" s="242"/>
      <c r="UUJ67" s="242"/>
      <c r="UUK67" s="242"/>
      <c r="UUL67" s="242"/>
      <c r="UUM67" s="242"/>
      <c r="UUN67" s="108"/>
      <c r="UUO67" s="243"/>
      <c r="UUP67" s="243"/>
      <c r="UUQ67" s="243"/>
      <c r="UUR67" s="242"/>
      <c r="UUS67" s="242"/>
      <c r="UUT67" s="242"/>
      <c r="UUU67" s="242"/>
      <c r="UUV67" s="242"/>
      <c r="UUW67" s="242"/>
      <c r="UUX67" s="242"/>
      <c r="UUY67" s="242"/>
      <c r="UUZ67" s="242"/>
      <c r="UVA67" s="108"/>
      <c r="UVB67" s="243"/>
      <c r="UVC67" s="243"/>
      <c r="UVD67" s="243"/>
      <c r="UVE67" s="242"/>
      <c r="UVF67" s="242"/>
      <c r="UVG67" s="242"/>
      <c r="UVH67" s="242"/>
      <c r="UVI67" s="242"/>
      <c r="UVJ67" s="242"/>
      <c r="UVK67" s="242"/>
      <c r="UVL67" s="242"/>
      <c r="UVM67" s="242"/>
      <c r="UVN67" s="108"/>
      <c r="UVO67" s="243"/>
      <c r="UVP67" s="243"/>
      <c r="UVQ67" s="243"/>
      <c r="UVR67" s="242"/>
      <c r="UVS67" s="242"/>
      <c r="UVT67" s="242"/>
      <c r="UVU67" s="242"/>
      <c r="UVV67" s="242"/>
      <c r="UVW67" s="242"/>
      <c r="UVX67" s="242"/>
      <c r="UVY67" s="242"/>
      <c r="UVZ67" s="242"/>
      <c r="UWA67" s="108"/>
      <c r="UWB67" s="243"/>
      <c r="UWC67" s="243"/>
      <c r="UWD67" s="243"/>
      <c r="UWE67" s="242"/>
      <c r="UWF67" s="242"/>
      <c r="UWG67" s="242"/>
      <c r="UWH67" s="242"/>
      <c r="UWI67" s="242"/>
      <c r="UWJ67" s="242"/>
      <c r="UWK67" s="242"/>
      <c r="UWL67" s="242"/>
      <c r="UWM67" s="242"/>
      <c r="UWN67" s="108"/>
      <c r="UWO67" s="243"/>
      <c r="UWP67" s="243"/>
      <c r="UWQ67" s="243"/>
      <c r="UWR67" s="242"/>
      <c r="UWS67" s="242"/>
      <c r="UWT67" s="242"/>
      <c r="UWU67" s="242"/>
      <c r="UWV67" s="242"/>
      <c r="UWW67" s="242"/>
      <c r="UWX67" s="242"/>
      <c r="UWY67" s="242"/>
      <c r="UWZ67" s="242"/>
      <c r="UXA67" s="108"/>
      <c r="UXB67" s="243"/>
      <c r="UXC67" s="243"/>
      <c r="UXD67" s="243"/>
      <c r="UXE67" s="242"/>
      <c r="UXF67" s="242"/>
      <c r="UXG67" s="242"/>
      <c r="UXH67" s="242"/>
      <c r="UXI67" s="242"/>
      <c r="UXJ67" s="242"/>
      <c r="UXK67" s="242"/>
      <c r="UXL67" s="242"/>
      <c r="UXM67" s="242"/>
      <c r="UXN67" s="108"/>
      <c r="UXO67" s="243"/>
      <c r="UXP67" s="243"/>
      <c r="UXQ67" s="243"/>
      <c r="UXR67" s="242"/>
      <c r="UXS67" s="242"/>
      <c r="UXT67" s="242"/>
      <c r="UXU67" s="242"/>
      <c r="UXV67" s="242"/>
      <c r="UXW67" s="242"/>
      <c r="UXX67" s="242"/>
      <c r="UXY67" s="242"/>
      <c r="UXZ67" s="242"/>
      <c r="UYA67" s="108"/>
      <c r="UYB67" s="243"/>
      <c r="UYC67" s="243"/>
      <c r="UYD67" s="243"/>
      <c r="UYE67" s="242"/>
      <c r="UYF67" s="242"/>
      <c r="UYG67" s="242"/>
      <c r="UYH67" s="242"/>
      <c r="UYI67" s="242"/>
      <c r="UYJ67" s="242"/>
      <c r="UYK67" s="242"/>
      <c r="UYL67" s="242"/>
      <c r="UYM67" s="242"/>
      <c r="UYN67" s="108"/>
      <c r="UYO67" s="243"/>
      <c r="UYP67" s="243"/>
      <c r="UYQ67" s="243"/>
      <c r="UYR67" s="242"/>
      <c r="UYS67" s="242"/>
      <c r="UYT67" s="242"/>
      <c r="UYU67" s="242"/>
      <c r="UYV67" s="242"/>
      <c r="UYW67" s="242"/>
      <c r="UYX67" s="242"/>
      <c r="UYY67" s="242"/>
      <c r="UYZ67" s="242"/>
      <c r="UZA67" s="108"/>
      <c r="UZB67" s="243"/>
      <c r="UZC67" s="243"/>
      <c r="UZD67" s="243"/>
      <c r="UZE67" s="242"/>
      <c r="UZF67" s="242"/>
      <c r="UZG67" s="242"/>
      <c r="UZH67" s="242"/>
      <c r="UZI67" s="242"/>
      <c r="UZJ67" s="242"/>
      <c r="UZK67" s="242"/>
      <c r="UZL67" s="242"/>
      <c r="UZM67" s="242"/>
      <c r="UZN67" s="108"/>
      <c r="UZO67" s="243"/>
      <c r="UZP67" s="243"/>
      <c r="UZQ67" s="243"/>
      <c r="UZR67" s="242"/>
      <c r="UZS67" s="242"/>
      <c r="UZT67" s="242"/>
      <c r="UZU67" s="242"/>
      <c r="UZV67" s="242"/>
      <c r="UZW67" s="242"/>
      <c r="UZX67" s="242"/>
      <c r="UZY67" s="242"/>
      <c r="UZZ67" s="242"/>
      <c r="VAA67" s="108"/>
      <c r="VAB67" s="243"/>
      <c r="VAC67" s="243"/>
      <c r="VAD67" s="243"/>
      <c r="VAE67" s="242"/>
      <c r="VAF67" s="242"/>
      <c r="VAG67" s="242"/>
      <c r="VAH67" s="242"/>
      <c r="VAI67" s="242"/>
      <c r="VAJ67" s="242"/>
      <c r="VAK67" s="242"/>
      <c r="VAL67" s="242"/>
      <c r="VAM67" s="242"/>
      <c r="VAN67" s="108"/>
      <c r="VAO67" s="243"/>
      <c r="VAP67" s="243"/>
      <c r="VAQ67" s="243"/>
      <c r="VAR67" s="242"/>
      <c r="VAS67" s="242"/>
      <c r="VAT67" s="242"/>
      <c r="VAU67" s="242"/>
      <c r="VAV67" s="242"/>
      <c r="VAW67" s="242"/>
      <c r="VAX67" s="242"/>
      <c r="VAY67" s="242"/>
      <c r="VAZ67" s="242"/>
      <c r="VBA67" s="108"/>
      <c r="VBB67" s="243"/>
      <c r="VBC67" s="243"/>
      <c r="VBD67" s="243"/>
      <c r="VBE67" s="242"/>
      <c r="VBF67" s="242"/>
      <c r="VBG67" s="242"/>
      <c r="VBH67" s="242"/>
      <c r="VBI67" s="242"/>
      <c r="VBJ67" s="242"/>
      <c r="VBK67" s="242"/>
      <c r="VBL67" s="242"/>
      <c r="VBM67" s="242"/>
      <c r="VBN67" s="108"/>
      <c r="VBO67" s="243"/>
      <c r="VBP67" s="243"/>
      <c r="VBQ67" s="243"/>
      <c r="VBR67" s="242"/>
      <c r="VBS67" s="242"/>
      <c r="VBT67" s="242"/>
      <c r="VBU67" s="242"/>
      <c r="VBV67" s="242"/>
      <c r="VBW67" s="242"/>
      <c r="VBX67" s="242"/>
      <c r="VBY67" s="242"/>
      <c r="VBZ67" s="242"/>
      <c r="VCA67" s="108"/>
      <c r="VCB67" s="243"/>
      <c r="VCC67" s="243"/>
      <c r="VCD67" s="243"/>
      <c r="VCE67" s="242"/>
      <c r="VCF67" s="242"/>
      <c r="VCG67" s="242"/>
      <c r="VCH67" s="242"/>
      <c r="VCI67" s="242"/>
      <c r="VCJ67" s="242"/>
      <c r="VCK67" s="242"/>
      <c r="VCL67" s="242"/>
      <c r="VCM67" s="242"/>
      <c r="VCN67" s="108"/>
      <c r="VCO67" s="243"/>
      <c r="VCP67" s="243"/>
      <c r="VCQ67" s="243"/>
      <c r="VCR67" s="242"/>
      <c r="VCS67" s="242"/>
      <c r="VCT67" s="242"/>
      <c r="VCU67" s="242"/>
      <c r="VCV67" s="242"/>
      <c r="VCW67" s="242"/>
      <c r="VCX67" s="242"/>
      <c r="VCY67" s="242"/>
      <c r="VCZ67" s="242"/>
      <c r="VDA67" s="108"/>
      <c r="VDB67" s="243"/>
      <c r="VDC67" s="243"/>
      <c r="VDD67" s="243"/>
      <c r="VDE67" s="242"/>
      <c r="VDF67" s="242"/>
      <c r="VDG67" s="242"/>
      <c r="VDH67" s="242"/>
      <c r="VDI67" s="242"/>
      <c r="VDJ67" s="242"/>
      <c r="VDK67" s="242"/>
      <c r="VDL67" s="242"/>
      <c r="VDM67" s="242"/>
      <c r="VDN67" s="108"/>
      <c r="VDO67" s="243"/>
      <c r="VDP67" s="243"/>
      <c r="VDQ67" s="243"/>
      <c r="VDR67" s="242"/>
      <c r="VDS67" s="242"/>
      <c r="VDT67" s="242"/>
      <c r="VDU67" s="242"/>
      <c r="VDV67" s="242"/>
      <c r="VDW67" s="242"/>
      <c r="VDX67" s="242"/>
      <c r="VDY67" s="242"/>
      <c r="VDZ67" s="242"/>
      <c r="VEA67" s="108"/>
      <c r="VEB67" s="243"/>
      <c r="VEC67" s="243"/>
      <c r="VED67" s="243"/>
      <c r="VEE67" s="242"/>
      <c r="VEF67" s="242"/>
      <c r="VEG67" s="242"/>
      <c r="VEH67" s="242"/>
      <c r="VEI67" s="242"/>
      <c r="VEJ67" s="242"/>
      <c r="VEK67" s="242"/>
      <c r="VEL67" s="242"/>
      <c r="VEM67" s="242"/>
      <c r="VEN67" s="108"/>
      <c r="VEO67" s="243"/>
      <c r="VEP67" s="243"/>
      <c r="VEQ67" s="243"/>
      <c r="VER67" s="242"/>
      <c r="VES67" s="242"/>
      <c r="VET67" s="242"/>
      <c r="VEU67" s="242"/>
      <c r="VEV67" s="242"/>
      <c r="VEW67" s="242"/>
      <c r="VEX67" s="242"/>
      <c r="VEY67" s="242"/>
      <c r="VEZ67" s="242"/>
      <c r="VFA67" s="108"/>
      <c r="VFB67" s="243"/>
      <c r="VFC67" s="243"/>
      <c r="VFD67" s="243"/>
      <c r="VFE67" s="242"/>
      <c r="VFF67" s="242"/>
      <c r="VFG67" s="242"/>
      <c r="VFH67" s="242"/>
      <c r="VFI67" s="242"/>
      <c r="VFJ67" s="242"/>
      <c r="VFK67" s="242"/>
      <c r="VFL67" s="242"/>
      <c r="VFM67" s="242"/>
      <c r="VFN67" s="108"/>
      <c r="VFO67" s="243"/>
      <c r="VFP67" s="243"/>
      <c r="VFQ67" s="243"/>
      <c r="VFR67" s="242"/>
      <c r="VFS67" s="242"/>
      <c r="VFT67" s="242"/>
      <c r="VFU67" s="242"/>
      <c r="VFV67" s="242"/>
      <c r="VFW67" s="242"/>
      <c r="VFX67" s="242"/>
      <c r="VFY67" s="242"/>
      <c r="VFZ67" s="242"/>
      <c r="VGA67" s="108"/>
      <c r="VGB67" s="243"/>
      <c r="VGC67" s="243"/>
      <c r="VGD67" s="243"/>
      <c r="VGE67" s="242"/>
      <c r="VGF67" s="242"/>
      <c r="VGG67" s="242"/>
      <c r="VGH67" s="242"/>
      <c r="VGI67" s="242"/>
      <c r="VGJ67" s="242"/>
      <c r="VGK67" s="242"/>
      <c r="VGL67" s="242"/>
      <c r="VGM67" s="242"/>
      <c r="VGN67" s="108"/>
      <c r="VGO67" s="243"/>
      <c r="VGP67" s="243"/>
      <c r="VGQ67" s="243"/>
      <c r="VGR67" s="242"/>
      <c r="VGS67" s="242"/>
      <c r="VGT67" s="242"/>
      <c r="VGU67" s="242"/>
      <c r="VGV67" s="242"/>
      <c r="VGW67" s="242"/>
      <c r="VGX67" s="242"/>
      <c r="VGY67" s="242"/>
      <c r="VGZ67" s="242"/>
      <c r="VHA67" s="108"/>
      <c r="VHB67" s="243"/>
      <c r="VHC67" s="243"/>
      <c r="VHD67" s="243"/>
      <c r="VHE67" s="242"/>
      <c r="VHF67" s="242"/>
      <c r="VHG67" s="242"/>
      <c r="VHH67" s="242"/>
      <c r="VHI67" s="242"/>
      <c r="VHJ67" s="242"/>
      <c r="VHK67" s="242"/>
      <c r="VHL67" s="242"/>
      <c r="VHM67" s="242"/>
      <c r="VHN67" s="108"/>
      <c r="VHO67" s="243"/>
      <c r="VHP67" s="243"/>
      <c r="VHQ67" s="243"/>
      <c r="VHR67" s="242"/>
      <c r="VHS67" s="242"/>
      <c r="VHT67" s="242"/>
      <c r="VHU67" s="242"/>
      <c r="VHV67" s="242"/>
      <c r="VHW67" s="242"/>
      <c r="VHX67" s="242"/>
      <c r="VHY67" s="242"/>
      <c r="VHZ67" s="242"/>
      <c r="VIA67" s="108"/>
      <c r="VIB67" s="243"/>
      <c r="VIC67" s="243"/>
      <c r="VID67" s="243"/>
      <c r="VIE67" s="242"/>
      <c r="VIF67" s="242"/>
      <c r="VIG67" s="242"/>
      <c r="VIH67" s="242"/>
      <c r="VII67" s="242"/>
      <c r="VIJ67" s="242"/>
      <c r="VIK67" s="242"/>
      <c r="VIL67" s="242"/>
      <c r="VIM67" s="242"/>
      <c r="VIN67" s="108"/>
      <c r="VIO67" s="243"/>
      <c r="VIP67" s="243"/>
      <c r="VIQ67" s="243"/>
      <c r="VIR67" s="242"/>
      <c r="VIS67" s="242"/>
      <c r="VIT67" s="242"/>
      <c r="VIU67" s="242"/>
      <c r="VIV67" s="242"/>
      <c r="VIW67" s="242"/>
      <c r="VIX67" s="242"/>
      <c r="VIY67" s="242"/>
      <c r="VIZ67" s="242"/>
      <c r="VJA67" s="108"/>
      <c r="VJB67" s="243"/>
      <c r="VJC67" s="243"/>
      <c r="VJD67" s="243"/>
      <c r="VJE67" s="242"/>
      <c r="VJF67" s="242"/>
      <c r="VJG67" s="242"/>
      <c r="VJH67" s="242"/>
      <c r="VJI67" s="242"/>
      <c r="VJJ67" s="242"/>
      <c r="VJK67" s="242"/>
      <c r="VJL67" s="242"/>
      <c r="VJM67" s="242"/>
      <c r="VJN67" s="108"/>
      <c r="VJO67" s="243"/>
      <c r="VJP67" s="243"/>
      <c r="VJQ67" s="243"/>
      <c r="VJR67" s="242"/>
      <c r="VJS67" s="242"/>
      <c r="VJT67" s="242"/>
      <c r="VJU67" s="242"/>
      <c r="VJV67" s="242"/>
      <c r="VJW67" s="242"/>
      <c r="VJX67" s="242"/>
      <c r="VJY67" s="242"/>
      <c r="VJZ67" s="242"/>
      <c r="VKA67" s="108"/>
      <c r="VKB67" s="243"/>
      <c r="VKC67" s="243"/>
      <c r="VKD67" s="243"/>
      <c r="VKE67" s="242"/>
      <c r="VKF67" s="242"/>
      <c r="VKG67" s="242"/>
      <c r="VKH67" s="242"/>
      <c r="VKI67" s="242"/>
      <c r="VKJ67" s="242"/>
      <c r="VKK67" s="242"/>
      <c r="VKL67" s="242"/>
      <c r="VKM67" s="242"/>
      <c r="VKN67" s="108"/>
      <c r="VKO67" s="243"/>
      <c r="VKP67" s="243"/>
      <c r="VKQ67" s="243"/>
      <c r="VKR67" s="242"/>
      <c r="VKS67" s="242"/>
      <c r="VKT67" s="242"/>
      <c r="VKU67" s="242"/>
      <c r="VKV67" s="242"/>
      <c r="VKW67" s="242"/>
      <c r="VKX67" s="242"/>
      <c r="VKY67" s="242"/>
      <c r="VKZ67" s="242"/>
      <c r="VLA67" s="108"/>
      <c r="VLB67" s="243"/>
      <c r="VLC67" s="243"/>
      <c r="VLD67" s="243"/>
      <c r="VLE67" s="242"/>
      <c r="VLF67" s="242"/>
      <c r="VLG67" s="242"/>
      <c r="VLH67" s="242"/>
      <c r="VLI67" s="242"/>
      <c r="VLJ67" s="242"/>
      <c r="VLK67" s="242"/>
      <c r="VLL67" s="242"/>
      <c r="VLM67" s="242"/>
      <c r="VLN67" s="108"/>
      <c r="VLO67" s="243"/>
      <c r="VLP67" s="243"/>
      <c r="VLQ67" s="243"/>
      <c r="VLR67" s="242"/>
      <c r="VLS67" s="242"/>
      <c r="VLT67" s="242"/>
      <c r="VLU67" s="242"/>
      <c r="VLV67" s="242"/>
      <c r="VLW67" s="242"/>
      <c r="VLX67" s="242"/>
      <c r="VLY67" s="242"/>
      <c r="VLZ67" s="242"/>
      <c r="VMA67" s="108"/>
      <c r="VMB67" s="243"/>
      <c r="VMC67" s="243"/>
      <c r="VMD67" s="243"/>
      <c r="VME67" s="242"/>
      <c r="VMF67" s="242"/>
      <c r="VMG67" s="242"/>
      <c r="VMH67" s="242"/>
      <c r="VMI67" s="242"/>
      <c r="VMJ67" s="242"/>
      <c r="VMK67" s="242"/>
      <c r="VML67" s="242"/>
      <c r="VMM67" s="242"/>
      <c r="VMN67" s="108"/>
      <c r="VMO67" s="243"/>
      <c r="VMP67" s="243"/>
      <c r="VMQ67" s="243"/>
      <c r="VMR67" s="242"/>
      <c r="VMS67" s="242"/>
      <c r="VMT67" s="242"/>
      <c r="VMU67" s="242"/>
      <c r="VMV67" s="242"/>
      <c r="VMW67" s="242"/>
      <c r="VMX67" s="242"/>
      <c r="VMY67" s="242"/>
      <c r="VMZ67" s="242"/>
      <c r="VNA67" s="108"/>
      <c r="VNB67" s="243"/>
      <c r="VNC67" s="243"/>
      <c r="VND67" s="243"/>
      <c r="VNE67" s="242"/>
      <c r="VNF67" s="242"/>
      <c r="VNG67" s="242"/>
      <c r="VNH67" s="242"/>
      <c r="VNI67" s="242"/>
      <c r="VNJ67" s="242"/>
      <c r="VNK67" s="242"/>
      <c r="VNL67" s="242"/>
      <c r="VNM67" s="242"/>
      <c r="VNN67" s="108"/>
      <c r="VNO67" s="243"/>
      <c r="VNP67" s="243"/>
      <c r="VNQ67" s="243"/>
      <c r="VNR67" s="242"/>
      <c r="VNS67" s="242"/>
      <c r="VNT67" s="242"/>
      <c r="VNU67" s="242"/>
      <c r="VNV67" s="242"/>
      <c r="VNW67" s="242"/>
      <c r="VNX67" s="242"/>
      <c r="VNY67" s="242"/>
      <c r="VNZ67" s="242"/>
      <c r="VOA67" s="108"/>
      <c r="VOB67" s="243"/>
      <c r="VOC67" s="243"/>
      <c r="VOD67" s="243"/>
      <c r="VOE67" s="242"/>
      <c r="VOF67" s="242"/>
      <c r="VOG67" s="242"/>
      <c r="VOH67" s="242"/>
      <c r="VOI67" s="242"/>
      <c r="VOJ67" s="242"/>
      <c r="VOK67" s="242"/>
      <c r="VOL67" s="242"/>
      <c r="VOM67" s="242"/>
      <c r="VON67" s="108"/>
      <c r="VOO67" s="243"/>
      <c r="VOP67" s="243"/>
      <c r="VOQ67" s="243"/>
      <c r="VOR67" s="242"/>
      <c r="VOS67" s="242"/>
      <c r="VOT67" s="242"/>
      <c r="VOU67" s="242"/>
      <c r="VOV67" s="242"/>
      <c r="VOW67" s="242"/>
      <c r="VOX67" s="242"/>
      <c r="VOY67" s="242"/>
      <c r="VOZ67" s="242"/>
      <c r="VPA67" s="108"/>
      <c r="VPB67" s="243"/>
      <c r="VPC67" s="243"/>
      <c r="VPD67" s="243"/>
      <c r="VPE67" s="242"/>
      <c r="VPF67" s="242"/>
      <c r="VPG67" s="242"/>
      <c r="VPH67" s="242"/>
      <c r="VPI67" s="242"/>
      <c r="VPJ67" s="242"/>
      <c r="VPK67" s="242"/>
      <c r="VPL67" s="242"/>
      <c r="VPM67" s="242"/>
      <c r="VPN67" s="108"/>
      <c r="VPO67" s="243"/>
      <c r="VPP67" s="243"/>
      <c r="VPQ67" s="243"/>
      <c r="VPR67" s="242"/>
      <c r="VPS67" s="242"/>
      <c r="VPT67" s="242"/>
      <c r="VPU67" s="242"/>
      <c r="VPV67" s="242"/>
      <c r="VPW67" s="242"/>
      <c r="VPX67" s="242"/>
      <c r="VPY67" s="242"/>
      <c r="VPZ67" s="242"/>
      <c r="VQA67" s="108"/>
      <c r="VQB67" s="243"/>
      <c r="VQC67" s="243"/>
      <c r="VQD67" s="243"/>
      <c r="VQE67" s="242"/>
      <c r="VQF67" s="242"/>
      <c r="VQG67" s="242"/>
      <c r="VQH67" s="242"/>
      <c r="VQI67" s="242"/>
      <c r="VQJ67" s="242"/>
      <c r="VQK67" s="242"/>
      <c r="VQL67" s="242"/>
      <c r="VQM67" s="242"/>
      <c r="VQN67" s="108"/>
      <c r="VQO67" s="243"/>
      <c r="VQP67" s="243"/>
      <c r="VQQ67" s="243"/>
      <c r="VQR67" s="242"/>
      <c r="VQS67" s="242"/>
      <c r="VQT67" s="242"/>
      <c r="VQU67" s="242"/>
      <c r="VQV67" s="242"/>
      <c r="VQW67" s="242"/>
      <c r="VQX67" s="242"/>
      <c r="VQY67" s="242"/>
      <c r="VQZ67" s="242"/>
      <c r="VRA67" s="108"/>
      <c r="VRB67" s="243"/>
      <c r="VRC67" s="243"/>
      <c r="VRD67" s="243"/>
      <c r="VRE67" s="242"/>
      <c r="VRF67" s="242"/>
      <c r="VRG67" s="242"/>
      <c r="VRH67" s="242"/>
      <c r="VRI67" s="242"/>
      <c r="VRJ67" s="242"/>
      <c r="VRK67" s="242"/>
      <c r="VRL67" s="242"/>
      <c r="VRM67" s="242"/>
      <c r="VRN67" s="108"/>
      <c r="VRO67" s="243"/>
      <c r="VRP67" s="243"/>
      <c r="VRQ67" s="243"/>
      <c r="VRR67" s="242"/>
      <c r="VRS67" s="242"/>
      <c r="VRT67" s="242"/>
      <c r="VRU67" s="242"/>
      <c r="VRV67" s="242"/>
      <c r="VRW67" s="242"/>
      <c r="VRX67" s="242"/>
      <c r="VRY67" s="242"/>
      <c r="VRZ67" s="242"/>
      <c r="VSA67" s="108"/>
      <c r="VSB67" s="243"/>
      <c r="VSC67" s="243"/>
      <c r="VSD67" s="243"/>
      <c r="VSE67" s="242"/>
      <c r="VSF67" s="242"/>
      <c r="VSG67" s="242"/>
      <c r="VSH67" s="242"/>
      <c r="VSI67" s="242"/>
      <c r="VSJ67" s="242"/>
      <c r="VSK67" s="242"/>
      <c r="VSL67" s="242"/>
      <c r="VSM67" s="242"/>
      <c r="VSN67" s="108"/>
      <c r="VSO67" s="243"/>
      <c r="VSP67" s="243"/>
      <c r="VSQ67" s="243"/>
      <c r="VSR67" s="242"/>
      <c r="VSS67" s="242"/>
      <c r="VST67" s="242"/>
      <c r="VSU67" s="242"/>
      <c r="VSV67" s="242"/>
      <c r="VSW67" s="242"/>
      <c r="VSX67" s="242"/>
      <c r="VSY67" s="242"/>
      <c r="VSZ67" s="242"/>
      <c r="VTA67" s="108"/>
      <c r="VTB67" s="243"/>
      <c r="VTC67" s="243"/>
      <c r="VTD67" s="243"/>
      <c r="VTE67" s="242"/>
      <c r="VTF67" s="242"/>
      <c r="VTG67" s="242"/>
      <c r="VTH67" s="242"/>
      <c r="VTI67" s="242"/>
      <c r="VTJ67" s="242"/>
      <c r="VTK67" s="242"/>
      <c r="VTL67" s="242"/>
      <c r="VTM67" s="242"/>
      <c r="VTN67" s="108"/>
      <c r="VTO67" s="243"/>
      <c r="VTP67" s="243"/>
      <c r="VTQ67" s="243"/>
      <c r="VTR67" s="242"/>
      <c r="VTS67" s="242"/>
      <c r="VTT67" s="242"/>
      <c r="VTU67" s="242"/>
      <c r="VTV67" s="242"/>
      <c r="VTW67" s="242"/>
      <c r="VTX67" s="242"/>
      <c r="VTY67" s="242"/>
      <c r="VTZ67" s="242"/>
      <c r="VUA67" s="108"/>
      <c r="VUB67" s="243"/>
      <c r="VUC67" s="243"/>
      <c r="VUD67" s="243"/>
      <c r="VUE67" s="242"/>
      <c r="VUF67" s="242"/>
      <c r="VUG67" s="242"/>
      <c r="VUH67" s="242"/>
      <c r="VUI67" s="242"/>
      <c r="VUJ67" s="242"/>
      <c r="VUK67" s="242"/>
      <c r="VUL67" s="242"/>
      <c r="VUM67" s="242"/>
      <c r="VUN67" s="108"/>
      <c r="VUO67" s="243"/>
      <c r="VUP67" s="243"/>
      <c r="VUQ67" s="243"/>
      <c r="VUR67" s="242"/>
      <c r="VUS67" s="242"/>
      <c r="VUT67" s="242"/>
      <c r="VUU67" s="242"/>
      <c r="VUV67" s="242"/>
      <c r="VUW67" s="242"/>
      <c r="VUX67" s="242"/>
      <c r="VUY67" s="242"/>
      <c r="VUZ67" s="242"/>
      <c r="VVA67" s="108"/>
      <c r="VVB67" s="243"/>
      <c r="VVC67" s="243"/>
      <c r="VVD67" s="243"/>
      <c r="VVE67" s="242"/>
      <c r="VVF67" s="242"/>
      <c r="VVG67" s="242"/>
      <c r="VVH67" s="242"/>
      <c r="VVI67" s="242"/>
      <c r="VVJ67" s="242"/>
      <c r="VVK67" s="242"/>
      <c r="VVL67" s="242"/>
      <c r="VVM67" s="242"/>
      <c r="VVN67" s="108"/>
      <c r="VVO67" s="243"/>
      <c r="VVP67" s="243"/>
      <c r="VVQ67" s="243"/>
      <c r="VVR67" s="242"/>
      <c r="VVS67" s="242"/>
      <c r="VVT67" s="242"/>
      <c r="VVU67" s="242"/>
      <c r="VVV67" s="242"/>
      <c r="VVW67" s="242"/>
      <c r="VVX67" s="242"/>
      <c r="VVY67" s="242"/>
      <c r="VVZ67" s="242"/>
      <c r="VWA67" s="108"/>
      <c r="VWB67" s="243"/>
      <c r="VWC67" s="243"/>
      <c r="VWD67" s="243"/>
      <c r="VWE67" s="242"/>
      <c r="VWF67" s="242"/>
      <c r="VWG67" s="242"/>
      <c r="VWH67" s="242"/>
      <c r="VWI67" s="242"/>
      <c r="VWJ67" s="242"/>
      <c r="VWK67" s="242"/>
      <c r="VWL67" s="242"/>
      <c r="VWM67" s="242"/>
      <c r="VWN67" s="108"/>
      <c r="VWO67" s="243"/>
      <c r="VWP67" s="243"/>
      <c r="VWQ67" s="243"/>
      <c r="VWR67" s="242"/>
      <c r="VWS67" s="242"/>
      <c r="VWT67" s="242"/>
      <c r="VWU67" s="242"/>
      <c r="VWV67" s="242"/>
      <c r="VWW67" s="242"/>
      <c r="VWX67" s="242"/>
      <c r="VWY67" s="242"/>
      <c r="VWZ67" s="242"/>
      <c r="VXA67" s="108"/>
      <c r="VXB67" s="243"/>
      <c r="VXC67" s="243"/>
      <c r="VXD67" s="243"/>
      <c r="VXE67" s="242"/>
      <c r="VXF67" s="242"/>
      <c r="VXG67" s="242"/>
      <c r="VXH67" s="242"/>
      <c r="VXI67" s="242"/>
      <c r="VXJ67" s="242"/>
      <c r="VXK67" s="242"/>
      <c r="VXL67" s="242"/>
      <c r="VXM67" s="242"/>
      <c r="VXN67" s="108"/>
      <c r="VXO67" s="243"/>
      <c r="VXP67" s="243"/>
      <c r="VXQ67" s="243"/>
      <c r="VXR67" s="242"/>
      <c r="VXS67" s="242"/>
      <c r="VXT67" s="242"/>
      <c r="VXU67" s="242"/>
      <c r="VXV67" s="242"/>
      <c r="VXW67" s="242"/>
      <c r="VXX67" s="242"/>
      <c r="VXY67" s="242"/>
      <c r="VXZ67" s="242"/>
      <c r="VYA67" s="108"/>
      <c r="VYB67" s="243"/>
      <c r="VYC67" s="243"/>
      <c r="VYD67" s="243"/>
      <c r="VYE67" s="242"/>
      <c r="VYF67" s="242"/>
      <c r="VYG67" s="242"/>
      <c r="VYH67" s="242"/>
      <c r="VYI67" s="242"/>
      <c r="VYJ67" s="242"/>
      <c r="VYK67" s="242"/>
      <c r="VYL67" s="242"/>
      <c r="VYM67" s="242"/>
      <c r="VYN67" s="108"/>
      <c r="VYO67" s="243"/>
      <c r="VYP67" s="243"/>
      <c r="VYQ67" s="243"/>
      <c r="VYR67" s="242"/>
      <c r="VYS67" s="242"/>
      <c r="VYT67" s="242"/>
      <c r="VYU67" s="242"/>
      <c r="VYV67" s="242"/>
      <c r="VYW67" s="242"/>
      <c r="VYX67" s="242"/>
      <c r="VYY67" s="242"/>
      <c r="VYZ67" s="242"/>
      <c r="VZA67" s="108"/>
      <c r="VZB67" s="243"/>
      <c r="VZC67" s="243"/>
      <c r="VZD67" s="243"/>
      <c r="VZE67" s="242"/>
      <c r="VZF67" s="242"/>
      <c r="VZG67" s="242"/>
      <c r="VZH67" s="242"/>
      <c r="VZI67" s="242"/>
      <c r="VZJ67" s="242"/>
      <c r="VZK67" s="242"/>
      <c r="VZL67" s="242"/>
      <c r="VZM67" s="242"/>
      <c r="VZN67" s="108"/>
      <c r="VZO67" s="243"/>
      <c r="VZP67" s="243"/>
      <c r="VZQ67" s="243"/>
      <c r="VZR67" s="242"/>
      <c r="VZS67" s="242"/>
      <c r="VZT67" s="242"/>
      <c r="VZU67" s="242"/>
      <c r="VZV67" s="242"/>
      <c r="VZW67" s="242"/>
      <c r="VZX67" s="242"/>
      <c r="VZY67" s="242"/>
      <c r="VZZ67" s="242"/>
      <c r="WAA67" s="108"/>
      <c r="WAB67" s="243"/>
      <c r="WAC67" s="243"/>
      <c r="WAD67" s="243"/>
      <c r="WAE67" s="242"/>
      <c r="WAF67" s="242"/>
      <c r="WAG67" s="242"/>
      <c r="WAH67" s="242"/>
      <c r="WAI67" s="242"/>
      <c r="WAJ67" s="242"/>
      <c r="WAK67" s="242"/>
      <c r="WAL67" s="242"/>
      <c r="WAM67" s="242"/>
      <c r="WAN67" s="108"/>
      <c r="WAO67" s="243"/>
      <c r="WAP67" s="243"/>
      <c r="WAQ67" s="243"/>
      <c r="WAR67" s="242"/>
      <c r="WAS67" s="242"/>
      <c r="WAT67" s="242"/>
      <c r="WAU67" s="242"/>
      <c r="WAV67" s="242"/>
      <c r="WAW67" s="242"/>
      <c r="WAX67" s="242"/>
      <c r="WAY67" s="242"/>
      <c r="WAZ67" s="242"/>
      <c r="WBA67" s="108"/>
      <c r="WBB67" s="243"/>
      <c r="WBC67" s="243"/>
      <c r="WBD67" s="243"/>
      <c r="WBE67" s="242"/>
      <c r="WBF67" s="242"/>
      <c r="WBG67" s="242"/>
      <c r="WBH67" s="242"/>
      <c r="WBI67" s="242"/>
      <c r="WBJ67" s="242"/>
      <c r="WBK67" s="242"/>
      <c r="WBL67" s="242"/>
      <c r="WBM67" s="242"/>
      <c r="WBN67" s="108"/>
      <c r="WBO67" s="243"/>
      <c r="WBP67" s="243"/>
      <c r="WBQ67" s="243"/>
      <c r="WBR67" s="242"/>
      <c r="WBS67" s="242"/>
      <c r="WBT67" s="242"/>
      <c r="WBU67" s="242"/>
      <c r="WBV67" s="242"/>
      <c r="WBW67" s="242"/>
      <c r="WBX67" s="242"/>
      <c r="WBY67" s="242"/>
      <c r="WBZ67" s="242"/>
      <c r="WCA67" s="108"/>
      <c r="WCB67" s="243"/>
      <c r="WCC67" s="243"/>
      <c r="WCD67" s="243"/>
      <c r="WCE67" s="242"/>
      <c r="WCF67" s="242"/>
      <c r="WCG67" s="242"/>
      <c r="WCH67" s="242"/>
      <c r="WCI67" s="242"/>
      <c r="WCJ67" s="242"/>
      <c r="WCK67" s="242"/>
      <c r="WCL67" s="242"/>
      <c r="WCM67" s="242"/>
      <c r="WCN67" s="108"/>
      <c r="WCO67" s="243"/>
      <c r="WCP67" s="243"/>
      <c r="WCQ67" s="243"/>
      <c r="WCR67" s="242"/>
      <c r="WCS67" s="242"/>
      <c r="WCT67" s="242"/>
      <c r="WCU67" s="242"/>
      <c r="WCV67" s="242"/>
      <c r="WCW67" s="242"/>
      <c r="WCX67" s="242"/>
      <c r="WCY67" s="242"/>
      <c r="WCZ67" s="242"/>
      <c r="WDA67" s="108"/>
      <c r="WDB67" s="243"/>
      <c r="WDC67" s="243"/>
      <c r="WDD67" s="243"/>
      <c r="WDE67" s="242"/>
      <c r="WDF67" s="242"/>
      <c r="WDG67" s="242"/>
      <c r="WDH67" s="242"/>
      <c r="WDI67" s="242"/>
      <c r="WDJ67" s="242"/>
      <c r="WDK67" s="242"/>
      <c r="WDL67" s="242"/>
      <c r="WDM67" s="242"/>
      <c r="WDN67" s="108"/>
      <c r="WDO67" s="243"/>
      <c r="WDP67" s="243"/>
      <c r="WDQ67" s="243"/>
      <c r="WDR67" s="242"/>
      <c r="WDS67" s="242"/>
      <c r="WDT67" s="242"/>
      <c r="WDU67" s="242"/>
      <c r="WDV67" s="242"/>
      <c r="WDW67" s="242"/>
      <c r="WDX67" s="242"/>
      <c r="WDY67" s="242"/>
      <c r="WDZ67" s="242"/>
      <c r="WEA67" s="108"/>
      <c r="WEB67" s="243"/>
      <c r="WEC67" s="243"/>
      <c r="WED67" s="243"/>
      <c r="WEE67" s="242"/>
      <c r="WEF67" s="242"/>
      <c r="WEG67" s="242"/>
      <c r="WEH67" s="242"/>
      <c r="WEI67" s="242"/>
      <c r="WEJ67" s="242"/>
      <c r="WEK67" s="242"/>
      <c r="WEL67" s="242"/>
      <c r="WEM67" s="242"/>
      <c r="WEN67" s="108"/>
      <c r="WEO67" s="243"/>
      <c r="WEP67" s="243"/>
      <c r="WEQ67" s="243"/>
      <c r="WER67" s="242"/>
      <c r="WES67" s="242"/>
      <c r="WET67" s="242"/>
      <c r="WEU67" s="242"/>
      <c r="WEV67" s="242"/>
      <c r="WEW67" s="242"/>
      <c r="WEX67" s="242"/>
      <c r="WEY67" s="242"/>
      <c r="WEZ67" s="242"/>
      <c r="WFA67" s="108"/>
      <c r="WFB67" s="243"/>
      <c r="WFC67" s="243"/>
      <c r="WFD67" s="243"/>
      <c r="WFE67" s="242"/>
      <c r="WFF67" s="242"/>
      <c r="WFG67" s="242"/>
      <c r="WFH67" s="242"/>
      <c r="WFI67" s="242"/>
      <c r="WFJ67" s="242"/>
      <c r="WFK67" s="242"/>
      <c r="WFL67" s="242"/>
      <c r="WFM67" s="242"/>
      <c r="WFN67" s="108"/>
      <c r="WFO67" s="243"/>
      <c r="WFP67" s="243"/>
      <c r="WFQ67" s="243"/>
      <c r="WFR67" s="242"/>
      <c r="WFS67" s="242"/>
      <c r="WFT67" s="242"/>
      <c r="WFU67" s="242"/>
      <c r="WFV67" s="242"/>
      <c r="WFW67" s="242"/>
      <c r="WFX67" s="242"/>
      <c r="WFY67" s="242"/>
      <c r="WFZ67" s="242"/>
      <c r="WGA67" s="108"/>
      <c r="WGB67" s="243"/>
      <c r="WGC67" s="243"/>
      <c r="WGD67" s="243"/>
      <c r="WGE67" s="242"/>
      <c r="WGF67" s="242"/>
      <c r="WGG67" s="242"/>
      <c r="WGH67" s="242"/>
      <c r="WGI67" s="242"/>
      <c r="WGJ67" s="242"/>
      <c r="WGK67" s="242"/>
      <c r="WGL67" s="242"/>
      <c r="WGM67" s="242"/>
      <c r="WGN67" s="108"/>
      <c r="WGO67" s="243"/>
      <c r="WGP67" s="243"/>
      <c r="WGQ67" s="243"/>
      <c r="WGR67" s="242"/>
      <c r="WGS67" s="242"/>
      <c r="WGT67" s="242"/>
      <c r="WGU67" s="242"/>
      <c r="WGV67" s="242"/>
      <c r="WGW67" s="242"/>
      <c r="WGX67" s="242"/>
      <c r="WGY67" s="242"/>
      <c r="WGZ67" s="242"/>
      <c r="WHA67" s="108"/>
      <c r="WHB67" s="243"/>
      <c r="WHC67" s="243"/>
      <c r="WHD67" s="243"/>
      <c r="WHE67" s="242"/>
      <c r="WHF67" s="242"/>
      <c r="WHG67" s="242"/>
      <c r="WHH67" s="242"/>
      <c r="WHI67" s="242"/>
      <c r="WHJ67" s="242"/>
      <c r="WHK67" s="242"/>
      <c r="WHL67" s="242"/>
      <c r="WHM67" s="242"/>
      <c r="WHN67" s="108"/>
      <c r="WHO67" s="243"/>
      <c r="WHP67" s="243"/>
      <c r="WHQ67" s="243"/>
      <c r="WHR67" s="242"/>
      <c r="WHS67" s="242"/>
      <c r="WHT67" s="242"/>
      <c r="WHU67" s="242"/>
      <c r="WHV67" s="242"/>
      <c r="WHW67" s="242"/>
      <c r="WHX67" s="242"/>
      <c r="WHY67" s="242"/>
      <c r="WHZ67" s="242"/>
      <c r="WIA67" s="108"/>
      <c r="WIB67" s="243"/>
      <c r="WIC67" s="243"/>
      <c r="WID67" s="243"/>
      <c r="WIE67" s="242"/>
      <c r="WIF67" s="242"/>
      <c r="WIG67" s="242"/>
      <c r="WIH67" s="242"/>
      <c r="WII67" s="242"/>
      <c r="WIJ67" s="242"/>
      <c r="WIK67" s="242"/>
      <c r="WIL67" s="242"/>
      <c r="WIM67" s="242"/>
      <c r="WIN67" s="108"/>
      <c r="WIO67" s="243"/>
      <c r="WIP67" s="243"/>
      <c r="WIQ67" s="243"/>
      <c r="WIR67" s="242"/>
      <c r="WIS67" s="242"/>
      <c r="WIT67" s="242"/>
      <c r="WIU67" s="242"/>
      <c r="WIV67" s="242"/>
      <c r="WIW67" s="242"/>
      <c r="WIX67" s="242"/>
      <c r="WIY67" s="242"/>
      <c r="WIZ67" s="242"/>
      <c r="WJA67" s="108"/>
      <c r="WJB67" s="243"/>
      <c r="WJC67" s="243"/>
      <c r="WJD67" s="243"/>
      <c r="WJE67" s="242"/>
      <c r="WJF67" s="242"/>
      <c r="WJG67" s="242"/>
      <c r="WJH67" s="242"/>
      <c r="WJI67" s="242"/>
      <c r="WJJ67" s="242"/>
      <c r="WJK67" s="242"/>
      <c r="WJL67" s="242"/>
      <c r="WJM67" s="242"/>
      <c r="WJN67" s="108"/>
      <c r="WJO67" s="243"/>
      <c r="WJP67" s="243"/>
      <c r="WJQ67" s="243"/>
      <c r="WJR67" s="242"/>
      <c r="WJS67" s="242"/>
      <c r="WJT67" s="242"/>
      <c r="WJU67" s="242"/>
      <c r="WJV67" s="242"/>
      <c r="WJW67" s="242"/>
      <c r="WJX67" s="242"/>
      <c r="WJY67" s="242"/>
      <c r="WJZ67" s="242"/>
      <c r="WKA67" s="108"/>
      <c r="WKB67" s="243"/>
      <c r="WKC67" s="243"/>
      <c r="WKD67" s="243"/>
      <c r="WKE67" s="242"/>
      <c r="WKF67" s="242"/>
      <c r="WKG67" s="242"/>
      <c r="WKH67" s="242"/>
      <c r="WKI67" s="242"/>
      <c r="WKJ67" s="242"/>
      <c r="WKK67" s="242"/>
      <c r="WKL67" s="242"/>
      <c r="WKM67" s="242"/>
      <c r="WKN67" s="108"/>
      <c r="WKO67" s="243"/>
      <c r="WKP67" s="243"/>
      <c r="WKQ67" s="243"/>
      <c r="WKR67" s="242"/>
      <c r="WKS67" s="242"/>
      <c r="WKT67" s="242"/>
      <c r="WKU67" s="242"/>
      <c r="WKV67" s="242"/>
      <c r="WKW67" s="242"/>
      <c r="WKX67" s="242"/>
      <c r="WKY67" s="242"/>
      <c r="WKZ67" s="242"/>
      <c r="WLA67" s="108"/>
      <c r="WLB67" s="243"/>
      <c r="WLC67" s="243"/>
      <c r="WLD67" s="243"/>
      <c r="WLE67" s="242"/>
      <c r="WLF67" s="242"/>
      <c r="WLG67" s="242"/>
      <c r="WLH67" s="242"/>
      <c r="WLI67" s="242"/>
      <c r="WLJ67" s="242"/>
      <c r="WLK67" s="242"/>
      <c r="WLL67" s="242"/>
      <c r="WLM67" s="242"/>
      <c r="WLN67" s="108"/>
      <c r="WLO67" s="243"/>
      <c r="WLP67" s="243"/>
      <c r="WLQ67" s="243"/>
      <c r="WLR67" s="242"/>
      <c r="WLS67" s="242"/>
      <c r="WLT67" s="242"/>
      <c r="WLU67" s="242"/>
      <c r="WLV67" s="242"/>
      <c r="WLW67" s="242"/>
      <c r="WLX67" s="242"/>
      <c r="WLY67" s="242"/>
      <c r="WLZ67" s="242"/>
      <c r="WMA67" s="108"/>
      <c r="WMB67" s="243"/>
      <c r="WMC67" s="243"/>
      <c r="WMD67" s="243"/>
      <c r="WME67" s="242"/>
      <c r="WMF67" s="242"/>
      <c r="WMG67" s="242"/>
      <c r="WMH67" s="242"/>
      <c r="WMI67" s="242"/>
      <c r="WMJ67" s="242"/>
      <c r="WMK67" s="242"/>
      <c r="WML67" s="242"/>
      <c r="WMM67" s="242"/>
      <c r="WMN67" s="108"/>
      <c r="WMO67" s="243"/>
      <c r="WMP67" s="243"/>
      <c r="WMQ67" s="243"/>
      <c r="WMR67" s="242"/>
      <c r="WMS67" s="242"/>
      <c r="WMT67" s="242"/>
      <c r="WMU67" s="242"/>
      <c r="WMV67" s="242"/>
      <c r="WMW67" s="242"/>
      <c r="WMX67" s="242"/>
      <c r="WMY67" s="242"/>
      <c r="WMZ67" s="242"/>
      <c r="WNA67" s="108"/>
      <c r="WNB67" s="243"/>
      <c r="WNC67" s="243"/>
      <c r="WND67" s="243"/>
      <c r="WNE67" s="242"/>
      <c r="WNF67" s="242"/>
      <c r="WNG67" s="242"/>
      <c r="WNH67" s="242"/>
      <c r="WNI67" s="242"/>
      <c r="WNJ67" s="242"/>
      <c r="WNK67" s="242"/>
      <c r="WNL67" s="242"/>
      <c r="WNM67" s="242"/>
      <c r="WNN67" s="108"/>
      <c r="WNO67" s="243"/>
      <c r="WNP67" s="243"/>
      <c r="WNQ67" s="243"/>
      <c r="WNR67" s="242"/>
      <c r="WNS67" s="242"/>
      <c r="WNT67" s="242"/>
      <c r="WNU67" s="242"/>
      <c r="WNV67" s="242"/>
      <c r="WNW67" s="242"/>
      <c r="WNX67" s="242"/>
      <c r="WNY67" s="242"/>
      <c r="WNZ67" s="242"/>
      <c r="WOA67" s="108"/>
      <c r="WOB67" s="243"/>
      <c r="WOC67" s="243"/>
      <c r="WOD67" s="243"/>
      <c r="WOE67" s="242"/>
      <c r="WOF67" s="242"/>
      <c r="WOG67" s="242"/>
      <c r="WOH67" s="242"/>
      <c r="WOI67" s="242"/>
      <c r="WOJ67" s="242"/>
      <c r="WOK67" s="242"/>
      <c r="WOL67" s="242"/>
      <c r="WOM67" s="242"/>
      <c r="WON67" s="108"/>
      <c r="WOO67" s="243"/>
      <c r="WOP67" s="243"/>
      <c r="WOQ67" s="243"/>
      <c r="WOR67" s="242"/>
      <c r="WOS67" s="242"/>
      <c r="WOT67" s="242"/>
      <c r="WOU67" s="242"/>
      <c r="WOV67" s="242"/>
      <c r="WOW67" s="242"/>
      <c r="WOX67" s="242"/>
      <c r="WOY67" s="242"/>
      <c r="WOZ67" s="242"/>
      <c r="WPA67" s="108"/>
      <c r="WPB67" s="243"/>
      <c r="WPC67" s="243"/>
      <c r="WPD67" s="243"/>
      <c r="WPE67" s="242"/>
      <c r="WPF67" s="242"/>
      <c r="WPG67" s="242"/>
      <c r="WPH67" s="242"/>
      <c r="WPI67" s="242"/>
      <c r="WPJ67" s="242"/>
      <c r="WPK67" s="242"/>
      <c r="WPL67" s="242"/>
      <c r="WPM67" s="242"/>
      <c r="WPN67" s="108"/>
      <c r="WPO67" s="243"/>
      <c r="WPP67" s="243"/>
      <c r="WPQ67" s="243"/>
      <c r="WPR67" s="242"/>
      <c r="WPS67" s="242"/>
      <c r="WPT67" s="242"/>
      <c r="WPU67" s="242"/>
      <c r="WPV67" s="242"/>
      <c r="WPW67" s="242"/>
      <c r="WPX67" s="242"/>
      <c r="WPY67" s="242"/>
      <c r="WPZ67" s="242"/>
      <c r="WQA67" s="108"/>
      <c r="WQB67" s="243"/>
      <c r="WQC67" s="243"/>
      <c r="WQD67" s="243"/>
      <c r="WQE67" s="242"/>
      <c r="WQF67" s="242"/>
      <c r="WQG67" s="242"/>
      <c r="WQH67" s="242"/>
      <c r="WQI67" s="242"/>
      <c r="WQJ67" s="242"/>
      <c r="WQK67" s="242"/>
      <c r="WQL67" s="242"/>
      <c r="WQM67" s="242"/>
      <c r="WQN67" s="108"/>
      <c r="WQO67" s="243"/>
      <c r="WQP67" s="243"/>
      <c r="WQQ67" s="243"/>
      <c r="WQR67" s="242"/>
      <c r="WQS67" s="242"/>
      <c r="WQT67" s="242"/>
      <c r="WQU67" s="242"/>
      <c r="WQV67" s="242"/>
      <c r="WQW67" s="242"/>
      <c r="WQX67" s="242"/>
      <c r="WQY67" s="242"/>
      <c r="WQZ67" s="242"/>
      <c r="WRA67" s="108"/>
      <c r="WRB67" s="243"/>
      <c r="WRC67" s="243"/>
      <c r="WRD67" s="243"/>
      <c r="WRE67" s="242"/>
      <c r="WRF67" s="242"/>
      <c r="WRG67" s="242"/>
      <c r="WRH67" s="242"/>
      <c r="WRI67" s="242"/>
      <c r="WRJ67" s="242"/>
      <c r="WRK67" s="242"/>
      <c r="WRL67" s="242"/>
      <c r="WRM67" s="242"/>
      <c r="WRN67" s="108"/>
      <c r="WRO67" s="243"/>
      <c r="WRP67" s="243"/>
      <c r="WRQ67" s="243"/>
      <c r="WRR67" s="242"/>
      <c r="WRS67" s="242"/>
      <c r="WRT67" s="242"/>
      <c r="WRU67" s="242"/>
      <c r="WRV67" s="242"/>
      <c r="WRW67" s="242"/>
      <c r="WRX67" s="242"/>
      <c r="WRY67" s="242"/>
      <c r="WRZ67" s="242"/>
      <c r="WSA67" s="108"/>
      <c r="WSB67" s="243"/>
      <c r="WSC67" s="243"/>
      <c r="WSD67" s="243"/>
      <c r="WSE67" s="242"/>
      <c r="WSF67" s="242"/>
      <c r="WSG67" s="242"/>
      <c r="WSH67" s="242"/>
      <c r="WSI67" s="242"/>
      <c r="WSJ67" s="242"/>
      <c r="WSK67" s="242"/>
      <c r="WSL67" s="242"/>
      <c r="WSM67" s="242"/>
      <c r="WSN67" s="108"/>
      <c r="WSO67" s="243"/>
      <c r="WSP67" s="243"/>
      <c r="WSQ67" s="243"/>
      <c r="WSR67" s="242"/>
      <c r="WSS67" s="242"/>
      <c r="WST67" s="242"/>
      <c r="WSU67" s="242"/>
      <c r="WSV67" s="242"/>
      <c r="WSW67" s="242"/>
      <c r="WSX67" s="242"/>
      <c r="WSY67" s="242"/>
      <c r="WSZ67" s="242"/>
      <c r="WTA67" s="108"/>
      <c r="WTB67" s="243"/>
      <c r="WTC67" s="243"/>
      <c r="WTD67" s="243"/>
      <c r="WTE67" s="242"/>
      <c r="WTF67" s="242"/>
      <c r="WTG67" s="242"/>
      <c r="WTH67" s="242"/>
      <c r="WTI67" s="242"/>
      <c r="WTJ67" s="242"/>
      <c r="WTK67" s="242"/>
      <c r="WTL67" s="242"/>
      <c r="WTM67" s="242"/>
      <c r="WTN67" s="108"/>
      <c r="WTO67" s="243"/>
      <c r="WTP67" s="243"/>
      <c r="WTQ67" s="243"/>
      <c r="WTR67" s="242"/>
      <c r="WTS67" s="242"/>
      <c r="WTT67" s="242"/>
      <c r="WTU67" s="242"/>
      <c r="WTV67" s="242"/>
      <c r="WTW67" s="242"/>
      <c r="WTX67" s="242"/>
      <c r="WTY67" s="242"/>
      <c r="WTZ67" s="242"/>
      <c r="WUA67" s="108"/>
      <c r="WUB67" s="243"/>
      <c r="WUC67" s="243"/>
      <c r="WUD67" s="243"/>
      <c r="WUE67" s="242"/>
      <c r="WUF67" s="242"/>
      <c r="WUG67" s="242"/>
      <c r="WUH67" s="242"/>
      <c r="WUI67" s="242"/>
      <c r="WUJ67" s="242"/>
      <c r="WUK67" s="242"/>
      <c r="WUL67" s="242"/>
      <c r="WUM67" s="242"/>
      <c r="WUN67" s="108"/>
      <c r="WUO67" s="243"/>
      <c r="WUP67" s="243"/>
      <c r="WUQ67" s="243"/>
      <c r="WUR67" s="242"/>
      <c r="WUS67" s="242"/>
      <c r="WUT67" s="242"/>
      <c r="WUU67" s="242"/>
      <c r="WUV67" s="242"/>
      <c r="WUW67" s="242"/>
      <c r="WUX67" s="242"/>
      <c r="WUY67" s="242"/>
      <c r="WUZ67" s="242"/>
      <c r="WVA67" s="108"/>
      <c r="WVB67" s="243"/>
      <c r="WVC67" s="243"/>
      <c r="WVD67" s="243"/>
      <c r="WVE67" s="242"/>
      <c r="WVF67" s="242"/>
      <c r="WVG67" s="242"/>
      <c r="WVH67" s="242"/>
      <c r="WVI67" s="242"/>
      <c r="WVJ67" s="242"/>
      <c r="WVK67" s="242"/>
      <c r="WVL67" s="242"/>
      <c r="WVM67" s="242"/>
      <c r="WVN67" s="108"/>
      <c r="WVO67" s="243"/>
      <c r="WVP67" s="243"/>
      <c r="WVQ67" s="243"/>
      <c r="WVR67" s="242"/>
      <c r="WVS67" s="242"/>
      <c r="WVT67" s="242"/>
      <c r="WVU67" s="242"/>
      <c r="WVV67" s="242"/>
      <c r="WVW67" s="242"/>
      <c r="WVX67" s="242"/>
      <c r="WVY67" s="242"/>
      <c r="WVZ67" s="242"/>
      <c r="WWA67" s="108"/>
      <c r="WWB67" s="243"/>
      <c r="WWC67" s="243"/>
      <c r="WWD67" s="243"/>
      <c r="WWE67" s="242"/>
      <c r="WWF67" s="242"/>
      <c r="WWG67" s="242"/>
      <c r="WWH67" s="242"/>
      <c r="WWI67" s="242"/>
      <c r="WWJ67" s="242"/>
      <c r="WWK67" s="242"/>
      <c r="WWL67" s="242"/>
      <c r="WWM67" s="242"/>
      <c r="WWN67" s="108"/>
      <c r="WWO67" s="243"/>
      <c r="WWP67" s="243"/>
      <c r="WWQ67" s="243"/>
      <c r="WWR67" s="242"/>
      <c r="WWS67" s="242"/>
      <c r="WWT67" s="242"/>
      <c r="WWU67" s="242"/>
      <c r="WWV67" s="242"/>
      <c r="WWW67" s="242"/>
      <c r="WWX67" s="242"/>
      <c r="WWY67" s="242"/>
      <c r="WWZ67" s="242"/>
      <c r="WXA67" s="108"/>
      <c r="WXB67" s="243"/>
      <c r="WXC67" s="243"/>
      <c r="WXD67" s="243"/>
      <c r="WXE67" s="242"/>
      <c r="WXF67" s="242"/>
      <c r="WXG67" s="242"/>
      <c r="WXH67" s="242"/>
      <c r="WXI67" s="242"/>
      <c r="WXJ67" s="242"/>
      <c r="WXK67" s="242"/>
      <c r="WXL67" s="242"/>
      <c r="WXM67" s="242"/>
      <c r="WXN67" s="108"/>
      <c r="WXO67" s="243"/>
      <c r="WXP67" s="243"/>
      <c r="WXQ67" s="243"/>
      <c r="WXR67" s="242"/>
      <c r="WXS67" s="242"/>
      <c r="WXT67" s="242"/>
      <c r="WXU67" s="242"/>
      <c r="WXV67" s="242"/>
      <c r="WXW67" s="242"/>
      <c r="WXX67" s="242"/>
      <c r="WXY67" s="242"/>
      <c r="WXZ67" s="242"/>
      <c r="WYA67" s="108"/>
      <c r="WYB67" s="243"/>
      <c r="WYC67" s="243"/>
      <c r="WYD67" s="243"/>
      <c r="WYE67" s="242"/>
      <c r="WYF67" s="242"/>
      <c r="WYG67" s="242"/>
      <c r="WYH67" s="242"/>
      <c r="WYI67" s="242"/>
      <c r="WYJ67" s="242"/>
      <c r="WYK67" s="242"/>
      <c r="WYL67" s="242"/>
      <c r="WYM67" s="242"/>
      <c r="WYN67" s="108"/>
      <c r="WYO67" s="243"/>
      <c r="WYP67" s="243"/>
      <c r="WYQ67" s="243"/>
      <c r="WYR67" s="242"/>
      <c r="WYS67" s="242"/>
      <c r="WYT67" s="242"/>
      <c r="WYU67" s="242"/>
      <c r="WYV67" s="242"/>
      <c r="WYW67" s="242"/>
      <c r="WYX67" s="242"/>
      <c r="WYY67" s="242"/>
      <c r="WYZ67" s="242"/>
      <c r="WZA67" s="108"/>
      <c r="WZB67" s="243"/>
      <c r="WZC67" s="243"/>
      <c r="WZD67" s="243"/>
      <c r="WZE67" s="242"/>
      <c r="WZF67" s="242"/>
      <c r="WZG67" s="242"/>
      <c r="WZH67" s="242"/>
      <c r="WZI67" s="242"/>
      <c r="WZJ67" s="242"/>
      <c r="WZK67" s="242"/>
      <c r="WZL67" s="242"/>
      <c r="WZM67" s="242"/>
      <c r="WZN67" s="108"/>
      <c r="WZO67" s="243"/>
      <c r="WZP67" s="243"/>
      <c r="WZQ67" s="243"/>
      <c r="WZR67" s="242"/>
      <c r="WZS67" s="242"/>
      <c r="WZT67" s="242"/>
      <c r="WZU67" s="242"/>
      <c r="WZV67" s="242"/>
      <c r="WZW67" s="242"/>
      <c r="WZX67" s="242"/>
      <c r="WZY67" s="242"/>
      <c r="WZZ67" s="242"/>
      <c r="XAA67" s="108"/>
      <c r="XAB67" s="243"/>
      <c r="XAC67" s="243"/>
      <c r="XAD67" s="243"/>
      <c r="XAE67" s="242"/>
      <c r="XAF67" s="242"/>
      <c r="XAG67" s="242"/>
      <c r="XAH67" s="242"/>
      <c r="XAI67" s="242"/>
      <c r="XAJ67" s="242"/>
      <c r="XAK67" s="242"/>
      <c r="XAL67" s="242"/>
      <c r="XAM67" s="242"/>
      <c r="XAN67" s="108"/>
      <c r="XAO67" s="243"/>
      <c r="XAP67" s="243"/>
      <c r="XAQ67" s="243"/>
      <c r="XAR67" s="242"/>
      <c r="XAS67" s="242"/>
      <c r="XAT67" s="242"/>
      <c r="XAU67" s="242"/>
      <c r="XAV67" s="242"/>
      <c r="XAW67" s="242"/>
      <c r="XAX67" s="242"/>
      <c r="XAY67" s="242"/>
      <c r="XAZ67" s="242"/>
      <c r="XBA67" s="108"/>
      <c r="XBB67" s="243"/>
      <c r="XBC67" s="243"/>
      <c r="XBD67" s="243"/>
      <c r="XBE67" s="242"/>
      <c r="XBF67" s="242"/>
      <c r="XBG67" s="242"/>
      <c r="XBH67" s="242"/>
      <c r="XBI67" s="242"/>
      <c r="XBJ67" s="242"/>
      <c r="XBK67" s="242"/>
      <c r="XBL67" s="242"/>
      <c r="XBM67" s="242"/>
      <c r="XBN67" s="108"/>
      <c r="XBO67" s="243"/>
      <c r="XBP67" s="243"/>
      <c r="XBQ67" s="243"/>
      <c r="XBR67" s="242"/>
      <c r="XBS67" s="242"/>
      <c r="XBT67" s="242"/>
      <c r="XBU67" s="242"/>
      <c r="XBV67" s="242"/>
      <c r="XBW67" s="242"/>
      <c r="XBX67" s="242"/>
      <c r="XBY67" s="242"/>
      <c r="XBZ67" s="242"/>
      <c r="XCA67" s="108"/>
      <c r="XCB67" s="243"/>
      <c r="XCC67" s="243"/>
      <c r="XCD67" s="243"/>
      <c r="XCE67" s="242"/>
      <c r="XCF67" s="242"/>
      <c r="XCG67" s="242"/>
      <c r="XCH67" s="242"/>
      <c r="XCI67" s="242"/>
      <c r="XCJ67" s="242"/>
      <c r="XCK67" s="242"/>
      <c r="XCL67" s="242"/>
      <c r="XCM67" s="242"/>
      <c r="XCN67" s="108"/>
      <c r="XCO67" s="243"/>
      <c r="XCP67" s="243"/>
      <c r="XCQ67" s="243"/>
      <c r="XCR67" s="242"/>
      <c r="XCS67" s="242"/>
      <c r="XCT67" s="242"/>
      <c r="XCU67" s="242"/>
      <c r="XCV67" s="242"/>
      <c r="XCW67" s="242"/>
      <c r="XCX67" s="242"/>
      <c r="XCY67" s="242"/>
      <c r="XCZ67" s="242"/>
      <c r="XDA67" s="108"/>
      <c r="XDB67" s="243"/>
      <c r="XDC67" s="243"/>
      <c r="XDD67" s="243"/>
      <c r="XDE67" s="242"/>
      <c r="XDF67" s="242"/>
      <c r="XDG67" s="242"/>
      <c r="XDH67" s="242"/>
      <c r="XDI67" s="242"/>
      <c r="XDJ67" s="242"/>
      <c r="XDK67" s="242"/>
      <c r="XDL67" s="242"/>
      <c r="XDM67" s="242"/>
      <c r="XDN67" s="108"/>
      <c r="XDO67" s="243"/>
      <c r="XDP67" s="243"/>
      <c r="XDQ67" s="243"/>
      <c r="XDR67" s="242"/>
      <c r="XDS67" s="242"/>
      <c r="XDT67" s="242"/>
      <c r="XDU67" s="242"/>
      <c r="XDV67" s="242"/>
      <c r="XDW67" s="242"/>
      <c r="XDX67" s="242"/>
      <c r="XDY67" s="242"/>
      <c r="XDZ67" s="242"/>
      <c r="XEA67" s="108"/>
      <c r="XEB67" s="243"/>
      <c r="XEC67" s="243"/>
      <c r="XED67" s="243"/>
      <c r="XEE67" s="242"/>
      <c r="XEF67" s="242"/>
      <c r="XEG67" s="242"/>
      <c r="XEH67" s="242"/>
      <c r="XEI67" s="242"/>
      <c r="XEJ67" s="242"/>
      <c r="XEK67" s="242"/>
      <c r="XEL67" s="242"/>
      <c r="XEM67" s="242"/>
      <c r="XEN67" s="108"/>
      <c r="XEO67" s="243"/>
      <c r="XEP67" s="243"/>
      <c r="XEQ67" s="243"/>
      <c r="XER67" s="242"/>
      <c r="XES67" s="242"/>
      <c r="XET67" s="242"/>
      <c r="XEU67" s="242"/>
      <c r="XEV67" s="242"/>
      <c r="XEW67" s="242"/>
      <c r="XEX67" s="242"/>
      <c r="XEY67" s="242"/>
      <c r="XEZ67" s="242"/>
      <c r="XFA67" s="108"/>
      <c r="XFB67" s="243"/>
      <c r="XFC67" s="243"/>
      <c r="XFD67" s="243"/>
    </row>
    <row r="68" spans="1:16384" customFormat="1" ht="15" customHeight="1" x14ac:dyDescent="0.25">
      <c r="A68" s="2"/>
      <c r="B68" s="247" t="s">
        <v>126</v>
      </c>
      <c r="C68" s="247"/>
      <c r="D68" s="247"/>
      <c r="E68" s="247"/>
      <c r="F68" s="247"/>
      <c r="G68" s="247"/>
      <c r="H68" s="247"/>
      <c r="I68" s="247"/>
      <c r="J68" s="247"/>
      <c r="K68" s="247"/>
      <c r="L68" s="247"/>
      <c r="M68" s="247"/>
    </row>
    <row r="69" spans="1:16384" customFormat="1" ht="30" customHeight="1" x14ac:dyDescent="0.25">
      <c r="A69" s="2"/>
      <c r="B69" s="266" t="s">
        <v>311</v>
      </c>
      <c r="C69" s="266"/>
      <c r="D69" s="266"/>
      <c r="E69" s="266"/>
      <c r="F69" s="266"/>
      <c r="G69" s="266"/>
      <c r="H69" s="266"/>
      <c r="I69" s="266"/>
      <c r="J69" s="266"/>
      <c r="K69" s="266"/>
      <c r="L69" s="266"/>
      <c r="M69" s="266"/>
    </row>
    <row r="70" spans="1:16384" customFormat="1" ht="15" customHeight="1" x14ac:dyDescent="0.25">
      <c r="A70" s="2"/>
      <c r="B70" s="244" t="s">
        <v>310</v>
      </c>
      <c r="C70" s="245"/>
      <c r="D70" s="246"/>
      <c r="E70" s="259"/>
      <c r="F70" s="260"/>
      <c r="G70" s="260"/>
      <c r="H70" s="260"/>
      <c r="I70" s="260"/>
      <c r="J70" s="260"/>
      <c r="K70" s="260"/>
      <c r="L70" s="260"/>
      <c r="M70" s="261"/>
    </row>
    <row r="71" spans="1:16384" customFormat="1" ht="15" customHeight="1" x14ac:dyDescent="0.25">
      <c r="A71" s="2"/>
      <c r="B71" s="244" t="s">
        <v>116</v>
      </c>
      <c r="C71" s="245"/>
      <c r="D71" s="246"/>
      <c r="E71" s="244"/>
      <c r="F71" s="245"/>
      <c r="G71" s="245"/>
      <c r="H71" s="245"/>
      <c r="I71" s="245"/>
      <c r="J71" s="245"/>
      <c r="K71" s="245"/>
      <c r="L71" s="245"/>
      <c r="M71" s="246"/>
    </row>
    <row r="72" spans="1:16384" customFormat="1" ht="15" customHeight="1" x14ac:dyDescent="0.25">
      <c r="A72" s="2"/>
      <c r="B72" s="244" t="s">
        <v>309</v>
      </c>
      <c r="C72" s="245"/>
      <c r="D72" s="246"/>
      <c r="E72" s="247"/>
      <c r="F72" s="247"/>
      <c r="G72" s="247"/>
      <c r="H72" s="247"/>
      <c r="I72" s="247"/>
      <c r="J72" s="247"/>
      <c r="K72" s="247"/>
      <c r="L72" s="247"/>
      <c r="M72" s="247"/>
    </row>
    <row r="73" spans="1:16384" customFormat="1" ht="15" customHeight="1" x14ac:dyDescent="0.25">
      <c r="A73" s="2"/>
      <c r="B73" s="244" t="s">
        <v>308</v>
      </c>
      <c r="C73" s="245"/>
      <c r="D73" s="246"/>
      <c r="E73" s="259"/>
      <c r="F73" s="260"/>
      <c r="G73" s="260"/>
      <c r="H73" s="260"/>
      <c r="I73" s="260"/>
      <c r="J73" s="260"/>
      <c r="K73" s="260"/>
      <c r="L73" s="260"/>
      <c r="M73" s="261"/>
    </row>
    <row r="74" spans="1:16384" customFormat="1" ht="15" customHeight="1" x14ac:dyDescent="0.25">
      <c r="A74" s="2"/>
      <c r="B74" s="247" t="s">
        <v>74</v>
      </c>
      <c r="C74" s="247"/>
      <c r="D74" s="247"/>
      <c r="E74" s="247"/>
      <c r="F74" s="247"/>
      <c r="G74" s="247"/>
      <c r="H74" s="247"/>
      <c r="I74" s="247"/>
      <c r="J74" s="247"/>
      <c r="K74" s="247"/>
      <c r="L74" s="247"/>
      <c r="M74" s="247"/>
    </row>
    <row r="75" spans="1:16384" customFormat="1" x14ac:dyDescent="0.25">
      <c r="A75" s="2"/>
      <c r="B75" s="247" t="s">
        <v>115</v>
      </c>
      <c r="C75" s="247"/>
      <c r="D75" s="247"/>
      <c r="E75" s="247"/>
      <c r="F75" s="247"/>
      <c r="G75" s="247"/>
      <c r="H75" s="247"/>
      <c r="I75" s="247"/>
      <c r="J75" s="247"/>
      <c r="K75" s="247"/>
      <c r="L75" s="247"/>
      <c r="M75" s="247"/>
    </row>
    <row r="76" spans="1:16384" customFormat="1" x14ac:dyDescent="0.25">
      <c r="A76" s="2"/>
      <c r="B76" s="247"/>
      <c r="C76" s="247"/>
      <c r="D76" s="247"/>
      <c r="E76" s="247"/>
      <c r="F76" s="247"/>
      <c r="G76" s="247"/>
      <c r="H76" s="247"/>
      <c r="I76" s="247"/>
      <c r="J76" s="247"/>
      <c r="K76" s="247"/>
      <c r="L76" s="247"/>
      <c r="M76" s="247"/>
    </row>
    <row r="77" spans="1:16384" customFormat="1" x14ac:dyDescent="0.25">
      <c r="A77" s="2"/>
      <c r="B77" s="247"/>
      <c r="C77" s="247"/>
      <c r="D77" s="247"/>
      <c r="E77" s="247"/>
      <c r="F77" s="247"/>
      <c r="G77" s="247"/>
      <c r="H77" s="247"/>
      <c r="I77" s="247"/>
      <c r="J77" s="247"/>
      <c r="K77" s="247"/>
      <c r="L77" s="247"/>
      <c r="M77" s="247"/>
    </row>
    <row r="78" spans="1:16384" customFormat="1" x14ac:dyDescent="0.25">
      <c r="A78" s="2"/>
      <c r="B78" s="247"/>
      <c r="C78" s="247"/>
      <c r="D78" s="247"/>
      <c r="E78" s="247"/>
      <c r="F78" s="247"/>
      <c r="G78" s="247"/>
      <c r="H78" s="247"/>
      <c r="I78" s="247"/>
      <c r="J78" s="247"/>
      <c r="K78" s="247"/>
      <c r="L78" s="247"/>
      <c r="M78" s="247"/>
    </row>
    <row r="79" spans="1:16384" customFormat="1" x14ac:dyDescent="0.25">
      <c r="A79" s="1"/>
      <c r="B79" s="247"/>
      <c r="C79" s="247"/>
      <c r="D79" s="247"/>
      <c r="E79" s="247"/>
      <c r="F79" s="247"/>
      <c r="G79" s="247"/>
      <c r="H79" s="247"/>
      <c r="I79" s="247"/>
      <c r="J79" s="247"/>
      <c r="K79" s="247"/>
      <c r="L79" s="247"/>
      <c r="M79" s="247"/>
    </row>
    <row r="80" spans="1:16384" customFormat="1" x14ac:dyDescent="0.25">
      <c r="A80" s="1"/>
      <c r="B80" s="247"/>
      <c r="C80" s="247"/>
      <c r="D80" s="247"/>
      <c r="E80" s="247"/>
      <c r="F80" s="247"/>
      <c r="G80" s="247"/>
      <c r="H80" s="247"/>
      <c r="I80" s="247"/>
      <c r="J80" s="247"/>
      <c r="K80" s="247"/>
      <c r="L80" s="247"/>
      <c r="M80" s="247"/>
    </row>
    <row r="81" spans="1:13" x14ac:dyDescent="0.25">
      <c r="A81" s="1"/>
      <c r="B81" s="247"/>
      <c r="C81" s="247"/>
      <c r="D81" s="247"/>
      <c r="E81" s="247"/>
      <c r="F81" s="247"/>
      <c r="G81" s="247"/>
      <c r="H81" s="247"/>
      <c r="I81" s="247"/>
      <c r="J81" s="247"/>
      <c r="K81" s="247"/>
      <c r="L81" s="247"/>
      <c r="M81" s="247"/>
    </row>
    <row r="82" spans="1:13" ht="15" customHeight="1" x14ac:dyDescent="0.25">
      <c r="E82" s="251"/>
      <c r="F82" s="252"/>
      <c r="G82" s="252"/>
      <c r="H82" s="252"/>
      <c r="I82" s="252"/>
      <c r="J82" s="252"/>
      <c r="K82" s="252"/>
      <c r="L82" s="252"/>
      <c r="M82" s="253"/>
    </row>
    <row r="83" spans="1:13" x14ac:dyDescent="0.25">
      <c r="E83" s="75"/>
      <c r="F83" s="75"/>
      <c r="J83" s="75"/>
      <c r="K83" s="75"/>
      <c r="L83" s="75"/>
      <c r="M83" s="75"/>
    </row>
    <row r="84" spans="1:13" ht="15" customHeight="1" x14ac:dyDescent="0.25">
      <c r="B84" s="258" t="s">
        <v>112</v>
      </c>
      <c r="C84" s="258"/>
      <c r="D84" s="258"/>
      <c r="E84" s="258"/>
    </row>
    <row r="85" spans="1:13" x14ac:dyDescent="0.25">
      <c r="B85" s="78" t="s">
        <v>72</v>
      </c>
      <c r="C85" s="79" t="s">
        <v>307</v>
      </c>
      <c r="D85" s="250" t="s">
        <v>67</v>
      </c>
      <c r="E85" s="250"/>
    </row>
    <row r="86" spans="1:13" ht="15" customHeight="1" x14ac:dyDescent="0.25">
      <c r="B86" s="80"/>
      <c r="C86" s="81"/>
      <c r="D86" s="248"/>
      <c r="E86" s="248"/>
    </row>
    <row r="87" spans="1:13" x14ac:dyDescent="0.25">
      <c r="B87" s="78" t="s">
        <v>73</v>
      </c>
      <c r="C87" s="78" t="s">
        <v>306</v>
      </c>
      <c r="D87" s="250" t="s">
        <v>88</v>
      </c>
      <c r="E87" s="250"/>
    </row>
    <row r="88" spans="1:13" x14ac:dyDescent="0.25">
      <c r="B88" s="80"/>
      <c r="C88" s="80"/>
      <c r="D88" s="249"/>
      <c r="E88" s="249"/>
    </row>
    <row r="89" spans="1:13" x14ac:dyDescent="0.25">
      <c r="B89" s="258" t="s">
        <v>305</v>
      </c>
      <c r="C89" s="258"/>
      <c r="D89" s="258"/>
      <c r="E89" s="258"/>
    </row>
    <row r="90" spans="1:13" ht="30" x14ac:dyDescent="0.25">
      <c r="B90" s="78" t="s">
        <v>68</v>
      </c>
      <c r="C90" s="79" t="s">
        <v>78</v>
      </c>
      <c r="D90" s="187" t="s">
        <v>304</v>
      </c>
      <c r="E90" s="187" t="s">
        <v>79</v>
      </c>
    </row>
    <row r="91" spans="1:13" ht="30.75" customHeight="1" x14ac:dyDescent="0.25">
      <c r="B91" s="80"/>
      <c r="C91" s="95"/>
      <c r="D91" s="81"/>
      <c r="E91" s="81"/>
    </row>
    <row r="92" spans="1:13" ht="30" customHeight="1" x14ac:dyDescent="0.25">
      <c r="B92" s="82" t="s">
        <v>69</v>
      </c>
      <c r="C92" s="79" t="s">
        <v>80</v>
      </c>
      <c r="D92" s="187" t="s">
        <v>87</v>
      </c>
      <c r="E92" s="187" t="s">
        <v>70</v>
      </c>
    </row>
    <row r="93" spans="1:13" ht="18.75" x14ac:dyDescent="0.25">
      <c r="B93" s="77">
        <f>C91+E91</f>
        <v>0</v>
      </c>
      <c r="C93" s="83" t="e">
        <f>(C91/B93)</f>
        <v>#DIV/0!</v>
      </c>
      <c r="D93" s="84">
        <f>C91+D91</f>
        <v>0</v>
      </c>
      <c r="E93" s="85" t="e">
        <f>(D93/B93)</f>
        <v>#DIV/0!</v>
      </c>
    </row>
    <row r="94" spans="1:13" x14ac:dyDescent="0.25">
      <c r="B94" s="257" t="s">
        <v>111</v>
      </c>
      <c r="C94" s="257"/>
      <c r="D94" s="257"/>
      <c r="E94" s="257"/>
    </row>
    <row r="158" spans="26:26" x14ac:dyDescent="0.25">
      <c r="Z158" t="s">
        <v>97</v>
      </c>
    </row>
  </sheetData>
  <mergeCells count="2650">
    <mergeCell ref="A8:D8"/>
    <mergeCell ref="A27:D27"/>
    <mergeCell ref="B34:D34"/>
    <mergeCell ref="B20:D20"/>
    <mergeCell ref="B21:D21"/>
    <mergeCell ref="B22:D22"/>
    <mergeCell ref="B23:D23"/>
    <mergeCell ref="B24:D24"/>
    <mergeCell ref="B14:D14"/>
    <mergeCell ref="A35:D35"/>
    <mergeCell ref="E9:M9"/>
    <mergeCell ref="E8:M8"/>
    <mergeCell ref="B18:D18"/>
    <mergeCell ref="B17:D17"/>
    <mergeCell ref="E17:M17"/>
    <mergeCell ref="B33:D33"/>
    <mergeCell ref="E32:M32"/>
    <mergeCell ref="E33:M33"/>
    <mergeCell ref="E34:M34"/>
    <mergeCell ref="E22:M22"/>
    <mergeCell ref="E23:M23"/>
    <mergeCell ref="E24:M24"/>
    <mergeCell ref="E25:M25"/>
    <mergeCell ref="E26:M26"/>
    <mergeCell ref="B30:D30"/>
    <mergeCell ref="B25:D25"/>
    <mergeCell ref="B16:D16"/>
    <mergeCell ref="B9:D9"/>
    <mergeCell ref="B10:D10"/>
    <mergeCell ref="E10:M10"/>
    <mergeCell ref="E11:M11"/>
    <mergeCell ref="E14:M14"/>
    <mergeCell ref="E15:M15"/>
    <mergeCell ref="E16:M16"/>
    <mergeCell ref="B11:D11"/>
    <mergeCell ref="B12:D12"/>
    <mergeCell ref="E27:M27"/>
    <mergeCell ref="E58:M58"/>
    <mergeCell ref="B43:D43"/>
    <mergeCell ref="B36:D36"/>
    <mergeCell ref="B37:D37"/>
    <mergeCell ref="B38:D38"/>
    <mergeCell ref="E72:M72"/>
    <mergeCell ref="B66:D66"/>
    <mergeCell ref="B69:D69"/>
    <mergeCell ref="B72:D72"/>
    <mergeCell ref="B44:D44"/>
    <mergeCell ref="A60:D60"/>
    <mergeCell ref="E12:M12"/>
    <mergeCell ref="B13:D13"/>
    <mergeCell ref="E13:M13"/>
    <mergeCell ref="B39:D39"/>
    <mergeCell ref="B40:D40"/>
    <mergeCell ref="B41:D41"/>
    <mergeCell ref="B26:D26"/>
    <mergeCell ref="B28:D28"/>
    <mergeCell ref="B29:D29"/>
    <mergeCell ref="E28:M28"/>
    <mergeCell ref="E29:M29"/>
    <mergeCell ref="E30:M30"/>
    <mergeCell ref="E18:M18"/>
    <mergeCell ref="E19:M19"/>
    <mergeCell ref="E20:M20"/>
    <mergeCell ref="E21:M21"/>
    <mergeCell ref="B15:D15"/>
    <mergeCell ref="A19:D19"/>
    <mergeCell ref="B31:D31"/>
    <mergeCell ref="B32:D32"/>
    <mergeCell ref="E31:M31"/>
    <mergeCell ref="E44:M44"/>
    <mergeCell ref="B55:D55"/>
    <mergeCell ref="E74:M74"/>
    <mergeCell ref="B74:D74"/>
    <mergeCell ref="E69:M69"/>
    <mergeCell ref="B73:D73"/>
    <mergeCell ref="E73:M73"/>
    <mergeCell ref="B70:D70"/>
    <mergeCell ref="E66:M66"/>
    <mergeCell ref="B57:D57"/>
    <mergeCell ref="B58:D58"/>
    <mergeCell ref="B59:D59"/>
    <mergeCell ref="B61:D61"/>
    <mergeCell ref="B62:D62"/>
    <mergeCell ref="B63:D63"/>
    <mergeCell ref="B64:D64"/>
    <mergeCell ref="B65:D65"/>
    <mergeCell ref="E62:M62"/>
    <mergeCell ref="E59:M59"/>
    <mergeCell ref="E60:M60"/>
    <mergeCell ref="E61:M61"/>
    <mergeCell ref="B56:D56"/>
    <mergeCell ref="A53:D53"/>
    <mergeCell ref="E65:M65"/>
    <mergeCell ref="E63:M63"/>
    <mergeCell ref="E64:M64"/>
    <mergeCell ref="B54:D54"/>
    <mergeCell ref="E53:M53"/>
    <mergeCell ref="E54:M54"/>
    <mergeCell ref="E55:M55"/>
    <mergeCell ref="E56:M56"/>
    <mergeCell ref="E57:M57"/>
    <mergeCell ref="B94:E94"/>
    <mergeCell ref="B84:E84"/>
    <mergeCell ref="D85:E85"/>
    <mergeCell ref="B89:E89"/>
    <mergeCell ref="B79:D79"/>
    <mergeCell ref="B80:D80"/>
    <mergeCell ref="B81:D81"/>
    <mergeCell ref="E71:M71"/>
    <mergeCell ref="B71:D71"/>
    <mergeCell ref="E70:M70"/>
    <mergeCell ref="E75:M75"/>
    <mergeCell ref="E76:M76"/>
    <mergeCell ref="E77:M77"/>
    <mergeCell ref="B77:D77"/>
    <mergeCell ref="B75:D75"/>
    <mergeCell ref="B76:D76"/>
    <mergeCell ref="E68:M68"/>
    <mergeCell ref="B68:D68"/>
    <mergeCell ref="B67:D67"/>
    <mergeCell ref="E67:M67"/>
    <mergeCell ref="O67:Q67"/>
    <mergeCell ref="R67:Z67"/>
    <mergeCell ref="AB67:AD67"/>
    <mergeCell ref="AE67:AM67"/>
    <mergeCell ref="AO67:AQ67"/>
    <mergeCell ref="BE67:BM67"/>
    <mergeCell ref="BO67:BQ67"/>
    <mergeCell ref="BR67:BZ67"/>
    <mergeCell ref="CB67:CD67"/>
    <mergeCell ref="CE67:CM67"/>
    <mergeCell ref="CO67:CQ67"/>
    <mergeCell ref="B78:D78"/>
    <mergeCell ref="D86:E86"/>
    <mergeCell ref="D88:E88"/>
    <mergeCell ref="D87:E87"/>
    <mergeCell ref="E78:M78"/>
    <mergeCell ref="E79:M79"/>
    <mergeCell ref="E80:M80"/>
    <mergeCell ref="E81:M81"/>
    <mergeCell ref="E82:M82"/>
    <mergeCell ref="DO67:DQ67"/>
    <mergeCell ref="DR67:DZ67"/>
    <mergeCell ref="EB67:ED67"/>
    <mergeCell ref="EE67:EM67"/>
    <mergeCell ref="EO67:EQ67"/>
    <mergeCell ref="AR67:AZ67"/>
    <mergeCell ref="BB67:BD67"/>
    <mergeCell ref="FR67:FZ67"/>
    <mergeCell ref="GB67:GD67"/>
    <mergeCell ref="GE67:GM67"/>
    <mergeCell ref="GO67:GQ67"/>
    <mergeCell ref="ER67:EZ67"/>
    <mergeCell ref="FB67:FD67"/>
    <mergeCell ref="FE67:FM67"/>
    <mergeCell ref="FO67:FQ67"/>
    <mergeCell ref="CR67:CZ67"/>
    <mergeCell ref="DB67:DD67"/>
    <mergeCell ref="DE67:DM67"/>
    <mergeCell ref="IB67:ID67"/>
    <mergeCell ref="IE67:IM67"/>
    <mergeCell ref="IO67:IQ67"/>
    <mergeCell ref="IR67:IZ67"/>
    <mergeCell ref="JB67:JD67"/>
    <mergeCell ref="JE67:JM67"/>
    <mergeCell ref="JO67:JQ67"/>
    <mergeCell ref="KE67:KM67"/>
    <mergeCell ref="KO67:KQ67"/>
    <mergeCell ref="KR67:KZ67"/>
    <mergeCell ref="LB67:LD67"/>
    <mergeCell ref="LE67:LM67"/>
    <mergeCell ref="LO67:LQ67"/>
    <mergeCell ref="GR67:GZ67"/>
    <mergeCell ref="HB67:HD67"/>
    <mergeCell ref="HE67:HM67"/>
    <mergeCell ref="HO67:HQ67"/>
    <mergeCell ref="HR67:HZ67"/>
    <mergeCell ref="MO67:MQ67"/>
    <mergeCell ref="MR67:MZ67"/>
    <mergeCell ref="NB67:ND67"/>
    <mergeCell ref="NE67:NM67"/>
    <mergeCell ref="NO67:NQ67"/>
    <mergeCell ref="JR67:JZ67"/>
    <mergeCell ref="KB67:KD67"/>
    <mergeCell ref="OR67:OZ67"/>
    <mergeCell ref="PB67:PD67"/>
    <mergeCell ref="PE67:PM67"/>
    <mergeCell ref="PO67:PQ67"/>
    <mergeCell ref="NR67:NZ67"/>
    <mergeCell ref="OB67:OD67"/>
    <mergeCell ref="OE67:OM67"/>
    <mergeCell ref="OO67:OQ67"/>
    <mergeCell ref="LR67:LZ67"/>
    <mergeCell ref="MB67:MD67"/>
    <mergeCell ref="ME67:MM67"/>
    <mergeCell ref="RB67:RD67"/>
    <mergeCell ref="RE67:RM67"/>
    <mergeCell ref="RO67:RQ67"/>
    <mergeCell ref="RR67:RZ67"/>
    <mergeCell ref="SB67:SD67"/>
    <mergeCell ref="SE67:SM67"/>
    <mergeCell ref="SO67:SQ67"/>
    <mergeCell ref="TE67:TM67"/>
    <mergeCell ref="TO67:TQ67"/>
    <mergeCell ref="TR67:TZ67"/>
    <mergeCell ref="UB67:UD67"/>
    <mergeCell ref="UE67:UM67"/>
    <mergeCell ref="UO67:UQ67"/>
    <mergeCell ref="PR67:PZ67"/>
    <mergeCell ref="QB67:QD67"/>
    <mergeCell ref="QE67:QM67"/>
    <mergeCell ref="QO67:QQ67"/>
    <mergeCell ref="QR67:QZ67"/>
    <mergeCell ref="VO67:VQ67"/>
    <mergeCell ref="VR67:VZ67"/>
    <mergeCell ref="WB67:WD67"/>
    <mergeCell ref="WE67:WM67"/>
    <mergeCell ref="WO67:WQ67"/>
    <mergeCell ref="SR67:SZ67"/>
    <mergeCell ref="TB67:TD67"/>
    <mergeCell ref="XR67:XZ67"/>
    <mergeCell ref="YB67:YD67"/>
    <mergeCell ref="YE67:YM67"/>
    <mergeCell ref="YO67:YQ67"/>
    <mergeCell ref="WR67:WZ67"/>
    <mergeCell ref="XB67:XD67"/>
    <mergeCell ref="XE67:XM67"/>
    <mergeCell ref="XO67:XQ67"/>
    <mergeCell ref="UR67:UZ67"/>
    <mergeCell ref="VB67:VD67"/>
    <mergeCell ref="VE67:VM67"/>
    <mergeCell ref="AAB67:AAD67"/>
    <mergeCell ref="AAE67:AAM67"/>
    <mergeCell ref="AAO67:AAQ67"/>
    <mergeCell ref="AAR67:AAZ67"/>
    <mergeCell ref="ABB67:ABD67"/>
    <mergeCell ref="ABE67:ABM67"/>
    <mergeCell ref="ABO67:ABQ67"/>
    <mergeCell ref="ACE67:ACM67"/>
    <mergeCell ref="ACO67:ACQ67"/>
    <mergeCell ref="ACR67:ACZ67"/>
    <mergeCell ref="ADB67:ADD67"/>
    <mergeCell ref="ADE67:ADM67"/>
    <mergeCell ref="ADO67:ADQ67"/>
    <mergeCell ref="YR67:YZ67"/>
    <mergeCell ref="ZB67:ZD67"/>
    <mergeCell ref="ZE67:ZM67"/>
    <mergeCell ref="ZO67:ZQ67"/>
    <mergeCell ref="ZR67:ZZ67"/>
    <mergeCell ref="AEO67:AEQ67"/>
    <mergeCell ref="AER67:AEZ67"/>
    <mergeCell ref="AFB67:AFD67"/>
    <mergeCell ref="AFE67:AFM67"/>
    <mergeCell ref="AFO67:AFQ67"/>
    <mergeCell ref="ABR67:ABZ67"/>
    <mergeCell ref="ACB67:ACD67"/>
    <mergeCell ref="AGR67:AGZ67"/>
    <mergeCell ref="AHB67:AHD67"/>
    <mergeCell ref="AHE67:AHM67"/>
    <mergeCell ref="AHO67:AHQ67"/>
    <mergeCell ref="AFR67:AFZ67"/>
    <mergeCell ref="AGB67:AGD67"/>
    <mergeCell ref="AGE67:AGM67"/>
    <mergeCell ref="AGO67:AGQ67"/>
    <mergeCell ref="ADR67:ADZ67"/>
    <mergeCell ref="AEB67:AED67"/>
    <mergeCell ref="AEE67:AEM67"/>
    <mergeCell ref="AJB67:AJD67"/>
    <mergeCell ref="AJE67:AJM67"/>
    <mergeCell ref="AJO67:AJQ67"/>
    <mergeCell ref="AJR67:AJZ67"/>
    <mergeCell ref="AKB67:AKD67"/>
    <mergeCell ref="AKE67:AKM67"/>
    <mergeCell ref="AKO67:AKQ67"/>
    <mergeCell ref="ALE67:ALM67"/>
    <mergeCell ref="ALO67:ALQ67"/>
    <mergeCell ref="ALR67:ALZ67"/>
    <mergeCell ref="AMB67:AMD67"/>
    <mergeCell ref="AME67:AMM67"/>
    <mergeCell ref="AMO67:AMQ67"/>
    <mergeCell ref="AHR67:AHZ67"/>
    <mergeCell ref="AIB67:AID67"/>
    <mergeCell ref="AIE67:AIM67"/>
    <mergeCell ref="AIO67:AIQ67"/>
    <mergeCell ref="AIR67:AIZ67"/>
    <mergeCell ref="ANO67:ANQ67"/>
    <mergeCell ref="ANR67:ANZ67"/>
    <mergeCell ref="AOB67:AOD67"/>
    <mergeCell ref="AOE67:AOM67"/>
    <mergeCell ref="AOO67:AOQ67"/>
    <mergeCell ref="AKR67:AKZ67"/>
    <mergeCell ref="ALB67:ALD67"/>
    <mergeCell ref="APR67:APZ67"/>
    <mergeCell ref="AQB67:AQD67"/>
    <mergeCell ref="AQE67:AQM67"/>
    <mergeCell ref="AQO67:AQQ67"/>
    <mergeCell ref="AOR67:AOZ67"/>
    <mergeCell ref="APB67:APD67"/>
    <mergeCell ref="APE67:APM67"/>
    <mergeCell ref="APO67:APQ67"/>
    <mergeCell ref="AMR67:AMZ67"/>
    <mergeCell ref="ANB67:AND67"/>
    <mergeCell ref="ANE67:ANM67"/>
    <mergeCell ref="ASB67:ASD67"/>
    <mergeCell ref="ASE67:ASM67"/>
    <mergeCell ref="ASO67:ASQ67"/>
    <mergeCell ref="ASR67:ASZ67"/>
    <mergeCell ref="ATB67:ATD67"/>
    <mergeCell ref="ATE67:ATM67"/>
    <mergeCell ref="ATO67:ATQ67"/>
    <mergeCell ref="AUE67:AUM67"/>
    <mergeCell ref="AUO67:AUQ67"/>
    <mergeCell ref="AUR67:AUZ67"/>
    <mergeCell ref="AVB67:AVD67"/>
    <mergeCell ref="AVE67:AVM67"/>
    <mergeCell ref="AVO67:AVQ67"/>
    <mergeCell ref="AQR67:AQZ67"/>
    <mergeCell ref="ARB67:ARD67"/>
    <mergeCell ref="ARE67:ARM67"/>
    <mergeCell ref="ARO67:ARQ67"/>
    <mergeCell ref="ARR67:ARZ67"/>
    <mergeCell ref="AWO67:AWQ67"/>
    <mergeCell ref="AWR67:AWZ67"/>
    <mergeCell ref="AXB67:AXD67"/>
    <mergeCell ref="AXE67:AXM67"/>
    <mergeCell ref="AXO67:AXQ67"/>
    <mergeCell ref="ATR67:ATZ67"/>
    <mergeCell ref="AUB67:AUD67"/>
    <mergeCell ref="AYR67:AYZ67"/>
    <mergeCell ref="AZB67:AZD67"/>
    <mergeCell ref="AZE67:AZM67"/>
    <mergeCell ref="AZO67:AZQ67"/>
    <mergeCell ref="AXR67:AXZ67"/>
    <mergeCell ref="AYB67:AYD67"/>
    <mergeCell ref="AYE67:AYM67"/>
    <mergeCell ref="AYO67:AYQ67"/>
    <mergeCell ref="AVR67:AVZ67"/>
    <mergeCell ref="AWB67:AWD67"/>
    <mergeCell ref="AWE67:AWM67"/>
    <mergeCell ref="BBB67:BBD67"/>
    <mergeCell ref="BBE67:BBM67"/>
    <mergeCell ref="BBO67:BBQ67"/>
    <mergeCell ref="BBR67:BBZ67"/>
    <mergeCell ref="BCB67:BCD67"/>
    <mergeCell ref="BCE67:BCM67"/>
    <mergeCell ref="BCO67:BCQ67"/>
    <mergeCell ref="BDE67:BDM67"/>
    <mergeCell ref="BDO67:BDQ67"/>
    <mergeCell ref="BDR67:BDZ67"/>
    <mergeCell ref="BEB67:BED67"/>
    <mergeCell ref="BEE67:BEM67"/>
    <mergeCell ref="BEO67:BEQ67"/>
    <mergeCell ref="AZR67:AZZ67"/>
    <mergeCell ref="BAB67:BAD67"/>
    <mergeCell ref="BAE67:BAM67"/>
    <mergeCell ref="BAO67:BAQ67"/>
    <mergeCell ref="BAR67:BAZ67"/>
    <mergeCell ref="BFO67:BFQ67"/>
    <mergeCell ref="BFR67:BFZ67"/>
    <mergeCell ref="BGB67:BGD67"/>
    <mergeCell ref="BGE67:BGM67"/>
    <mergeCell ref="BGO67:BGQ67"/>
    <mergeCell ref="BCR67:BCZ67"/>
    <mergeCell ref="BDB67:BDD67"/>
    <mergeCell ref="BHR67:BHZ67"/>
    <mergeCell ref="BIB67:BID67"/>
    <mergeCell ref="BIE67:BIM67"/>
    <mergeCell ref="BIO67:BIQ67"/>
    <mergeCell ref="BGR67:BGZ67"/>
    <mergeCell ref="BHB67:BHD67"/>
    <mergeCell ref="BHE67:BHM67"/>
    <mergeCell ref="BHO67:BHQ67"/>
    <mergeCell ref="BER67:BEZ67"/>
    <mergeCell ref="BFB67:BFD67"/>
    <mergeCell ref="BFE67:BFM67"/>
    <mergeCell ref="BKB67:BKD67"/>
    <mergeCell ref="BKE67:BKM67"/>
    <mergeCell ref="BKO67:BKQ67"/>
    <mergeCell ref="BKR67:BKZ67"/>
    <mergeCell ref="BLB67:BLD67"/>
    <mergeCell ref="BLE67:BLM67"/>
    <mergeCell ref="BLO67:BLQ67"/>
    <mergeCell ref="BME67:BMM67"/>
    <mergeCell ref="BMO67:BMQ67"/>
    <mergeCell ref="BMR67:BMZ67"/>
    <mergeCell ref="BNB67:BND67"/>
    <mergeCell ref="BNE67:BNM67"/>
    <mergeCell ref="BNO67:BNQ67"/>
    <mergeCell ref="BIR67:BIZ67"/>
    <mergeCell ref="BJB67:BJD67"/>
    <mergeCell ref="BJE67:BJM67"/>
    <mergeCell ref="BJO67:BJQ67"/>
    <mergeCell ref="BJR67:BJZ67"/>
    <mergeCell ref="BOO67:BOQ67"/>
    <mergeCell ref="BOR67:BOZ67"/>
    <mergeCell ref="BPB67:BPD67"/>
    <mergeCell ref="BPE67:BPM67"/>
    <mergeCell ref="BPO67:BPQ67"/>
    <mergeCell ref="BLR67:BLZ67"/>
    <mergeCell ref="BMB67:BMD67"/>
    <mergeCell ref="BQR67:BQZ67"/>
    <mergeCell ref="BRB67:BRD67"/>
    <mergeCell ref="BRE67:BRM67"/>
    <mergeCell ref="BRO67:BRQ67"/>
    <mergeCell ref="BPR67:BPZ67"/>
    <mergeCell ref="BQB67:BQD67"/>
    <mergeCell ref="BQE67:BQM67"/>
    <mergeCell ref="BQO67:BQQ67"/>
    <mergeCell ref="BNR67:BNZ67"/>
    <mergeCell ref="BOB67:BOD67"/>
    <mergeCell ref="BOE67:BOM67"/>
    <mergeCell ref="BTB67:BTD67"/>
    <mergeCell ref="BTE67:BTM67"/>
    <mergeCell ref="BTO67:BTQ67"/>
    <mergeCell ref="BTR67:BTZ67"/>
    <mergeCell ref="BUB67:BUD67"/>
    <mergeCell ref="BUE67:BUM67"/>
    <mergeCell ref="BUO67:BUQ67"/>
    <mergeCell ref="BVE67:BVM67"/>
    <mergeCell ref="BVO67:BVQ67"/>
    <mergeCell ref="BVR67:BVZ67"/>
    <mergeCell ref="BWB67:BWD67"/>
    <mergeCell ref="BWE67:BWM67"/>
    <mergeCell ref="BWO67:BWQ67"/>
    <mergeCell ref="BRR67:BRZ67"/>
    <mergeCell ref="BSB67:BSD67"/>
    <mergeCell ref="BSE67:BSM67"/>
    <mergeCell ref="BSO67:BSQ67"/>
    <mergeCell ref="BSR67:BSZ67"/>
    <mergeCell ref="BXO67:BXQ67"/>
    <mergeCell ref="BXR67:BXZ67"/>
    <mergeCell ref="BYB67:BYD67"/>
    <mergeCell ref="BYE67:BYM67"/>
    <mergeCell ref="BYO67:BYQ67"/>
    <mergeCell ref="BUR67:BUZ67"/>
    <mergeCell ref="BVB67:BVD67"/>
    <mergeCell ref="BZR67:BZZ67"/>
    <mergeCell ref="CAB67:CAD67"/>
    <mergeCell ref="CAE67:CAM67"/>
    <mergeCell ref="CAO67:CAQ67"/>
    <mergeCell ref="BYR67:BYZ67"/>
    <mergeCell ref="BZB67:BZD67"/>
    <mergeCell ref="BZE67:BZM67"/>
    <mergeCell ref="BZO67:BZQ67"/>
    <mergeCell ref="BWR67:BWZ67"/>
    <mergeCell ref="BXB67:BXD67"/>
    <mergeCell ref="BXE67:BXM67"/>
    <mergeCell ref="CCB67:CCD67"/>
    <mergeCell ref="CCE67:CCM67"/>
    <mergeCell ref="CCO67:CCQ67"/>
    <mergeCell ref="CCR67:CCZ67"/>
    <mergeCell ref="CDB67:CDD67"/>
    <mergeCell ref="CDE67:CDM67"/>
    <mergeCell ref="CDO67:CDQ67"/>
    <mergeCell ref="CEE67:CEM67"/>
    <mergeCell ref="CEO67:CEQ67"/>
    <mergeCell ref="CER67:CEZ67"/>
    <mergeCell ref="CFB67:CFD67"/>
    <mergeCell ref="CFE67:CFM67"/>
    <mergeCell ref="CFO67:CFQ67"/>
    <mergeCell ref="CAR67:CAZ67"/>
    <mergeCell ref="CBB67:CBD67"/>
    <mergeCell ref="CBE67:CBM67"/>
    <mergeCell ref="CBO67:CBQ67"/>
    <mergeCell ref="CBR67:CBZ67"/>
    <mergeCell ref="CGO67:CGQ67"/>
    <mergeCell ref="CGR67:CGZ67"/>
    <mergeCell ref="CHB67:CHD67"/>
    <mergeCell ref="CHE67:CHM67"/>
    <mergeCell ref="CHO67:CHQ67"/>
    <mergeCell ref="CDR67:CDZ67"/>
    <mergeCell ref="CEB67:CED67"/>
    <mergeCell ref="CIR67:CIZ67"/>
    <mergeCell ref="CJB67:CJD67"/>
    <mergeCell ref="CJE67:CJM67"/>
    <mergeCell ref="CJO67:CJQ67"/>
    <mergeCell ref="CHR67:CHZ67"/>
    <mergeCell ref="CIB67:CID67"/>
    <mergeCell ref="CIE67:CIM67"/>
    <mergeCell ref="CIO67:CIQ67"/>
    <mergeCell ref="CFR67:CFZ67"/>
    <mergeCell ref="CGB67:CGD67"/>
    <mergeCell ref="CGE67:CGM67"/>
    <mergeCell ref="CLB67:CLD67"/>
    <mergeCell ref="CLE67:CLM67"/>
    <mergeCell ref="CLO67:CLQ67"/>
    <mergeCell ref="CLR67:CLZ67"/>
    <mergeCell ref="CMB67:CMD67"/>
    <mergeCell ref="CME67:CMM67"/>
    <mergeCell ref="CMO67:CMQ67"/>
    <mergeCell ref="CNE67:CNM67"/>
    <mergeCell ref="CNO67:CNQ67"/>
    <mergeCell ref="CNR67:CNZ67"/>
    <mergeCell ref="COB67:COD67"/>
    <mergeCell ref="COE67:COM67"/>
    <mergeCell ref="COO67:COQ67"/>
    <mergeCell ref="CJR67:CJZ67"/>
    <mergeCell ref="CKB67:CKD67"/>
    <mergeCell ref="CKE67:CKM67"/>
    <mergeCell ref="CKO67:CKQ67"/>
    <mergeCell ref="CKR67:CKZ67"/>
    <mergeCell ref="CPO67:CPQ67"/>
    <mergeCell ref="CPR67:CPZ67"/>
    <mergeCell ref="CQB67:CQD67"/>
    <mergeCell ref="CQE67:CQM67"/>
    <mergeCell ref="CQO67:CQQ67"/>
    <mergeCell ref="CMR67:CMZ67"/>
    <mergeCell ref="CNB67:CND67"/>
    <mergeCell ref="CRR67:CRZ67"/>
    <mergeCell ref="CSB67:CSD67"/>
    <mergeCell ref="CSE67:CSM67"/>
    <mergeCell ref="CSO67:CSQ67"/>
    <mergeCell ref="CQR67:CQZ67"/>
    <mergeCell ref="CRB67:CRD67"/>
    <mergeCell ref="CRE67:CRM67"/>
    <mergeCell ref="CRO67:CRQ67"/>
    <mergeCell ref="COR67:COZ67"/>
    <mergeCell ref="CPB67:CPD67"/>
    <mergeCell ref="CPE67:CPM67"/>
    <mergeCell ref="CUB67:CUD67"/>
    <mergeCell ref="CUE67:CUM67"/>
    <mergeCell ref="CUO67:CUQ67"/>
    <mergeCell ref="CUR67:CUZ67"/>
    <mergeCell ref="CVB67:CVD67"/>
    <mergeCell ref="CVE67:CVM67"/>
    <mergeCell ref="CVO67:CVQ67"/>
    <mergeCell ref="CWE67:CWM67"/>
    <mergeCell ref="CWO67:CWQ67"/>
    <mergeCell ref="CWR67:CWZ67"/>
    <mergeCell ref="CXB67:CXD67"/>
    <mergeCell ref="CXE67:CXM67"/>
    <mergeCell ref="CXO67:CXQ67"/>
    <mergeCell ref="CSR67:CSZ67"/>
    <mergeCell ref="CTB67:CTD67"/>
    <mergeCell ref="CTE67:CTM67"/>
    <mergeCell ref="CTO67:CTQ67"/>
    <mergeCell ref="CTR67:CTZ67"/>
    <mergeCell ref="CYO67:CYQ67"/>
    <mergeCell ref="CYR67:CYZ67"/>
    <mergeCell ref="CZB67:CZD67"/>
    <mergeCell ref="CZE67:CZM67"/>
    <mergeCell ref="CZO67:CZQ67"/>
    <mergeCell ref="CVR67:CVZ67"/>
    <mergeCell ref="CWB67:CWD67"/>
    <mergeCell ref="DAR67:DAZ67"/>
    <mergeCell ref="DBB67:DBD67"/>
    <mergeCell ref="DBE67:DBM67"/>
    <mergeCell ref="DBO67:DBQ67"/>
    <mergeCell ref="CZR67:CZZ67"/>
    <mergeCell ref="DAB67:DAD67"/>
    <mergeCell ref="DAE67:DAM67"/>
    <mergeCell ref="DAO67:DAQ67"/>
    <mergeCell ref="CXR67:CXZ67"/>
    <mergeCell ref="CYB67:CYD67"/>
    <mergeCell ref="CYE67:CYM67"/>
    <mergeCell ref="DDB67:DDD67"/>
    <mergeCell ref="DDE67:DDM67"/>
    <mergeCell ref="DDO67:DDQ67"/>
    <mergeCell ref="DDR67:DDZ67"/>
    <mergeCell ref="DEB67:DED67"/>
    <mergeCell ref="DEE67:DEM67"/>
    <mergeCell ref="DEO67:DEQ67"/>
    <mergeCell ref="DFE67:DFM67"/>
    <mergeCell ref="DFO67:DFQ67"/>
    <mergeCell ref="DFR67:DFZ67"/>
    <mergeCell ref="DGB67:DGD67"/>
    <mergeCell ref="DGE67:DGM67"/>
    <mergeCell ref="DGO67:DGQ67"/>
    <mergeCell ref="DBR67:DBZ67"/>
    <mergeCell ref="DCB67:DCD67"/>
    <mergeCell ref="DCE67:DCM67"/>
    <mergeCell ref="DCO67:DCQ67"/>
    <mergeCell ref="DCR67:DCZ67"/>
    <mergeCell ref="DHO67:DHQ67"/>
    <mergeCell ref="DHR67:DHZ67"/>
    <mergeCell ref="DIB67:DID67"/>
    <mergeCell ref="DIE67:DIM67"/>
    <mergeCell ref="DIO67:DIQ67"/>
    <mergeCell ref="DER67:DEZ67"/>
    <mergeCell ref="DFB67:DFD67"/>
    <mergeCell ref="DJR67:DJZ67"/>
    <mergeCell ref="DKB67:DKD67"/>
    <mergeCell ref="DKE67:DKM67"/>
    <mergeCell ref="DKO67:DKQ67"/>
    <mergeCell ref="DIR67:DIZ67"/>
    <mergeCell ref="DJB67:DJD67"/>
    <mergeCell ref="DJE67:DJM67"/>
    <mergeCell ref="DJO67:DJQ67"/>
    <mergeCell ref="DGR67:DGZ67"/>
    <mergeCell ref="DHB67:DHD67"/>
    <mergeCell ref="DHE67:DHM67"/>
    <mergeCell ref="DMB67:DMD67"/>
    <mergeCell ref="DME67:DMM67"/>
    <mergeCell ref="DMO67:DMQ67"/>
    <mergeCell ref="DMR67:DMZ67"/>
    <mergeCell ref="DNB67:DND67"/>
    <mergeCell ref="DNE67:DNM67"/>
    <mergeCell ref="DNO67:DNQ67"/>
    <mergeCell ref="DOE67:DOM67"/>
    <mergeCell ref="DOO67:DOQ67"/>
    <mergeCell ref="DOR67:DOZ67"/>
    <mergeCell ref="DPB67:DPD67"/>
    <mergeCell ref="DPE67:DPM67"/>
    <mergeCell ref="DPO67:DPQ67"/>
    <mergeCell ref="DKR67:DKZ67"/>
    <mergeCell ref="DLB67:DLD67"/>
    <mergeCell ref="DLE67:DLM67"/>
    <mergeCell ref="DLO67:DLQ67"/>
    <mergeCell ref="DLR67:DLZ67"/>
    <mergeCell ref="DQO67:DQQ67"/>
    <mergeCell ref="DQR67:DQZ67"/>
    <mergeCell ref="DRB67:DRD67"/>
    <mergeCell ref="DRE67:DRM67"/>
    <mergeCell ref="DRO67:DRQ67"/>
    <mergeCell ref="DNR67:DNZ67"/>
    <mergeCell ref="DOB67:DOD67"/>
    <mergeCell ref="DSR67:DSZ67"/>
    <mergeCell ref="DTB67:DTD67"/>
    <mergeCell ref="DTE67:DTM67"/>
    <mergeCell ref="DTO67:DTQ67"/>
    <mergeCell ref="DRR67:DRZ67"/>
    <mergeCell ref="DSB67:DSD67"/>
    <mergeCell ref="DSE67:DSM67"/>
    <mergeCell ref="DSO67:DSQ67"/>
    <mergeCell ref="DPR67:DPZ67"/>
    <mergeCell ref="DQB67:DQD67"/>
    <mergeCell ref="DQE67:DQM67"/>
    <mergeCell ref="DVB67:DVD67"/>
    <mergeCell ref="DVE67:DVM67"/>
    <mergeCell ref="DVO67:DVQ67"/>
    <mergeCell ref="DVR67:DVZ67"/>
    <mergeCell ref="DWB67:DWD67"/>
    <mergeCell ref="DWE67:DWM67"/>
    <mergeCell ref="DWO67:DWQ67"/>
    <mergeCell ref="DXE67:DXM67"/>
    <mergeCell ref="DXO67:DXQ67"/>
    <mergeCell ref="DXR67:DXZ67"/>
    <mergeCell ref="DYB67:DYD67"/>
    <mergeCell ref="DYE67:DYM67"/>
    <mergeCell ref="DYO67:DYQ67"/>
    <mergeCell ref="DTR67:DTZ67"/>
    <mergeCell ref="DUB67:DUD67"/>
    <mergeCell ref="DUE67:DUM67"/>
    <mergeCell ref="DUO67:DUQ67"/>
    <mergeCell ref="DUR67:DUZ67"/>
    <mergeCell ref="DZO67:DZQ67"/>
    <mergeCell ref="DZR67:DZZ67"/>
    <mergeCell ref="EAB67:EAD67"/>
    <mergeCell ref="EAE67:EAM67"/>
    <mergeCell ref="EAO67:EAQ67"/>
    <mergeCell ref="DWR67:DWZ67"/>
    <mergeCell ref="DXB67:DXD67"/>
    <mergeCell ref="EBR67:EBZ67"/>
    <mergeCell ref="ECB67:ECD67"/>
    <mergeCell ref="ECE67:ECM67"/>
    <mergeCell ref="ECO67:ECQ67"/>
    <mergeCell ref="EAR67:EAZ67"/>
    <mergeCell ref="EBB67:EBD67"/>
    <mergeCell ref="EBE67:EBM67"/>
    <mergeCell ref="EBO67:EBQ67"/>
    <mergeCell ref="DYR67:DYZ67"/>
    <mergeCell ref="DZB67:DZD67"/>
    <mergeCell ref="DZE67:DZM67"/>
    <mergeCell ref="EEB67:EED67"/>
    <mergeCell ref="EEE67:EEM67"/>
    <mergeCell ref="EEO67:EEQ67"/>
    <mergeCell ref="EER67:EEZ67"/>
    <mergeCell ref="EFB67:EFD67"/>
    <mergeCell ref="EFE67:EFM67"/>
    <mergeCell ref="EFO67:EFQ67"/>
    <mergeCell ref="EGE67:EGM67"/>
    <mergeCell ref="EGO67:EGQ67"/>
    <mergeCell ref="EGR67:EGZ67"/>
    <mergeCell ref="EHB67:EHD67"/>
    <mergeCell ref="EHE67:EHM67"/>
    <mergeCell ref="EHO67:EHQ67"/>
    <mergeCell ref="ECR67:ECZ67"/>
    <mergeCell ref="EDB67:EDD67"/>
    <mergeCell ref="EDE67:EDM67"/>
    <mergeCell ref="EDO67:EDQ67"/>
    <mergeCell ref="EDR67:EDZ67"/>
    <mergeCell ref="EIO67:EIQ67"/>
    <mergeCell ref="EIR67:EIZ67"/>
    <mergeCell ref="EJB67:EJD67"/>
    <mergeCell ref="EJE67:EJM67"/>
    <mergeCell ref="EJO67:EJQ67"/>
    <mergeCell ref="EFR67:EFZ67"/>
    <mergeCell ref="EGB67:EGD67"/>
    <mergeCell ref="EKR67:EKZ67"/>
    <mergeCell ref="ELB67:ELD67"/>
    <mergeCell ref="ELE67:ELM67"/>
    <mergeCell ref="ELO67:ELQ67"/>
    <mergeCell ref="EJR67:EJZ67"/>
    <mergeCell ref="EKB67:EKD67"/>
    <mergeCell ref="EKE67:EKM67"/>
    <mergeCell ref="EKO67:EKQ67"/>
    <mergeCell ref="EHR67:EHZ67"/>
    <mergeCell ref="EIB67:EID67"/>
    <mergeCell ref="EIE67:EIM67"/>
    <mergeCell ref="ENB67:END67"/>
    <mergeCell ref="ENE67:ENM67"/>
    <mergeCell ref="ENO67:ENQ67"/>
    <mergeCell ref="ENR67:ENZ67"/>
    <mergeCell ref="EOB67:EOD67"/>
    <mergeCell ref="EOE67:EOM67"/>
    <mergeCell ref="EOO67:EOQ67"/>
    <mergeCell ref="EPE67:EPM67"/>
    <mergeCell ref="EPO67:EPQ67"/>
    <mergeCell ref="EPR67:EPZ67"/>
    <mergeCell ref="EQB67:EQD67"/>
    <mergeCell ref="EQE67:EQM67"/>
    <mergeCell ref="EQO67:EQQ67"/>
    <mergeCell ref="ELR67:ELZ67"/>
    <mergeCell ref="EMB67:EMD67"/>
    <mergeCell ref="EME67:EMM67"/>
    <mergeCell ref="EMO67:EMQ67"/>
    <mergeCell ref="EMR67:EMZ67"/>
    <mergeCell ref="ERO67:ERQ67"/>
    <mergeCell ref="ERR67:ERZ67"/>
    <mergeCell ref="ESB67:ESD67"/>
    <mergeCell ref="ESE67:ESM67"/>
    <mergeCell ref="ESO67:ESQ67"/>
    <mergeCell ref="EOR67:EOZ67"/>
    <mergeCell ref="EPB67:EPD67"/>
    <mergeCell ref="ETR67:ETZ67"/>
    <mergeCell ref="EUB67:EUD67"/>
    <mergeCell ref="EUE67:EUM67"/>
    <mergeCell ref="EUO67:EUQ67"/>
    <mergeCell ref="ESR67:ESZ67"/>
    <mergeCell ref="ETB67:ETD67"/>
    <mergeCell ref="ETE67:ETM67"/>
    <mergeCell ref="ETO67:ETQ67"/>
    <mergeCell ref="EQR67:EQZ67"/>
    <mergeCell ref="ERB67:ERD67"/>
    <mergeCell ref="ERE67:ERM67"/>
    <mergeCell ref="EWB67:EWD67"/>
    <mergeCell ref="EWE67:EWM67"/>
    <mergeCell ref="EWO67:EWQ67"/>
    <mergeCell ref="EWR67:EWZ67"/>
    <mergeCell ref="EXB67:EXD67"/>
    <mergeCell ref="EXE67:EXM67"/>
    <mergeCell ref="EXO67:EXQ67"/>
    <mergeCell ref="EYE67:EYM67"/>
    <mergeCell ref="EYO67:EYQ67"/>
    <mergeCell ref="EYR67:EYZ67"/>
    <mergeCell ref="EZB67:EZD67"/>
    <mergeCell ref="EZE67:EZM67"/>
    <mergeCell ref="EZO67:EZQ67"/>
    <mergeCell ref="EUR67:EUZ67"/>
    <mergeCell ref="EVB67:EVD67"/>
    <mergeCell ref="EVE67:EVM67"/>
    <mergeCell ref="EVO67:EVQ67"/>
    <mergeCell ref="EVR67:EVZ67"/>
    <mergeCell ref="FAO67:FAQ67"/>
    <mergeCell ref="FAR67:FAZ67"/>
    <mergeCell ref="FBB67:FBD67"/>
    <mergeCell ref="FBE67:FBM67"/>
    <mergeCell ref="FBO67:FBQ67"/>
    <mergeCell ref="EXR67:EXZ67"/>
    <mergeCell ref="EYB67:EYD67"/>
    <mergeCell ref="FCR67:FCZ67"/>
    <mergeCell ref="FDB67:FDD67"/>
    <mergeCell ref="FDE67:FDM67"/>
    <mergeCell ref="FDO67:FDQ67"/>
    <mergeCell ref="FBR67:FBZ67"/>
    <mergeCell ref="FCB67:FCD67"/>
    <mergeCell ref="FCE67:FCM67"/>
    <mergeCell ref="FCO67:FCQ67"/>
    <mergeCell ref="EZR67:EZZ67"/>
    <mergeCell ref="FAB67:FAD67"/>
    <mergeCell ref="FAE67:FAM67"/>
    <mergeCell ref="FFB67:FFD67"/>
    <mergeCell ref="FFE67:FFM67"/>
    <mergeCell ref="FFO67:FFQ67"/>
    <mergeCell ref="FFR67:FFZ67"/>
    <mergeCell ref="FGB67:FGD67"/>
    <mergeCell ref="FGE67:FGM67"/>
    <mergeCell ref="FGO67:FGQ67"/>
    <mergeCell ref="FHE67:FHM67"/>
    <mergeCell ref="FHO67:FHQ67"/>
    <mergeCell ref="FHR67:FHZ67"/>
    <mergeCell ref="FIB67:FID67"/>
    <mergeCell ref="FIE67:FIM67"/>
    <mergeCell ref="FIO67:FIQ67"/>
    <mergeCell ref="FDR67:FDZ67"/>
    <mergeCell ref="FEB67:FED67"/>
    <mergeCell ref="FEE67:FEM67"/>
    <mergeCell ref="FEO67:FEQ67"/>
    <mergeCell ref="FER67:FEZ67"/>
    <mergeCell ref="FJO67:FJQ67"/>
    <mergeCell ref="FJR67:FJZ67"/>
    <mergeCell ref="FKB67:FKD67"/>
    <mergeCell ref="FKE67:FKM67"/>
    <mergeCell ref="FKO67:FKQ67"/>
    <mergeCell ref="FGR67:FGZ67"/>
    <mergeCell ref="FHB67:FHD67"/>
    <mergeCell ref="FLR67:FLZ67"/>
    <mergeCell ref="FMB67:FMD67"/>
    <mergeCell ref="FME67:FMM67"/>
    <mergeCell ref="FMO67:FMQ67"/>
    <mergeCell ref="FKR67:FKZ67"/>
    <mergeCell ref="FLB67:FLD67"/>
    <mergeCell ref="FLE67:FLM67"/>
    <mergeCell ref="FLO67:FLQ67"/>
    <mergeCell ref="FIR67:FIZ67"/>
    <mergeCell ref="FJB67:FJD67"/>
    <mergeCell ref="FJE67:FJM67"/>
    <mergeCell ref="FOB67:FOD67"/>
    <mergeCell ref="FOE67:FOM67"/>
    <mergeCell ref="FOO67:FOQ67"/>
    <mergeCell ref="FOR67:FOZ67"/>
    <mergeCell ref="FPB67:FPD67"/>
    <mergeCell ref="FPE67:FPM67"/>
    <mergeCell ref="FPO67:FPQ67"/>
    <mergeCell ref="FQE67:FQM67"/>
    <mergeCell ref="FQO67:FQQ67"/>
    <mergeCell ref="FQR67:FQZ67"/>
    <mergeCell ref="FRB67:FRD67"/>
    <mergeCell ref="FRE67:FRM67"/>
    <mergeCell ref="FRO67:FRQ67"/>
    <mergeCell ref="FMR67:FMZ67"/>
    <mergeCell ref="FNB67:FND67"/>
    <mergeCell ref="FNE67:FNM67"/>
    <mergeCell ref="FNO67:FNQ67"/>
    <mergeCell ref="FNR67:FNZ67"/>
    <mergeCell ref="FSO67:FSQ67"/>
    <mergeCell ref="FSR67:FSZ67"/>
    <mergeCell ref="FTB67:FTD67"/>
    <mergeCell ref="FTE67:FTM67"/>
    <mergeCell ref="FTO67:FTQ67"/>
    <mergeCell ref="FPR67:FPZ67"/>
    <mergeCell ref="FQB67:FQD67"/>
    <mergeCell ref="FUR67:FUZ67"/>
    <mergeCell ref="FVB67:FVD67"/>
    <mergeCell ref="FVE67:FVM67"/>
    <mergeCell ref="FVO67:FVQ67"/>
    <mergeCell ref="FTR67:FTZ67"/>
    <mergeCell ref="FUB67:FUD67"/>
    <mergeCell ref="FUE67:FUM67"/>
    <mergeCell ref="FUO67:FUQ67"/>
    <mergeCell ref="FRR67:FRZ67"/>
    <mergeCell ref="FSB67:FSD67"/>
    <mergeCell ref="FSE67:FSM67"/>
    <mergeCell ref="FXB67:FXD67"/>
    <mergeCell ref="FXE67:FXM67"/>
    <mergeCell ref="FXO67:FXQ67"/>
    <mergeCell ref="FXR67:FXZ67"/>
    <mergeCell ref="FYB67:FYD67"/>
    <mergeCell ref="FYE67:FYM67"/>
    <mergeCell ref="FYO67:FYQ67"/>
    <mergeCell ref="FZE67:FZM67"/>
    <mergeCell ref="FZO67:FZQ67"/>
    <mergeCell ref="FZR67:FZZ67"/>
    <mergeCell ref="GAB67:GAD67"/>
    <mergeCell ref="GAE67:GAM67"/>
    <mergeCell ref="GAO67:GAQ67"/>
    <mergeCell ref="FVR67:FVZ67"/>
    <mergeCell ref="FWB67:FWD67"/>
    <mergeCell ref="FWE67:FWM67"/>
    <mergeCell ref="FWO67:FWQ67"/>
    <mergeCell ref="FWR67:FWZ67"/>
    <mergeCell ref="GBO67:GBQ67"/>
    <mergeCell ref="GBR67:GBZ67"/>
    <mergeCell ref="GCB67:GCD67"/>
    <mergeCell ref="GCE67:GCM67"/>
    <mergeCell ref="GCO67:GCQ67"/>
    <mergeCell ref="FYR67:FYZ67"/>
    <mergeCell ref="FZB67:FZD67"/>
    <mergeCell ref="GDR67:GDZ67"/>
    <mergeCell ref="GEB67:GED67"/>
    <mergeCell ref="GEE67:GEM67"/>
    <mergeCell ref="GEO67:GEQ67"/>
    <mergeCell ref="GCR67:GCZ67"/>
    <mergeCell ref="GDB67:GDD67"/>
    <mergeCell ref="GDE67:GDM67"/>
    <mergeCell ref="GDO67:GDQ67"/>
    <mergeCell ref="GAR67:GAZ67"/>
    <mergeCell ref="GBB67:GBD67"/>
    <mergeCell ref="GBE67:GBM67"/>
    <mergeCell ref="GGB67:GGD67"/>
    <mergeCell ref="GGE67:GGM67"/>
    <mergeCell ref="GGO67:GGQ67"/>
    <mergeCell ref="GGR67:GGZ67"/>
    <mergeCell ref="GHB67:GHD67"/>
    <mergeCell ref="GHE67:GHM67"/>
    <mergeCell ref="GHO67:GHQ67"/>
    <mergeCell ref="GIE67:GIM67"/>
    <mergeCell ref="GIO67:GIQ67"/>
    <mergeCell ref="GIR67:GIZ67"/>
    <mergeCell ref="GJB67:GJD67"/>
    <mergeCell ref="GJE67:GJM67"/>
    <mergeCell ref="GJO67:GJQ67"/>
    <mergeCell ref="GER67:GEZ67"/>
    <mergeCell ref="GFB67:GFD67"/>
    <mergeCell ref="GFE67:GFM67"/>
    <mergeCell ref="GFO67:GFQ67"/>
    <mergeCell ref="GFR67:GFZ67"/>
    <mergeCell ref="GKO67:GKQ67"/>
    <mergeCell ref="GKR67:GKZ67"/>
    <mergeCell ref="GLB67:GLD67"/>
    <mergeCell ref="GLE67:GLM67"/>
    <mergeCell ref="GLO67:GLQ67"/>
    <mergeCell ref="GHR67:GHZ67"/>
    <mergeCell ref="GIB67:GID67"/>
    <mergeCell ref="GMR67:GMZ67"/>
    <mergeCell ref="GNB67:GND67"/>
    <mergeCell ref="GNE67:GNM67"/>
    <mergeCell ref="GNO67:GNQ67"/>
    <mergeCell ref="GLR67:GLZ67"/>
    <mergeCell ref="GMB67:GMD67"/>
    <mergeCell ref="GME67:GMM67"/>
    <mergeCell ref="GMO67:GMQ67"/>
    <mergeCell ref="GJR67:GJZ67"/>
    <mergeCell ref="GKB67:GKD67"/>
    <mergeCell ref="GKE67:GKM67"/>
    <mergeCell ref="GPB67:GPD67"/>
    <mergeCell ref="GPE67:GPM67"/>
    <mergeCell ref="GPO67:GPQ67"/>
    <mergeCell ref="GPR67:GPZ67"/>
    <mergeCell ref="GQB67:GQD67"/>
    <mergeCell ref="GQE67:GQM67"/>
    <mergeCell ref="GQO67:GQQ67"/>
    <mergeCell ref="GRE67:GRM67"/>
    <mergeCell ref="GRO67:GRQ67"/>
    <mergeCell ref="GRR67:GRZ67"/>
    <mergeCell ref="GSB67:GSD67"/>
    <mergeCell ref="GSE67:GSM67"/>
    <mergeCell ref="GSO67:GSQ67"/>
    <mergeCell ref="GNR67:GNZ67"/>
    <mergeCell ref="GOB67:GOD67"/>
    <mergeCell ref="GOE67:GOM67"/>
    <mergeCell ref="GOO67:GOQ67"/>
    <mergeCell ref="GOR67:GOZ67"/>
    <mergeCell ref="GTO67:GTQ67"/>
    <mergeCell ref="GTR67:GTZ67"/>
    <mergeCell ref="GUB67:GUD67"/>
    <mergeCell ref="GUE67:GUM67"/>
    <mergeCell ref="GUO67:GUQ67"/>
    <mergeCell ref="GQR67:GQZ67"/>
    <mergeCell ref="GRB67:GRD67"/>
    <mergeCell ref="GVR67:GVZ67"/>
    <mergeCell ref="GWB67:GWD67"/>
    <mergeCell ref="GWE67:GWM67"/>
    <mergeCell ref="GWO67:GWQ67"/>
    <mergeCell ref="GUR67:GUZ67"/>
    <mergeCell ref="GVB67:GVD67"/>
    <mergeCell ref="GVE67:GVM67"/>
    <mergeCell ref="GVO67:GVQ67"/>
    <mergeCell ref="GSR67:GSZ67"/>
    <mergeCell ref="GTB67:GTD67"/>
    <mergeCell ref="GTE67:GTM67"/>
    <mergeCell ref="GYB67:GYD67"/>
    <mergeCell ref="GYE67:GYM67"/>
    <mergeCell ref="GYO67:GYQ67"/>
    <mergeCell ref="GYR67:GYZ67"/>
    <mergeCell ref="GZB67:GZD67"/>
    <mergeCell ref="GZE67:GZM67"/>
    <mergeCell ref="GZO67:GZQ67"/>
    <mergeCell ref="HAE67:HAM67"/>
    <mergeCell ref="HAO67:HAQ67"/>
    <mergeCell ref="HAR67:HAZ67"/>
    <mergeCell ref="HBB67:HBD67"/>
    <mergeCell ref="HBE67:HBM67"/>
    <mergeCell ref="HBO67:HBQ67"/>
    <mergeCell ref="GWR67:GWZ67"/>
    <mergeCell ref="GXB67:GXD67"/>
    <mergeCell ref="GXE67:GXM67"/>
    <mergeCell ref="GXO67:GXQ67"/>
    <mergeCell ref="GXR67:GXZ67"/>
    <mergeCell ref="HCO67:HCQ67"/>
    <mergeCell ref="HCR67:HCZ67"/>
    <mergeCell ref="HDB67:HDD67"/>
    <mergeCell ref="HDE67:HDM67"/>
    <mergeCell ref="HDO67:HDQ67"/>
    <mergeCell ref="GZR67:GZZ67"/>
    <mergeCell ref="HAB67:HAD67"/>
    <mergeCell ref="HER67:HEZ67"/>
    <mergeCell ref="HFB67:HFD67"/>
    <mergeCell ref="HFE67:HFM67"/>
    <mergeCell ref="HFO67:HFQ67"/>
    <mergeCell ref="HDR67:HDZ67"/>
    <mergeCell ref="HEB67:HED67"/>
    <mergeCell ref="HEE67:HEM67"/>
    <mergeCell ref="HEO67:HEQ67"/>
    <mergeCell ref="HBR67:HBZ67"/>
    <mergeCell ref="HCB67:HCD67"/>
    <mergeCell ref="HCE67:HCM67"/>
    <mergeCell ref="HHB67:HHD67"/>
    <mergeCell ref="HHE67:HHM67"/>
    <mergeCell ref="HHO67:HHQ67"/>
    <mergeCell ref="HHR67:HHZ67"/>
    <mergeCell ref="HIB67:HID67"/>
    <mergeCell ref="HIE67:HIM67"/>
    <mergeCell ref="HIO67:HIQ67"/>
    <mergeCell ref="HJE67:HJM67"/>
    <mergeCell ref="HJO67:HJQ67"/>
    <mergeCell ref="HJR67:HJZ67"/>
    <mergeCell ref="HKB67:HKD67"/>
    <mergeCell ref="HKE67:HKM67"/>
    <mergeCell ref="HKO67:HKQ67"/>
    <mergeCell ref="HFR67:HFZ67"/>
    <mergeCell ref="HGB67:HGD67"/>
    <mergeCell ref="HGE67:HGM67"/>
    <mergeCell ref="HGO67:HGQ67"/>
    <mergeCell ref="HGR67:HGZ67"/>
    <mergeCell ref="HLO67:HLQ67"/>
    <mergeCell ref="HLR67:HLZ67"/>
    <mergeCell ref="HMB67:HMD67"/>
    <mergeCell ref="HME67:HMM67"/>
    <mergeCell ref="HMO67:HMQ67"/>
    <mergeCell ref="HIR67:HIZ67"/>
    <mergeCell ref="HJB67:HJD67"/>
    <mergeCell ref="HNR67:HNZ67"/>
    <mergeCell ref="HOB67:HOD67"/>
    <mergeCell ref="HOE67:HOM67"/>
    <mergeCell ref="HOO67:HOQ67"/>
    <mergeCell ref="HMR67:HMZ67"/>
    <mergeCell ref="HNB67:HND67"/>
    <mergeCell ref="HNE67:HNM67"/>
    <mergeCell ref="HNO67:HNQ67"/>
    <mergeCell ref="HKR67:HKZ67"/>
    <mergeCell ref="HLB67:HLD67"/>
    <mergeCell ref="HLE67:HLM67"/>
    <mergeCell ref="HQB67:HQD67"/>
    <mergeCell ref="HQE67:HQM67"/>
    <mergeCell ref="HQO67:HQQ67"/>
    <mergeCell ref="HQR67:HQZ67"/>
    <mergeCell ref="HRB67:HRD67"/>
    <mergeCell ref="HRE67:HRM67"/>
    <mergeCell ref="HRO67:HRQ67"/>
    <mergeCell ref="HSE67:HSM67"/>
    <mergeCell ref="HSO67:HSQ67"/>
    <mergeCell ref="HSR67:HSZ67"/>
    <mergeCell ref="HTB67:HTD67"/>
    <mergeCell ref="HTE67:HTM67"/>
    <mergeCell ref="HTO67:HTQ67"/>
    <mergeCell ref="HOR67:HOZ67"/>
    <mergeCell ref="HPB67:HPD67"/>
    <mergeCell ref="HPE67:HPM67"/>
    <mergeCell ref="HPO67:HPQ67"/>
    <mergeCell ref="HPR67:HPZ67"/>
    <mergeCell ref="HUO67:HUQ67"/>
    <mergeCell ref="HUR67:HUZ67"/>
    <mergeCell ref="HVB67:HVD67"/>
    <mergeCell ref="HVE67:HVM67"/>
    <mergeCell ref="HVO67:HVQ67"/>
    <mergeCell ref="HRR67:HRZ67"/>
    <mergeCell ref="HSB67:HSD67"/>
    <mergeCell ref="HWR67:HWZ67"/>
    <mergeCell ref="HXB67:HXD67"/>
    <mergeCell ref="HXE67:HXM67"/>
    <mergeCell ref="HXO67:HXQ67"/>
    <mergeCell ref="HVR67:HVZ67"/>
    <mergeCell ref="HWB67:HWD67"/>
    <mergeCell ref="HWE67:HWM67"/>
    <mergeCell ref="HWO67:HWQ67"/>
    <mergeCell ref="HTR67:HTZ67"/>
    <mergeCell ref="HUB67:HUD67"/>
    <mergeCell ref="HUE67:HUM67"/>
    <mergeCell ref="HZB67:HZD67"/>
    <mergeCell ref="HZE67:HZM67"/>
    <mergeCell ref="HZO67:HZQ67"/>
    <mergeCell ref="HZR67:HZZ67"/>
    <mergeCell ref="IAB67:IAD67"/>
    <mergeCell ref="IAE67:IAM67"/>
    <mergeCell ref="IAO67:IAQ67"/>
    <mergeCell ref="IBE67:IBM67"/>
    <mergeCell ref="IBO67:IBQ67"/>
    <mergeCell ref="IBR67:IBZ67"/>
    <mergeCell ref="ICB67:ICD67"/>
    <mergeCell ref="ICE67:ICM67"/>
    <mergeCell ref="ICO67:ICQ67"/>
    <mergeCell ref="HXR67:HXZ67"/>
    <mergeCell ref="HYB67:HYD67"/>
    <mergeCell ref="HYE67:HYM67"/>
    <mergeCell ref="HYO67:HYQ67"/>
    <mergeCell ref="HYR67:HYZ67"/>
    <mergeCell ref="IDO67:IDQ67"/>
    <mergeCell ref="IDR67:IDZ67"/>
    <mergeCell ref="IEB67:IED67"/>
    <mergeCell ref="IEE67:IEM67"/>
    <mergeCell ref="IEO67:IEQ67"/>
    <mergeCell ref="IAR67:IAZ67"/>
    <mergeCell ref="IBB67:IBD67"/>
    <mergeCell ref="IFR67:IFZ67"/>
    <mergeCell ref="IGB67:IGD67"/>
    <mergeCell ref="IGE67:IGM67"/>
    <mergeCell ref="IGO67:IGQ67"/>
    <mergeCell ref="IER67:IEZ67"/>
    <mergeCell ref="IFB67:IFD67"/>
    <mergeCell ref="IFE67:IFM67"/>
    <mergeCell ref="IFO67:IFQ67"/>
    <mergeCell ref="ICR67:ICZ67"/>
    <mergeCell ref="IDB67:IDD67"/>
    <mergeCell ref="IDE67:IDM67"/>
    <mergeCell ref="IIB67:IID67"/>
    <mergeCell ref="IIE67:IIM67"/>
    <mergeCell ref="IIO67:IIQ67"/>
    <mergeCell ref="IIR67:IIZ67"/>
    <mergeCell ref="IJB67:IJD67"/>
    <mergeCell ref="IJE67:IJM67"/>
    <mergeCell ref="IJO67:IJQ67"/>
    <mergeCell ref="IKE67:IKM67"/>
    <mergeCell ref="IKO67:IKQ67"/>
    <mergeCell ref="IKR67:IKZ67"/>
    <mergeCell ref="ILB67:ILD67"/>
    <mergeCell ref="ILE67:ILM67"/>
    <mergeCell ref="ILO67:ILQ67"/>
    <mergeCell ref="IGR67:IGZ67"/>
    <mergeCell ref="IHB67:IHD67"/>
    <mergeCell ref="IHE67:IHM67"/>
    <mergeCell ref="IHO67:IHQ67"/>
    <mergeCell ref="IHR67:IHZ67"/>
    <mergeCell ref="IMO67:IMQ67"/>
    <mergeCell ref="IMR67:IMZ67"/>
    <mergeCell ref="INB67:IND67"/>
    <mergeCell ref="INE67:INM67"/>
    <mergeCell ref="INO67:INQ67"/>
    <mergeCell ref="IJR67:IJZ67"/>
    <mergeCell ref="IKB67:IKD67"/>
    <mergeCell ref="IOR67:IOZ67"/>
    <mergeCell ref="IPB67:IPD67"/>
    <mergeCell ref="IPE67:IPM67"/>
    <mergeCell ref="IPO67:IPQ67"/>
    <mergeCell ref="INR67:INZ67"/>
    <mergeCell ref="IOB67:IOD67"/>
    <mergeCell ref="IOE67:IOM67"/>
    <mergeCell ref="IOO67:IOQ67"/>
    <mergeCell ref="ILR67:ILZ67"/>
    <mergeCell ref="IMB67:IMD67"/>
    <mergeCell ref="IME67:IMM67"/>
    <mergeCell ref="IRB67:IRD67"/>
    <mergeCell ref="IRE67:IRM67"/>
    <mergeCell ref="IRO67:IRQ67"/>
    <mergeCell ref="IRR67:IRZ67"/>
    <mergeCell ref="ISB67:ISD67"/>
    <mergeCell ref="ISE67:ISM67"/>
    <mergeCell ref="ISO67:ISQ67"/>
    <mergeCell ref="ITE67:ITM67"/>
    <mergeCell ref="ITO67:ITQ67"/>
    <mergeCell ref="ITR67:ITZ67"/>
    <mergeCell ref="IUB67:IUD67"/>
    <mergeCell ref="IUE67:IUM67"/>
    <mergeCell ref="IUO67:IUQ67"/>
    <mergeCell ref="IPR67:IPZ67"/>
    <mergeCell ref="IQB67:IQD67"/>
    <mergeCell ref="IQE67:IQM67"/>
    <mergeCell ref="IQO67:IQQ67"/>
    <mergeCell ref="IQR67:IQZ67"/>
    <mergeCell ref="IVO67:IVQ67"/>
    <mergeCell ref="IVR67:IVZ67"/>
    <mergeCell ref="IWB67:IWD67"/>
    <mergeCell ref="IWE67:IWM67"/>
    <mergeCell ref="IWO67:IWQ67"/>
    <mergeCell ref="ISR67:ISZ67"/>
    <mergeCell ref="ITB67:ITD67"/>
    <mergeCell ref="IXR67:IXZ67"/>
    <mergeCell ref="IYB67:IYD67"/>
    <mergeCell ref="IYE67:IYM67"/>
    <mergeCell ref="IYO67:IYQ67"/>
    <mergeCell ref="IWR67:IWZ67"/>
    <mergeCell ref="IXB67:IXD67"/>
    <mergeCell ref="IXE67:IXM67"/>
    <mergeCell ref="IXO67:IXQ67"/>
    <mergeCell ref="IUR67:IUZ67"/>
    <mergeCell ref="IVB67:IVD67"/>
    <mergeCell ref="IVE67:IVM67"/>
    <mergeCell ref="JAB67:JAD67"/>
    <mergeCell ref="JAE67:JAM67"/>
    <mergeCell ref="JAO67:JAQ67"/>
    <mergeCell ref="JAR67:JAZ67"/>
    <mergeCell ref="JBB67:JBD67"/>
    <mergeCell ref="JBE67:JBM67"/>
    <mergeCell ref="JBO67:JBQ67"/>
    <mergeCell ref="JCE67:JCM67"/>
    <mergeCell ref="JCO67:JCQ67"/>
    <mergeCell ref="JCR67:JCZ67"/>
    <mergeCell ref="JDB67:JDD67"/>
    <mergeCell ref="JDE67:JDM67"/>
    <mergeCell ref="JDO67:JDQ67"/>
    <mergeCell ref="IYR67:IYZ67"/>
    <mergeCell ref="IZB67:IZD67"/>
    <mergeCell ref="IZE67:IZM67"/>
    <mergeCell ref="IZO67:IZQ67"/>
    <mergeCell ref="IZR67:IZZ67"/>
    <mergeCell ref="JEO67:JEQ67"/>
    <mergeCell ref="JER67:JEZ67"/>
    <mergeCell ref="JFB67:JFD67"/>
    <mergeCell ref="JFE67:JFM67"/>
    <mergeCell ref="JFO67:JFQ67"/>
    <mergeCell ref="JBR67:JBZ67"/>
    <mergeCell ref="JCB67:JCD67"/>
    <mergeCell ref="JGR67:JGZ67"/>
    <mergeCell ref="JHB67:JHD67"/>
    <mergeCell ref="JHE67:JHM67"/>
    <mergeCell ref="JHO67:JHQ67"/>
    <mergeCell ref="JFR67:JFZ67"/>
    <mergeCell ref="JGB67:JGD67"/>
    <mergeCell ref="JGE67:JGM67"/>
    <mergeCell ref="JGO67:JGQ67"/>
    <mergeCell ref="JDR67:JDZ67"/>
    <mergeCell ref="JEB67:JED67"/>
    <mergeCell ref="JEE67:JEM67"/>
    <mergeCell ref="JJB67:JJD67"/>
    <mergeCell ref="JJE67:JJM67"/>
    <mergeCell ref="JJO67:JJQ67"/>
    <mergeCell ref="JJR67:JJZ67"/>
    <mergeCell ref="JKB67:JKD67"/>
    <mergeCell ref="JKE67:JKM67"/>
    <mergeCell ref="JKO67:JKQ67"/>
    <mergeCell ref="JLE67:JLM67"/>
    <mergeCell ref="JLO67:JLQ67"/>
    <mergeCell ref="JLR67:JLZ67"/>
    <mergeCell ref="JMB67:JMD67"/>
    <mergeCell ref="JME67:JMM67"/>
    <mergeCell ref="JMO67:JMQ67"/>
    <mergeCell ref="JHR67:JHZ67"/>
    <mergeCell ref="JIB67:JID67"/>
    <mergeCell ref="JIE67:JIM67"/>
    <mergeCell ref="JIO67:JIQ67"/>
    <mergeCell ref="JIR67:JIZ67"/>
    <mergeCell ref="JNO67:JNQ67"/>
    <mergeCell ref="JNR67:JNZ67"/>
    <mergeCell ref="JOB67:JOD67"/>
    <mergeCell ref="JOE67:JOM67"/>
    <mergeCell ref="JOO67:JOQ67"/>
    <mergeCell ref="JKR67:JKZ67"/>
    <mergeCell ref="JLB67:JLD67"/>
    <mergeCell ref="JPR67:JPZ67"/>
    <mergeCell ref="JQB67:JQD67"/>
    <mergeCell ref="JQE67:JQM67"/>
    <mergeCell ref="JQO67:JQQ67"/>
    <mergeCell ref="JOR67:JOZ67"/>
    <mergeCell ref="JPB67:JPD67"/>
    <mergeCell ref="JPE67:JPM67"/>
    <mergeCell ref="JPO67:JPQ67"/>
    <mergeCell ref="JMR67:JMZ67"/>
    <mergeCell ref="JNB67:JND67"/>
    <mergeCell ref="JNE67:JNM67"/>
    <mergeCell ref="JSB67:JSD67"/>
    <mergeCell ref="JSE67:JSM67"/>
    <mergeCell ref="JSO67:JSQ67"/>
    <mergeCell ref="JSR67:JSZ67"/>
    <mergeCell ref="JTB67:JTD67"/>
    <mergeCell ref="JTE67:JTM67"/>
    <mergeCell ref="JTO67:JTQ67"/>
    <mergeCell ref="JUE67:JUM67"/>
    <mergeCell ref="JUO67:JUQ67"/>
    <mergeCell ref="JUR67:JUZ67"/>
    <mergeCell ref="JVB67:JVD67"/>
    <mergeCell ref="JVE67:JVM67"/>
    <mergeCell ref="JVO67:JVQ67"/>
    <mergeCell ref="JQR67:JQZ67"/>
    <mergeCell ref="JRB67:JRD67"/>
    <mergeCell ref="JRE67:JRM67"/>
    <mergeCell ref="JRO67:JRQ67"/>
    <mergeCell ref="JRR67:JRZ67"/>
    <mergeCell ref="JWO67:JWQ67"/>
    <mergeCell ref="JWR67:JWZ67"/>
    <mergeCell ref="JXB67:JXD67"/>
    <mergeCell ref="JXE67:JXM67"/>
    <mergeCell ref="JXO67:JXQ67"/>
    <mergeCell ref="JTR67:JTZ67"/>
    <mergeCell ref="JUB67:JUD67"/>
    <mergeCell ref="JYR67:JYZ67"/>
    <mergeCell ref="JZB67:JZD67"/>
    <mergeCell ref="JZE67:JZM67"/>
    <mergeCell ref="JZO67:JZQ67"/>
    <mergeCell ref="JXR67:JXZ67"/>
    <mergeCell ref="JYB67:JYD67"/>
    <mergeCell ref="JYE67:JYM67"/>
    <mergeCell ref="JYO67:JYQ67"/>
    <mergeCell ref="JVR67:JVZ67"/>
    <mergeCell ref="JWB67:JWD67"/>
    <mergeCell ref="JWE67:JWM67"/>
    <mergeCell ref="KBB67:KBD67"/>
    <mergeCell ref="KBE67:KBM67"/>
    <mergeCell ref="KBO67:KBQ67"/>
    <mergeCell ref="KBR67:KBZ67"/>
    <mergeCell ref="KCB67:KCD67"/>
    <mergeCell ref="KCE67:KCM67"/>
    <mergeCell ref="KCO67:KCQ67"/>
    <mergeCell ref="KDE67:KDM67"/>
    <mergeCell ref="KDO67:KDQ67"/>
    <mergeCell ref="KDR67:KDZ67"/>
    <mergeCell ref="KEB67:KED67"/>
    <mergeCell ref="KEE67:KEM67"/>
    <mergeCell ref="KEO67:KEQ67"/>
    <mergeCell ref="JZR67:JZZ67"/>
    <mergeCell ref="KAB67:KAD67"/>
    <mergeCell ref="KAE67:KAM67"/>
    <mergeCell ref="KAO67:KAQ67"/>
    <mergeCell ref="KAR67:KAZ67"/>
    <mergeCell ref="KFO67:KFQ67"/>
    <mergeCell ref="KFR67:KFZ67"/>
    <mergeCell ref="KGB67:KGD67"/>
    <mergeCell ref="KGE67:KGM67"/>
    <mergeCell ref="KGO67:KGQ67"/>
    <mergeCell ref="KCR67:KCZ67"/>
    <mergeCell ref="KDB67:KDD67"/>
    <mergeCell ref="KHR67:KHZ67"/>
    <mergeCell ref="KIB67:KID67"/>
    <mergeCell ref="KIE67:KIM67"/>
    <mergeCell ref="KIO67:KIQ67"/>
    <mergeCell ref="KGR67:KGZ67"/>
    <mergeCell ref="KHB67:KHD67"/>
    <mergeCell ref="KHE67:KHM67"/>
    <mergeCell ref="KHO67:KHQ67"/>
    <mergeCell ref="KER67:KEZ67"/>
    <mergeCell ref="KFB67:KFD67"/>
    <mergeCell ref="KFE67:KFM67"/>
    <mergeCell ref="KKB67:KKD67"/>
    <mergeCell ref="KKE67:KKM67"/>
    <mergeCell ref="KKO67:KKQ67"/>
    <mergeCell ref="KKR67:KKZ67"/>
    <mergeCell ref="KLB67:KLD67"/>
    <mergeCell ref="KLE67:KLM67"/>
    <mergeCell ref="KLO67:KLQ67"/>
    <mergeCell ref="KME67:KMM67"/>
    <mergeCell ref="KMO67:KMQ67"/>
    <mergeCell ref="KMR67:KMZ67"/>
    <mergeCell ref="KNB67:KND67"/>
    <mergeCell ref="KNE67:KNM67"/>
    <mergeCell ref="KNO67:KNQ67"/>
    <mergeCell ref="KIR67:KIZ67"/>
    <mergeCell ref="KJB67:KJD67"/>
    <mergeCell ref="KJE67:KJM67"/>
    <mergeCell ref="KJO67:KJQ67"/>
    <mergeCell ref="KJR67:KJZ67"/>
    <mergeCell ref="KOO67:KOQ67"/>
    <mergeCell ref="KOR67:KOZ67"/>
    <mergeCell ref="KPB67:KPD67"/>
    <mergeCell ref="KPE67:KPM67"/>
    <mergeCell ref="KPO67:KPQ67"/>
    <mergeCell ref="KLR67:KLZ67"/>
    <mergeCell ref="KMB67:KMD67"/>
    <mergeCell ref="KQR67:KQZ67"/>
    <mergeCell ref="KRB67:KRD67"/>
    <mergeCell ref="KRE67:KRM67"/>
    <mergeCell ref="KRO67:KRQ67"/>
    <mergeCell ref="KPR67:KPZ67"/>
    <mergeCell ref="KQB67:KQD67"/>
    <mergeCell ref="KQE67:KQM67"/>
    <mergeCell ref="KQO67:KQQ67"/>
    <mergeCell ref="KNR67:KNZ67"/>
    <mergeCell ref="KOB67:KOD67"/>
    <mergeCell ref="KOE67:KOM67"/>
    <mergeCell ref="KTB67:KTD67"/>
    <mergeCell ref="KTE67:KTM67"/>
    <mergeCell ref="KTO67:KTQ67"/>
    <mergeCell ref="KTR67:KTZ67"/>
    <mergeCell ref="KUB67:KUD67"/>
    <mergeCell ref="KUE67:KUM67"/>
    <mergeCell ref="KUO67:KUQ67"/>
    <mergeCell ref="KVE67:KVM67"/>
    <mergeCell ref="KVO67:KVQ67"/>
    <mergeCell ref="KVR67:KVZ67"/>
    <mergeCell ref="KWB67:KWD67"/>
    <mergeCell ref="KWE67:KWM67"/>
    <mergeCell ref="KWO67:KWQ67"/>
    <mergeCell ref="KRR67:KRZ67"/>
    <mergeCell ref="KSB67:KSD67"/>
    <mergeCell ref="KSE67:KSM67"/>
    <mergeCell ref="KSO67:KSQ67"/>
    <mergeCell ref="KSR67:KSZ67"/>
    <mergeCell ref="KXO67:KXQ67"/>
    <mergeCell ref="KXR67:KXZ67"/>
    <mergeCell ref="KYB67:KYD67"/>
    <mergeCell ref="KYE67:KYM67"/>
    <mergeCell ref="KYO67:KYQ67"/>
    <mergeCell ref="KUR67:KUZ67"/>
    <mergeCell ref="KVB67:KVD67"/>
    <mergeCell ref="KZR67:KZZ67"/>
    <mergeCell ref="LAB67:LAD67"/>
    <mergeCell ref="LAE67:LAM67"/>
    <mergeCell ref="LAO67:LAQ67"/>
    <mergeCell ref="KYR67:KYZ67"/>
    <mergeCell ref="KZB67:KZD67"/>
    <mergeCell ref="KZE67:KZM67"/>
    <mergeCell ref="KZO67:KZQ67"/>
    <mergeCell ref="KWR67:KWZ67"/>
    <mergeCell ref="KXB67:KXD67"/>
    <mergeCell ref="KXE67:KXM67"/>
    <mergeCell ref="LCB67:LCD67"/>
    <mergeCell ref="LCE67:LCM67"/>
    <mergeCell ref="LCO67:LCQ67"/>
    <mergeCell ref="LCR67:LCZ67"/>
    <mergeCell ref="LDB67:LDD67"/>
    <mergeCell ref="LDE67:LDM67"/>
    <mergeCell ref="LDO67:LDQ67"/>
    <mergeCell ref="LEE67:LEM67"/>
    <mergeCell ref="LEO67:LEQ67"/>
    <mergeCell ref="LER67:LEZ67"/>
    <mergeCell ref="LFB67:LFD67"/>
    <mergeCell ref="LFE67:LFM67"/>
    <mergeCell ref="LFO67:LFQ67"/>
    <mergeCell ref="LAR67:LAZ67"/>
    <mergeCell ref="LBB67:LBD67"/>
    <mergeCell ref="LBE67:LBM67"/>
    <mergeCell ref="LBO67:LBQ67"/>
    <mergeCell ref="LBR67:LBZ67"/>
    <mergeCell ref="LGO67:LGQ67"/>
    <mergeCell ref="LGR67:LGZ67"/>
    <mergeCell ref="LHB67:LHD67"/>
    <mergeCell ref="LHE67:LHM67"/>
    <mergeCell ref="LHO67:LHQ67"/>
    <mergeCell ref="LDR67:LDZ67"/>
    <mergeCell ref="LEB67:LED67"/>
    <mergeCell ref="LIR67:LIZ67"/>
    <mergeCell ref="LJB67:LJD67"/>
    <mergeCell ref="LJE67:LJM67"/>
    <mergeCell ref="LJO67:LJQ67"/>
    <mergeCell ref="LHR67:LHZ67"/>
    <mergeCell ref="LIB67:LID67"/>
    <mergeCell ref="LIE67:LIM67"/>
    <mergeCell ref="LIO67:LIQ67"/>
    <mergeCell ref="LFR67:LFZ67"/>
    <mergeCell ref="LGB67:LGD67"/>
    <mergeCell ref="LGE67:LGM67"/>
    <mergeCell ref="LLB67:LLD67"/>
    <mergeCell ref="LLE67:LLM67"/>
    <mergeCell ref="LLO67:LLQ67"/>
    <mergeCell ref="LLR67:LLZ67"/>
    <mergeCell ref="LMB67:LMD67"/>
    <mergeCell ref="LME67:LMM67"/>
    <mergeCell ref="LMO67:LMQ67"/>
    <mergeCell ref="LNE67:LNM67"/>
    <mergeCell ref="LNO67:LNQ67"/>
    <mergeCell ref="LNR67:LNZ67"/>
    <mergeCell ref="LOB67:LOD67"/>
    <mergeCell ref="LOE67:LOM67"/>
    <mergeCell ref="LOO67:LOQ67"/>
    <mergeCell ref="LJR67:LJZ67"/>
    <mergeCell ref="LKB67:LKD67"/>
    <mergeCell ref="LKE67:LKM67"/>
    <mergeCell ref="LKO67:LKQ67"/>
    <mergeCell ref="LKR67:LKZ67"/>
    <mergeCell ref="LPO67:LPQ67"/>
    <mergeCell ref="LPR67:LPZ67"/>
    <mergeCell ref="LQB67:LQD67"/>
    <mergeCell ref="LQE67:LQM67"/>
    <mergeCell ref="LQO67:LQQ67"/>
    <mergeCell ref="LMR67:LMZ67"/>
    <mergeCell ref="LNB67:LND67"/>
    <mergeCell ref="LRR67:LRZ67"/>
    <mergeCell ref="LSB67:LSD67"/>
    <mergeCell ref="LSE67:LSM67"/>
    <mergeCell ref="LSO67:LSQ67"/>
    <mergeCell ref="LQR67:LQZ67"/>
    <mergeCell ref="LRB67:LRD67"/>
    <mergeCell ref="LRE67:LRM67"/>
    <mergeCell ref="LRO67:LRQ67"/>
    <mergeCell ref="LOR67:LOZ67"/>
    <mergeCell ref="LPB67:LPD67"/>
    <mergeCell ref="LPE67:LPM67"/>
    <mergeCell ref="LUB67:LUD67"/>
    <mergeCell ref="LUE67:LUM67"/>
    <mergeCell ref="LUO67:LUQ67"/>
    <mergeCell ref="LUR67:LUZ67"/>
    <mergeCell ref="LVB67:LVD67"/>
    <mergeCell ref="LVE67:LVM67"/>
    <mergeCell ref="LVO67:LVQ67"/>
    <mergeCell ref="LWE67:LWM67"/>
    <mergeCell ref="LWO67:LWQ67"/>
    <mergeCell ref="LWR67:LWZ67"/>
    <mergeCell ref="LXB67:LXD67"/>
    <mergeCell ref="LXE67:LXM67"/>
    <mergeCell ref="LXO67:LXQ67"/>
    <mergeCell ref="LSR67:LSZ67"/>
    <mergeCell ref="LTB67:LTD67"/>
    <mergeCell ref="LTE67:LTM67"/>
    <mergeCell ref="LTO67:LTQ67"/>
    <mergeCell ref="LTR67:LTZ67"/>
    <mergeCell ref="LYO67:LYQ67"/>
    <mergeCell ref="LYR67:LYZ67"/>
    <mergeCell ref="LZB67:LZD67"/>
    <mergeCell ref="LZE67:LZM67"/>
    <mergeCell ref="LZO67:LZQ67"/>
    <mergeCell ref="LVR67:LVZ67"/>
    <mergeCell ref="LWB67:LWD67"/>
    <mergeCell ref="MAR67:MAZ67"/>
    <mergeCell ref="MBB67:MBD67"/>
    <mergeCell ref="MBE67:MBM67"/>
    <mergeCell ref="MBO67:MBQ67"/>
    <mergeCell ref="LZR67:LZZ67"/>
    <mergeCell ref="MAB67:MAD67"/>
    <mergeCell ref="MAE67:MAM67"/>
    <mergeCell ref="MAO67:MAQ67"/>
    <mergeCell ref="LXR67:LXZ67"/>
    <mergeCell ref="LYB67:LYD67"/>
    <mergeCell ref="LYE67:LYM67"/>
    <mergeCell ref="MDB67:MDD67"/>
    <mergeCell ref="MDE67:MDM67"/>
    <mergeCell ref="MDO67:MDQ67"/>
    <mergeCell ref="MDR67:MDZ67"/>
    <mergeCell ref="MEB67:MED67"/>
    <mergeCell ref="MEE67:MEM67"/>
    <mergeCell ref="MEO67:MEQ67"/>
    <mergeCell ref="MFE67:MFM67"/>
    <mergeCell ref="MFO67:MFQ67"/>
    <mergeCell ref="MFR67:MFZ67"/>
    <mergeCell ref="MGB67:MGD67"/>
    <mergeCell ref="MGE67:MGM67"/>
    <mergeCell ref="MGO67:MGQ67"/>
    <mergeCell ref="MBR67:MBZ67"/>
    <mergeCell ref="MCB67:MCD67"/>
    <mergeCell ref="MCE67:MCM67"/>
    <mergeCell ref="MCO67:MCQ67"/>
    <mergeCell ref="MCR67:MCZ67"/>
    <mergeCell ref="MHO67:MHQ67"/>
    <mergeCell ref="MHR67:MHZ67"/>
    <mergeCell ref="MIB67:MID67"/>
    <mergeCell ref="MIE67:MIM67"/>
    <mergeCell ref="MIO67:MIQ67"/>
    <mergeCell ref="MER67:MEZ67"/>
    <mergeCell ref="MFB67:MFD67"/>
    <mergeCell ref="MJR67:MJZ67"/>
    <mergeCell ref="MKB67:MKD67"/>
    <mergeCell ref="MKE67:MKM67"/>
    <mergeCell ref="MKO67:MKQ67"/>
    <mergeCell ref="MIR67:MIZ67"/>
    <mergeCell ref="MJB67:MJD67"/>
    <mergeCell ref="MJE67:MJM67"/>
    <mergeCell ref="MJO67:MJQ67"/>
    <mergeCell ref="MGR67:MGZ67"/>
    <mergeCell ref="MHB67:MHD67"/>
    <mergeCell ref="MHE67:MHM67"/>
    <mergeCell ref="MMB67:MMD67"/>
    <mergeCell ref="MME67:MMM67"/>
    <mergeCell ref="MMO67:MMQ67"/>
    <mergeCell ref="MMR67:MMZ67"/>
    <mergeCell ref="MNB67:MND67"/>
    <mergeCell ref="MNE67:MNM67"/>
    <mergeCell ref="MNO67:MNQ67"/>
    <mergeCell ref="MOE67:MOM67"/>
    <mergeCell ref="MOO67:MOQ67"/>
    <mergeCell ref="MOR67:MOZ67"/>
    <mergeCell ref="MPB67:MPD67"/>
    <mergeCell ref="MPE67:MPM67"/>
    <mergeCell ref="MPO67:MPQ67"/>
    <mergeCell ref="MKR67:MKZ67"/>
    <mergeCell ref="MLB67:MLD67"/>
    <mergeCell ref="MLE67:MLM67"/>
    <mergeCell ref="MLO67:MLQ67"/>
    <mergeCell ref="MLR67:MLZ67"/>
    <mergeCell ref="MQO67:MQQ67"/>
    <mergeCell ref="MQR67:MQZ67"/>
    <mergeCell ref="MRB67:MRD67"/>
    <mergeCell ref="MRE67:MRM67"/>
    <mergeCell ref="MRO67:MRQ67"/>
    <mergeCell ref="MNR67:MNZ67"/>
    <mergeCell ref="MOB67:MOD67"/>
    <mergeCell ref="MSR67:MSZ67"/>
    <mergeCell ref="MTB67:MTD67"/>
    <mergeCell ref="MTE67:MTM67"/>
    <mergeCell ref="MTO67:MTQ67"/>
    <mergeCell ref="MRR67:MRZ67"/>
    <mergeCell ref="MSB67:MSD67"/>
    <mergeCell ref="MSE67:MSM67"/>
    <mergeCell ref="MSO67:MSQ67"/>
    <mergeCell ref="MPR67:MPZ67"/>
    <mergeCell ref="MQB67:MQD67"/>
    <mergeCell ref="MQE67:MQM67"/>
    <mergeCell ref="MVB67:MVD67"/>
    <mergeCell ref="MVE67:MVM67"/>
    <mergeCell ref="MVO67:MVQ67"/>
    <mergeCell ref="MVR67:MVZ67"/>
    <mergeCell ref="MWB67:MWD67"/>
    <mergeCell ref="MWE67:MWM67"/>
    <mergeCell ref="MWO67:MWQ67"/>
    <mergeCell ref="MXE67:MXM67"/>
    <mergeCell ref="MXO67:MXQ67"/>
    <mergeCell ref="MXR67:MXZ67"/>
    <mergeCell ref="MYB67:MYD67"/>
    <mergeCell ref="MYE67:MYM67"/>
    <mergeCell ref="MYO67:MYQ67"/>
    <mergeCell ref="MTR67:MTZ67"/>
    <mergeCell ref="MUB67:MUD67"/>
    <mergeCell ref="MUE67:MUM67"/>
    <mergeCell ref="MUO67:MUQ67"/>
    <mergeCell ref="MUR67:MUZ67"/>
    <mergeCell ref="MZO67:MZQ67"/>
    <mergeCell ref="MZR67:MZZ67"/>
    <mergeCell ref="NAB67:NAD67"/>
    <mergeCell ref="NAE67:NAM67"/>
    <mergeCell ref="NAO67:NAQ67"/>
    <mergeCell ref="MWR67:MWZ67"/>
    <mergeCell ref="MXB67:MXD67"/>
    <mergeCell ref="NBR67:NBZ67"/>
    <mergeCell ref="NCB67:NCD67"/>
    <mergeCell ref="NCE67:NCM67"/>
    <mergeCell ref="NCO67:NCQ67"/>
    <mergeCell ref="NAR67:NAZ67"/>
    <mergeCell ref="NBB67:NBD67"/>
    <mergeCell ref="NBE67:NBM67"/>
    <mergeCell ref="NBO67:NBQ67"/>
    <mergeCell ref="MYR67:MYZ67"/>
    <mergeCell ref="MZB67:MZD67"/>
    <mergeCell ref="MZE67:MZM67"/>
    <mergeCell ref="NEB67:NED67"/>
    <mergeCell ref="NEE67:NEM67"/>
    <mergeCell ref="NEO67:NEQ67"/>
    <mergeCell ref="NER67:NEZ67"/>
    <mergeCell ref="NFB67:NFD67"/>
    <mergeCell ref="NFE67:NFM67"/>
    <mergeCell ref="NFO67:NFQ67"/>
    <mergeCell ref="NGE67:NGM67"/>
    <mergeCell ref="NGO67:NGQ67"/>
    <mergeCell ref="NGR67:NGZ67"/>
    <mergeCell ref="NHB67:NHD67"/>
    <mergeCell ref="NHE67:NHM67"/>
    <mergeCell ref="NHO67:NHQ67"/>
    <mergeCell ref="NCR67:NCZ67"/>
    <mergeCell ref="NDB67:NDD67"/>
    <mergeCell ref="NDE67:NDM67"/>
    <mergeCell ref="NDO67:NDQ67"/>
    <mergeCell ref="NDR67:NDZ67"/>
    <mergeCell ref="NIO67:NIQ67"/>
    <mergeCell ref="NIR67:NIZ67"/>
    <mergeCell ref="NJB67:NJD67"/>
    <mergeCell ref="NJE67:NJM67"/>
    <mergeCell ref="NJO67:NJQ67"/>
    <mergeCell ref="NFR67:NFZ67"/>
    <mergeCell ref="NGB67:NGD67"/>
    <mergeCell ref="NKR67:NKZ67"/>
    <mergeCell ref="NLB67:NLD67"/>
    <mergeCell ref="NLE67:NLM67"/>
    <mergeCell ref="NLO67:NLQ67"/>
    <mergeCell ref="NJR67:NJZ67"/>
    <mergeCell ref="NKB67:NKD67"/>
    <mergeCell ref="NKE67:NKM67"/>
    <mergeCell ref="NKO67:NKQ67"/>
    <mergeCell ref="NHR67:NHZ67"/>
    <mergeCell ref="NIB67:NID67"/>
    <mergeCell ref="NIE67:NIM67"/>
    <mergeCell ref="NNB67:NND67"/>
    <mergeCell ref="NNE67:NNM67"/>
    <mergeCell ref="NNO67:NNQ67"/>
    <mergeCell ref="NNR67:NNZ67"/>
    <mergeCell ref="NOB67:NOD67"/>
    <mergeCell ref="NOE67:NOM67"/>
    <mergeCell ref="NOO67:NOQ67"/>
    <mergeCell ref="NPE67:NPM67"/>
    <mergeCell ref="NPO67:NPQ67"/>
    <mergeCell ref="NPR67:NPZ67"/>
    <mergeCell ref="NQB67:NQD67"/>
    <mergeCell ref="NQE67:NQM67"/>
    <mergeCell ref="NQO67:NQQ67"/>
    <mergeCell ref="NLR67:NLZ67"/>
    <mergeCell ref="NMB67:NMD67"/>
    <mergeCell ref="NME67:NMM67"/>
    <mergeCell ref="NMO67:NMQ67"/>
    <mergeCell ref="NMR67:NMZ67"/>
    <mergeCell ref="NRO67:NRQ67"/>
    <mergeCell ref="NRR67:NRZ67"/>
    <mergeCell ref="NSB67:NSD67"/>
    <mergeCell ref="NSE67:NSM67"/>
    <mergeCell ref="NSO67:NSQ67"/>
    <mergeCell ref="NOR67:NOZ67"/>
    <mergeCell ref="NPB67:NPD67"/>
    <mergeCell ref="NTR67:NTZ67"/>
    <mergeCell ref="NUB67:NUD67"/>
    <mergeCell ref="NUE67:NUM67"/>
    <mergeCell ref="NUO67:NUQ67"/>
    <mergeCell ref="NSR67:NSZ67"/>
    <mergeCell ref="NTB67:NTD67"/>
    <mergeCell ref="NTE67:NTM67"/>
    <mergeCell ref="NTO67:NTQ67"/>
    <mergeCell ref="NQR67:NQZ67"/>
    <mergeCell ref="NRB67:NRD67"/>
    <mergeCell ref="NRE67:NRM67"/>
    <mergeCell ref="NWB67:NWD67"/>
    <mergeCell ref="NWE67:NWM67"/>
    <mergeCell ref="NWO67:NWQ67"/>
    <mergeCell ref="NWR67:NWZ67"/>
    <mergeCell ref="NXB67:NXD67"/>
    <mergeCell ref="NXE67:NXM67"/>
    <mergeCell ref="NXO67:NXQ67"/>
    <mergeCell ref="NYE67:NYM67"/>
    <mergeCell ref="NYO67:NYQ67"/>
    <mergeCell ref="NYR67:NYZ67"/>
    <mergeCell ref="NZB67:NZD67"/>
    <mergeCell ref="NZE67:NZM67"/>
    <mergeCell ref="NZO67:NZQ67"/>
    <mergeCell ref="NUR67:NUZ67"/>
    <mergeCell ref="NVB67:NVD67"/>
    <mergeCell ref="NVE67:NVM67"/>
    <mergeCell ref="NVO67:NVQ67"/>
    <mergeCell ref="NVR67:NVZ67"/>
    <mergeCell ref="OAO67:OAQ67"/>
    <mergeCell ref="OAR67:OAZ67"/>
    <mergeCell ref="OBB67:OBD67"/>
    <mergeCell ref="OBE67:OBM67"/>
    <mergeCell ref="OBO67:OBQ67"/>
    <mergeCell ref="NXR67:NXZ67"/>
    <mergeCell ref="NYB67:NYD67"/>
    <mergeCell ref="OCR67:OCZ67"/>
    <mergeCell ref="ODB67:ODD67"/>
    <mergeCell ref="ODE67:ODM67"/>
    <mergeCell ref="ODO67:ODQ67"/>
    <mergeCell ref="OBR67:OBZ67"/>
    <mergeCell ref="OCB67:OCD67"/>
    <mergeCell ref="OCE67:OCM67"/>
    <mergeCell ref="OCO67:OCQ67"/>
    <mergeCell ref="NZR67:NZZ67"/>
    <mergeCell ref="OAB67:OAD67"/>
    <mergeCell ref="OAE67:OAM67"/>
    <mergeCell ref="OFB67:OFD67"/>
    <mergeCell ref="OFE67:OFM67"/>
    <mergeCell ref="OFO67:OFQ67"/>
    <mergeCell ref="OFR67:OFZ67"/>
    <mergeCell ref="OGB67:OGD67"/>
    <mergeCell ref="OGE67:OGM67"/>
    <mergeCell ref="OGO67:OGQ67"/>
    <mergeCell ref="OHE67:OHM67"/>
    <mergeCell ref="OHO67:OHQ67"/>
    <mergeCell ref="OHR67:OHZ67"/>
    <mergeCell ref="OIB67:OID67"/>
    <mergeCell ref="OIE67:OIM67"/>
    <mergeCell ref="OIO67:OIQ67"/>
    <mergeCell ref="ODR67:ODZ67"/>
    <mergeCell ref="OEB67:OED67"/>
    <mergeCell ref="OEE67:OEM67"/>
    <mergeCell ref="OEO67:OEQ67"/>
    <mergeCell ref="OER67:OEZ67"/>
    <mergeCell ref="OJO67:OJQ67"/>
    <mergeCell ref="OJR67:OJZ67"/>
    <mergeCell ref="OKB67:OKD67"/>
    <mergeCell ref="OKE67:OKM67"/>
    <mergeCell ref="OKO67:OKQ67"/>
    <mergeCell ref="OGR67:OGZ67"/>
    <mergeCell ref="OHB67:OHD67"/>
    <mergeCell ref="OLR67:OLZ67"/>
    <mergeCell ref="OMB67:OMD67"/>
    <mergeCell ref="OME67:OMM67"/>
    <mergeCell ref="OMO67:OMQ67"/>
    <mergeCell ref="OKR67:OKZ67"/>
    <mergeCell ref="OLB67:OLD67"/>
    <mergeCell ref="OLE67:OLM67"/>
    <mergeCell ref="OLO67:OLQ67"/>
    <mergeCell ref="OIR67:OIZ67"/>
    <mergeCell ref="OJB67:OJD67"/>
    <mergeCell ref="OJE67:OJM67"/>
    <mergeCell ref="OOB67:OOD67"/>
    <mergeCell ref="OOE67:OOM67"/>
    <mergeCell ref="OOO67:OOQ67"/>
    <mergeCell ref="OOR67:OOZ67"/>
    <mergeCell ref="OPB67:OPD67"/>
    <mergeCell ref="OPE67:OPM67"/>
    <mergeCell ref="OPO67:OPQ67"/>
    <mergeCell ref="OQE67:OQM67"/>
    <mergeCell ref="OQO67:OQQ67"/>
    <mergeCell ref="OQR67:OQZ67"/>
    <mergeCell ref="ORB67:ORD67"/>
    <mergeCell ref="ORE67:ORM67"/>
    <mergeCell ref="ORO67:ORQ67"/>
    <mergeCell ref="OMR67:OMZ67"/>
    <mergeCell ref="ONB67:OND67"/>
    <mergeCell ref="ONE67:ONM67"/>
    <mergeCell ref="ONO67:ONQ67"/>
    <mergeCell ref="ONR67:ONZ67"/>
    <mergeCell ref="OSO67:OSQ67"/>
    <mergeCell ref="OSR67:OSZ67"/>
    <mergeCell ref="OTB67:OTD67"/>
    <mergeCell ref="OTE67:OTM67"/>
    <mergeCell ref="OTO67:OTQ67"/>
    <mergeCell ref="OPR67:OPZ67"/>
    <mergeCell ref="OQB67:OQD67"/>
    <mergeCell ref="OUR67:OUZ67"/>
    <mergeCell ref="OVB67:OVD67"/>
    <mergeCell ref="OVE67:OVM67"/>
    <mergeCell ref="OVO67:OVQ67"/>
    <mergeCell ref="OTR67:OTZ67"/>
    <mergeCell ref="OUB67:OUD67"/>
    <mergeCell ref="OUE67:OUM67"/>
    <mergeCell ref="OUO67:OUQ67"/>
    <mergeCell ref="ORR67:ORZ67"/>
    <mergeCell ref="OSB67:OSD67"/>
    <mergeCell ref="OSE67:OSM67"/>
    <mergeCell ref="OXB67:OXD67"/>
    <mergeCell ref="OXE67:OXM67"/>
    <mergeCell ref="OXO67:OXQ67"/>
    <mergeCell ref="OXR67:OXZ67"/>
    <mergeCell ref="OYB67:OYD67"/>
    <mergeCell ref="OYE67:OYM67"/>
    <mergeCell ref="OYO67:OYQ67"/>
    <mergeCell ref="OZE67:OZM67"/>
    <mergeCell ref="OZO67:OZQ67"/>
    <mergeCell ref="OZR67:OZZ67"/>
    <mergeCell ref="PAB67:PAD67"/>
    <mergeCell ref="PAE67:PAM67"/>
    <mergeCell ref="PAO67:PAQ67"/>
    <mergeCell ref="OVR67:OVZ67"/>
    <mergeCell ref="OWB67:OWD67"/>
    <mergeCell ref="OWE67:OWM67"/>
    <mergeCell ref="OWO67:OWQ67"/>
    <mergeCell ref="OWR67:OWZ67"/>
    <mergeCell ref="PBO67:PBQ67"/>
    <mergeCell ref="PBR67:PBZ67"/>
    <mergeCell ref="PCB67:PCD67"/>
    <mergeCell ref="PCE67:PCM67"/>
    <mergeCell ref="PCO67:PCQ67"/>
    <mergeCell ref="OYR67:OYZ67"/>
    <mergeCell ref="OZB67:OZD67"/>
    <mergeCell ref="PDR67:PDZ67"/>
    <mergeCell ref="PEB67:PED67"/>
    <mergeCell ref="PEE67:PEM67"/>
    <mergeCell ref="PEO67:PEQ67"/>
    <mergeCell ref="PCR67:PCZ67"/>
    <mergeCell ref="PDB67:PDD67"/>
    <mergeCell ref="PDE67:PDM67"/>
    <mergeCell ref="PDO67:PDQ67"/>
    <mergeCell ref="PAR67:PAZ67"/>
    <mergeCell ref="PBB67:PBD67"/>
    <mergeCell ref="PBE67:PBM67"/>
    <mergeCell ref="PGB67:PGD67"/>
    <mergeCell ref="PGE67:PGM67"/>
    <mergeCell ref="PGO67:PGQ67"/>
    <mergeCell ref="PGR67:PGZ67"/>
    <mergeCell ref="PHB67:PHD67"/>
    <mergeCell ref="PHE67:PHM67"/>
    <mergeCell ref="PHO67:PHQ67"/>
    <mergeCell ref="PIE67:PIM67"/>
    <mergeCell ref="PIO67:PIQ67"/>
    <mergeCell ref="PIR67:PIZ67"/>
    <mergeCell ref="PJB67:PJD67"/>
    <mergeCell ref="PJE67:PJM67"/>
    <mergeCell ref="PJO67:PJQ67"/>
    <mergeCell ref="PER67:PEZ67"/>
    <mergeCell ref="PFB67:PFD67"/>
    <mergeCell ref="PFE67:PFM67"/>
    <mergeCell ref="PFO67:PFQ67"/>
    <mergeCell ref="PFR67:PFZ67"/>
    <mergeCell ref="PKO67:PKQ67"/>
    <mergeCell ref="PKR67:PKZ67"/>
    <mergeCell ref="PLB67:PLD67"/>
    <mergeCell ref="PLE67:PLM67"/>
    <mergeCell ref="PLO67:PLQ67"/>
    <mergeCell ref="PHR67:PHZ67"/>
    <mergeCell ref="PIB67:PID67"/>
    <mergeCell ref="PMR67:PMZ67"/>
    <mergeCell ref="PNB67:PND67"/>
    <mergeCell ref="PNE67:PNM67"/>
    <mergeCell ref="PNO67:PNQ67"/>
    <mergeCell ref="PLR67:PLZ67"/>
    <mergeCell ref="PMB67:PMD67"/>
    <mergeCell ref="PME67:PMM67"/>
    <mergeCell ref="PMO67:PMQ67"/>
    <mergeCell ref="PJR67:PJZ67"/>
    <mergeCell ref="PKB67:PKD67"/>
    <mergeCell ref="PKE67:PKM67"/>
    <mergeCell ref="PPB67:PPD67"/>
    <mergeCell ref="PPE67:PPM67"/>
    <mergeCell ref="PPO67:PPQ67"/>
    <mergeCell ref="PPR67:PPZ67"/>
    <mergeCell ref="PQB67:PQD67"/>
    <mergeCell ref="PQE67:PQM67"/>
    <mergeCell ref="PQO67:PQQ67"/>
    <mergeCell ref="PRE67:PRM67"/>
    <mergeCell ref="PRO67:PRQ67"/>
    <mergeCell ref="PRR67:PRZ67"/>
    <mergeCell ref="PSB67:PSD67"/>
    <mergeCell ref="PSE67:PSM67"/>
    <mergeCell ref="PSO67:PSQ67"/>
    <mergeCell ref="PNR67:PNZ67"/>
    <mergeCell ref="POB67:POD67"/>
    <mergeCell ref="POE67:POM67"/>
    <mergeCell ref="POO67:POQ67"/>
    <mergeCell ref="POR67:POZ67"/>
    <mergeCell ref="PTO67:PTQ67"/>
    <mergeCell ref="PTR67:PTZ67"/>
    <mergeCell ref="PUB67:PUD67"/>
    <mergeCell ref="PUE67:PUM67"/>
    <mergeCell ref="PUO67:PUQ67"/>
    <mergeCell ref="PQR67:PQZ67"/>
    <mergeCell ref="PRB67:PRD67"/>
    <mergeCell ref="PVR67:PVZ67"/>
    <mergeCell ref="PWB67:PWD67"/>
    <mergeCell ref="PWE67:PWM67"/>
    <mergeCell ref="PWO67:PWQ67"/>
    <mergeCell ref="PUR67:PUZ67"/>
    <mergeCell ref="PVB67:PVD67"/>
    <mergeCell ref="PVE67:PVM67"/>
    <mergeCell ref="PVO67:PVQ67"/>
    <mergeCell ref="PSR67:PSZ67"/>
    <mergeCell ref="PTB67:PTD67"/>
    <mergeCell ref="PTE67:PTM67"/>
    <mergeCell ref="PYB67:PYD67"/>
    <mergeCell ref="PYE67:PYM67"/>
    <mergeCell ref="PYO67:PYQ67"/>
    <mergeCell ref="PYR67:PYZ67"/>
    <mergeCell ref="PZB67:PZD67"/>
    <mergeCell ref="PZE67:PZM67"/>
    <mergeCell ref="PZO67:PZQ67"/>
    <mergeCell ref="QAE67:QAM67"/>
    <mergeCell ref="QAO67:QAQ67"/>
    <mergeCell ref="QAR67:QAZ67"/>
    <mergeCell ref="QBB67:QBD67"/>
    <mergeCell ref="QBE67:QBM67"/>
    <mergeCell ref="QBO67:QBQ67"/>
    <mergeCell ref="PWR67:PWZ67"/>
    <mergeCell ref="PXB67:PXD67"/>
    <mergeCell ref="PXE67:PXM67"/>
    <mergeCell ref="PXO67:PXQ67"/>
    <mergeCell ref="PXR67:PXZ67"/>
    <mergeCell ref="QCO67:QCQ67"/>
    <mergeCell ref="QCR67:QCZ67"/>
    <mergeCell ref="QDB67:QDD67"/>
    <mergeCell ref="QDE67:QDM67"/>
    <mergeCell ref="QDO67:QDQ67"/>
    <mergeCell ref="PZR67:PZZ67"/>
    <mergeCell ref="QAB67:QAD67"/>
    <mergeCell ref="QER67:QEZ67"/>
    <mergeCell ref="QFB67:QFD67"/>
    <mergeCell ref="QFE67:QFM67"/>
    <mergeCell ref="QFO67:QFQ67"/>
    <mergeCell ref="QDR67:QDZ67"/>
    <mergeCell ref="QEB67:QED67"/>
    <mergeCell ref="QEE67:QEM67"/>
    <mergeCell ref="QEO67:QEQ67"/>
    <mergeCell ref="QBR67:QBZ67"/>
    <mergeCell ref="QCB67:QCD67"/>
    <mergeCell ref="QCE67:QCM67"/>
    <mergeCell ref="QHB67:QHD67"/>
    <mergeCell ref="QHE67:QHM67"/>
    <mergeCell ref="QHO67:QHQ67"/>
    <mergeCell ref="QHR67:QHZ67"/>
    <mergeCell ref="QIB67:QID67"/>
    <mergeCell ref="QIE67:QIM67"/>
    <mergeCell ref="QIO67:QIQ67"/>
    <mergeCell ref="QJE67:QJM67"/>
    <mergeCell ref="QJO67:QJQ67"/>
    <mergeCell ref="QJR67:QJZ67"/>
    <mergeCell ref="QKB67:QKD67"/>
    <mergeCell ref="QKE67:QKM67"/>
    <mergeCell ref="QKO67:QKQ67"/>
    <mergeCell ref="QFR67:QFZ67"/>
    <mergeCell ref="QGB67:QGD67"/>
    <mergeCell ref="QGE67:QGM67"/>
    <mergeCell ref="QGO67:QGQ67"/>
    <mergeCell ref="QGR67:QGZ67"/>
    <mergeCell ref="QLO67:QLQ67"/>
    <mergeCell ref="QLR67:QLZ67"/>
    <mergeCell ref="QMB67:QMD67"/>
    <mergeCell ref="QME67:QMM67"/>
    <mergeCell ref="QMO67:QMQ67"/>
    <mergeCell ref="QIR67:QIZ67"/>
    <mergeCell ref="QJB67:QJD67"/>
    <mergeCell ref="QNR67:QNZ67"/>
    <mergeCell ref="QOB67:QOD67"/>
    <mergeCell ref="QOE67:QOM67"/>
    <mergeCell ref="QOO67:QOQ67"/>
    <mergeCell ref="QMR67:QMZ67"/>
    <mergeCell ref="QNB67:QND67"/>
    <mergeCell ref="QNE67:QNM67"/>
    <mergeCell ref="QNO67:QNQ67"/>
    <mergeCell ref="QKR67:QKZ67"/>
    <mergeCell ref="QLB67:QLD67"/>
    <mergeCell ref="QLE67:QLM67"/>
    <mergeCell ref="QQB67:QQD67"/>
    <mergeCell ref="QQE67:QQM67"/>
    <mergeCell ref="QQO67:QQQ67"/>
    <mergeCell ref="QQR67:QQZ67"/>
    <mergeCell ref="QRB67:QRD67"/>
    <mergeCell ref="QRE67:QRM67"/>
    <mergeCell ref="QRO67:QRQ67"/>
    <mergeCell ref="QSE67:QSM67"/>
    <mergeCell ref="QSO67:QSQ67"/>
    <mergeCell ref="QSR67:QSZ67"/>
    <mergeCell ref="QTB67:QTD67"/>
    <mergeCell ref="QTE67:QTM67"/>
    <mergeCell ref="QTO67:QTQ67"/>
    <mergeCell ref="QOR67:QOZ67"/>
    <mergeCell ref="QPB67:QPD67"/>
    <mergeCell ref="QPE67:QPM67"/>
    <mergeCell ref="QPO67:QPQ67"/>
    <mergeCell ref="QPR67:QPZ67"/>
    <mergeCell ref="QUO67:QUQ67"/>
    <mergeCell ref="QUR67:QUZ67"/>
    <mergeCell ref="QVB67:QVD67"/>
    <mergeCell ref="QVE67:QVM67"/>
    <mergeCell ref="QVO67:QVQ67"/>
    <mergeCell ref="QRR67:QRZ67"/>
    <mergeCell ref="QSB67:QSD67"/>
    <mergeCell ref="QWR67:QWZ67"/>
    <mergeCell ref="QXB67:QXD67"/>
    <mergeCell ref="QXE67:QXM67"/>
    <mergeCell ref="QXO67:QXQ67"/>
    <mergeCell ref="QVR67:QVZ67"/>
    <mergeCell ref="QWB67:QWD67"/>
    <mergeCell ref="QWE67:QWM67"/>
    <mergeCell ref="QWO67:QWQ67"/>
    <mergeCell ref="QTR67:QTZ67"/>
    <mergeCell ref="QUB67:QUD67"/>
    <mergeCell ref="QUE67:QUM67"/>
    <mergeCell ref="QZB67:QZD67"/>
    <mergeCell ref="QZE67:QZM67"/>
    <mergeCell ref="QZO67:QZQ67"/>
    <mergeCell ref="QZR67:QZZ67"/>
    <mergeCell ref="RAB67:RAD67"/>
    <mergeCell ref="RAE67:RAM67"/>
    <mergeCell ref="RAO67:RAQ67"/>
    <mergeCell ref="RBE67:RBM67"/>
    <mergeCell ref="RBO67:RBQ67"/>
    <mergeCell ref="RBR67:RBZ67"/>
    <mergeCell ref="RCB67:RCD67"/>
    <mergeCell ref="RCE67:RCM67"/>
    <mergeCell ref="RCO67:RCQ67"/>
    <mergeCell ref="QXR67:QXZ67"/>
    <mergeCell ref="QYB67:QYD67"/>
    <mergeCell ref="QYE67:QYM67"/>
    <mergeCell ref="QYO67:QYQ67"/>
    <mergeCell ref="QYR67:QYZ67"/>
    <mergeCell ref="RDO67:RDQ67"/>
    <mergeCell ref="RDR67:RDZ67"/>
    <mergeCell ref="REB67:RED67"/>
    <mergeCell ref="REE67:REM67"/>
    <mergeCell ref="REO67:REQ67"/>
    <mergeCell ref="RAR67:RAZ67"/>
    <mergeCell ref="RBB67:RBD67"/>
    <mergeCell ref="RFR67:RFZ67"/>
    <mergeCell ref="RGB67:RGD67"/>
    <mergeCell ref="RGE67:RGM67"/>
    <mergeCell ref="RGO67:RGQ67"/>
    <mergeCell ref="RER67:REZ67"/>
    <mergeCell ref="RFB67:RFD67"/>
    <mergeCell ref="RFE67:RFM67"/>
    <mergeCell ref="RFO67:RFQ67"/>
    <mergeCell ref="RCR67:RCZ67"/>
    <mergeCell ref="RDB67:RDD67"/>
    <mergeCell ref="RDE67:RDM67"/>
    <mergeCell ref="RIB67:RID67"/>
    <mergeCell ref="RIE67:RIM67"/>
    <mergeCell ref="RIO67:RIQ67"/>
    <mergeCell ref="RIR67:RIZ67"/>
    <mergeCell ref="RJB67:RJD67"/>
    <mergeCell ref="RJE67:RJM67"/>
    <mergeCell ref="RJO67:RJQ67"/>
    <mergeCell ref="RKE67:RKM67"/>
    <mergeCell ref="RKO67:RKQ67"/>
    <mergeCell ref="RKR67:RKZ67"/>
    <mergeCell ref="RLB67:RLD67"/>
    <mergeCell ref="RLE67:RLM67"/>
    <mergeCell ref="RLO67:RLQ67"/>
    <mergeCell ref="RGR67:RGZ67"/>
    <mergeCell ref="RHB67:RHD67"/>
    <mergeCell ref="RHE67:RHM67"/>
    <mergeCell ref="RHO67:RHQ67"/>
    <mergeCell ref="RHR67:RHZ67"/>
    <mergeCell ref="RMO67:RMQ67"/>
    <mergeCell ref="RMR67:RMZ67"/>
    <mergeCell ref="RNB67:RND67"/>
    <mergeCell ref="RNE67:RNM67"/>
    <mergeCell ref="RNO67:RNQ67"/>
    <mergeCell ref="RJR67:RJZ67"/>
    <mergeCell ref="RKB67:RKD67"/>
    <mergeCell ref="ROR67:ROZ67"/>
    <mergeCell ref="RPB67:RPD67"/>
    <mergeCell ref="RPE67:RPM67"/>
    <mergeCell ref="RPO67:RPQ67"/>
    <mergeCell ref="RNR67:RNZ67"/>
    <mergeCell ref="ROB67:ROD67"/>
    <mergeCell ref="ROE67:ROM67"/>
    <mergeCell ref="ROO67:ROQ67"/>
    <mergeCell ref="RLR67:RLZ67"/>
    <mergeCell ref="RMB67:RMD67"/>
    <mergeCell ref="RME67:RMM67"/>
    <mergeCell ref="RRB67:RRD67"/>
    <mergeCell ref="RRE67:RRM67"/>
    <mergeCell ref="RRO67:RRQ67"/>
    <mergeCell ref="RRR67:RRZ67"/>
    <mergeCell ref="RSB67:RSD67"/>
    <mergeCell ref="RSE67:RSM67"/>
    <mergeCell ref="RSO67:RSQ67"/>
    <mergeCell ref="RTE67:RTM67"/>
    <mergeCell ref="RTO67:RTQ67"/>
    <mergeCell ref="RTR67:RTZ67"/>
    <mergeCell ref="RUB67:RUD67"/>
    <mergeCell ref="RUE67:RUM67"/>
    <mergeCell ref="RUO67:RUQ67"/>
    <mergeCell ref="RPR67:RPZ67"/>
    <mergeCell ref="RQB67:RQD67"/>
    <mergeCell ref="RQE67:RQM67"/>
    <mergeCell ref="RQO67:RQQ67"/>
    <mergeCell ref="RQR67:RQZ67"/>
    <mergeCell ref="RVO67:RVQ67"/>
    <mergeCell ref="RVR67:RVZ67"/>
    <mergeCell ref="RWB67:RWD67"/>
    <mergeCell ref="RWE67:RWM67"/>
    <mergeCell ref="RWO67:RWQ67"/>
    <mergeCell ref="RSR67:RSZ67"/>
    <mergeCell ref="RTB67:RTD67"/>
    <mergeCell ref="RXR67:RXZ67"/>
    <mergeCell ref="RYB67:RYD67"/>
    <mergeCell ref="RYE67:RYM67"/>
    <mergeCell ref="RYO67:RYQ67"/>
    <mergeCell ref="RWR67:RWZ67"/>
    <mergeCell ref="RXB67:RXD67"/>
    <mergeCell ref="RXE67:RXM67"/>
    <mergeCell ref="RXO67:RXQ67"/>
    <mergeCell ref="RUR67:RUZ67"/>
    <mergeCell ref="RVB67:RVD67"/>
    <mergeCell ref="RVE67:RVM67"/>
    <mergeCell ref="SAB67:SAD67"/>
    <mergeCell ref="SAE67:SAM67"/>
    <mergeCell ref="SAO67:SAQ67"/>
    <mergeCell ref="SAR67:SAZ67"/>
    <mergeCell ref="SBB67:SBD67"/>
    <mergeCell ref="SBE67:SBM67"/>
    <mergeCell ref="SBO67:SBQ67"/>
    <mergeCell ref="SCE67:SCM67"/>
    <mergeCell ref="SCO67:SCQ67"/>
    <mergeCell ref="SCR67:SCZ67"/>
    <mergeCell ref="SDB67:SDD67"/>
    <mergeCell ref="SDE67:SDM67"/>
    <mergeCell ref="SDO67:SDQ67"/>
    <mergeCell ref="RYR67:RYZ67"/>
    <mergeCell ref="RZB67:RZD67"/>
    <mergeCell ref="RZE67:RZM67"/>
    <mergeCell ref="RZO67:RZQ67"/>
    <mergeCell ref="RZR67:RZZ67"/>
    <mergeCell ref="SEO67:SEQ67"/>
    <mergeCell ref="SER67:SEZ67"/>
    <mergeCell ref="SFB67:SFD67"/>
    <mergeCell ref="SFE67:SFM67"/>
    <mergeCell ref="SFO67:SFQ67"/>
    <mergeCell ref="SBR67:SBZ67"/>
    <mergeCell ref="SCB67:SCD67"/>
    <mergeCell ref="SGR67:SGZ67"/>
    <mergeCell ref="SHB67:SHD67"/>
    <mergeCell ref="SHE67:SHM67"/>
    <mergeCell ref="SHO67:SHQ67"/>
    <mergeCell ref="SFR67:SFZ67"/>
    <mergeCell ref="SGB67:SGD67"/>
    <mergeCell ref="SGE67:SGM67"/>
    <mergeCell ref="SGO67:SGQ67"/>
    <mergeCell ref="SDR67:SDZ67"/>
    <mergeCell ref="SEB67:SED67"/>
    <mergeCell ref="SEE67:SEM67"/>
    <mergeCell ref="SJB67:SJD67"/>
    <mergeCell ref="SJE67:SJM67"/>
    <mergeCell ref="SJO67:SJQ67"/>
    <mergeCell ref="SJR67:SJZ67"/>
    <mergeCell ref="SKB67:SKD67"/>
    <mergeCell ref="SKE67:SKM67"/>
    <mergeCell ref="SKO67:SKQ67"/>
    <mergeCell ref="SLE67:SLM67"/>
    <mergeCell ref="SLO67:SLQ67"/>
    <mergeCell ref="SLR67:SLZ67"/>
    <mergeCell ref="SMB67:SMD67"/>
    <mergeCell ref="SME67:SMM67"/>
    <mergeCell ref="SMO67:SMQ67"/>
    <mergeCell ref="SHR67:SHZ67"/>
    <mergeCell ref="SIB67:SID67"/>
    <mergeCell ref="SIE67:SIM67"/>
    <mergeCell ref="SIO67:SIQ67"/>
    <mergeCell ref="SIR67:SIZ67"/>
    <mergeCell ref="SNO67:SNQ67"/>
    <mergeCell ref="SNR67:SNZ67"/>
    <mergeCell ref="SOB67:SOD67"/>
    <mergeCell ref="SOE67:SOM67"/>
    <mergeCell ref="SOO67:SOQ67"/>
    <mergeCell ref="SKR67:SKZ67"/>
    <mergeCell ref="SLB67:SLD67"/>
    <mergeCell ref="SPR67:SPZ67"/>
    <mergeCell ref="SQB67:SQD67"/>
    <mergeCell ref="SQE67:SQM67"/>
    <mergeCell ref="SQO67:SQQ67"/>
    <mergeCell ref="SOR67:SOZ67"/>
    <mergeCell ref="SPB67:SPD67"/>
    <mergeCell ref="SPE67:SPM67"/>
    <mergeCell ref="SPO67:SPQ67"/>
    <mergeCell ref="SMR67:SMZ67"/>
    <mergeCell ref="SNB67:SND67"/>
    <mergeCell ref="SNE67:SNM67"/>
    <mergeCell ref="SSB67:SSD67"/>
    <mergeCell ref="SSE67:SSM67"/>
    <mergeCell ref="SSO67:SSQ67"/>
    <mergeCell ref="SSR67:SSZ67"/>
    <mergeCell ref="STB67:STD67"/>
    <mergeCell ref="STE67:STM67"/>
    <mergeCell ref="STO67:STQ67"/>
    <mergeCell ref="SUE67:SUM67"/>
    <mergeCell ref="SUO67:SUQ67"/>
    <mergeCell ref="SUR67:SUZ67"/>
    <mergeCell ref="SVB67:SVD67"/>
    <mergeCell ref="SVE67:SVM67"/>
    <mergeCell ref="SVO67:SVQ67"/>
    <mergeCell ref="SQR67:SQZ67"/>
    <mergeCell ref="SRB67:SRD67"/>
    <mergeCell ref="SRE67:SRM67"/>
    <mergeCell ref="SRO67:SRQ67"/>
    <mergeCell ref="SRR67:SRZ67"/>
    <mergeCell ref="SWO67:SWQ67"/>
    <mergeCell ref="SWR67:SWZ67"/>
    <mergeCell ref="SXB67:SXD67"/>
    <mergeCell ref="SXE67:SXM67"/>
    <mergeCell ref="SXO67:SXQ67"/>
    <mergeCell ref="STR67:STZ67"/>
    <mergeCell ref="SUB67:SUD67"/>
    <mergeCell ref="SYR67:SYZ67"/>
    <mergeCell ref="SZB67:SZD67"/>
    <mergeCell ref="SZE67:SZM67"/>
    <mergeCell ref="SZO67:SZQ67"/>
    <mergeCell ref="SXR67:SXZ67"/>
    <mergeCell ref="SYB67:SYD67"/>
    <mergeCell ref="SYE67:SYM67"/>
    <mergeCell ref="SYO67:SYQ67"/>
    <mergeCell ref="SVR67:SVZ67"/>
    <mergeCell ref="SWB67:SWD67"/>
    <mergeCell ref="SWE67:SWM67"/>
    <mergeCell ref="TBB67:TBD67"/>
    <mergeCell ref="TBE67:TBM67"/>
    <mergeCell ref="TBO67:TBQ67"/>
    <mergeCell ref="TBR67:TBZ67"/>
    <mergeCell ref="TCB67:TCD67"/>
    <mergeCell ref="TCE67:TCM67"/>
    <mergeCell ref="TCO67:TCQ67"/>
    <mergeCell ref="TDE67:TDM67"/>
    <mergeCell ref="TDO67:TDQ67"/>
    <mergeCell ref="TDR67:TDZ67"/>
    <mergeCell ref="TEB67:TED67"/>
    <mergeCell ref="TEE67:TEM67"/>
    <mergeCell ref="TEO67:TEQ67"/>
    <mergeCell ref="SZR67:SZZ67"/>
    <mergeCell ref="TAB67:TAD67"/>
    <mergeCell ref="TAE67:TAM67"/>
    <mergeCell ref="TAO67:TAQ67"/>
    <mergeCell ref="TAR67:TAZ67"/>
    <mergeCell ref="TFO67:TFQ67"/>
    <mergeCell ref="TFR67:TFZ67"/>
    <mergeCell ref="TGB67:TGD67"/>
    <mergeCell ref="TGE67:TGM67"/>
    <mergeCell ref="TGO67:TGQ67"/>
    <mergeCell ref="TCR67:TCZ67"/>
    <mergeCell ref="TDB67:TDD67"/>
    <mergeCell ref="THR67:THZ67"/>
    <mergeCell ref="TIB67:TID67"/>
    <mergeCell ref="TIE67:TIM67"/>
    <mergeCell ref="TIO67:TIQ67"/>
    <mergeCell ref="TGR67:TGZ67"/>
    <mergeCell ref="THB67:THD67"/>
    <mergeCell ref="THE67:THM67"/>
    <mergeCell ref="THO67:THQ67"/>
    <mergeCell ref="TER67:TEZ67"/>
    <mergeCell ref="TFB67:TFD67"/>
    <mergeCell ref="TFE67:TFM67"/>
    <mergeCell ref="TKB67:TKD67"/>
    <mergeCell ref="TKE67:TKM67"/>
    <mergeCell ref="TKO67:TKQ67"/>
    <mergeCell ref="TKR67:TKZ67"/>
    <mergeCell ref="TLB67:TLD67"/>
    <mergeCell ref="TLE67:TLM67"/>
    <mergeCell ref="TLO67:TLQ67"/>
    <mergeCell ref="TME67:TMM67"/>
    <mergeCell ref="TMO67:TMQ67"/>
    <mergeCell ref="TMR67:TMZ67"/>
    <mergeCell ref="TNB67:TND67"/>
    <mergeCell ref="TNE67:TNM67"/>
    <mergeCell ref="TNO67:TNQ67"/>
    <mergeCell ref="TIR67:TIZ67"/>
    <mergeCell ref="TJB67:TJD67"/>
    <mergeCell ref="TJE67:TJM67"/>
    <mergeCell ref="TJO67:TJQ67"/>
    <mergeCell ref="TJR67:TJZ67"/>
    <mergeCell ref="TOO67:TOQ67"/>
    <mergeCell ref="TOR67:TOZ67"/>
    <mergeCell ref="TPB67:TPD67"/>
    <mergeCell ref="TPE67:TPM67"/>
    <mergeCell ref="TPO67:TPQ67"/>
    <mergeCell ref="TLR67:TLZ67"/>
    <mergeCell ref="TMB67:TMD67"/>
    <mergeCell ref="TQR67:TQZ67"/>
    <mergeCell ref="TRB67:TRD67"/>
    <mergeCell ref="TRE67:TRM67"/>
    <mergeCell ref="TRO67:TRQ67"/>
    <mergeCell ref="TPR67:TPZ67"/>
    <mergeCell ref="TQB67:TQD67"/>
    <mergeCell ref="TQE67:TQM67"/>
    <mergeCell ref="TQO67:TQQ67"/>
    <mergeCell ref="TNR67:TNZ67"/>
    <mergeCell ref="TOB67:TOD67"/>
    <mergeCell ref="TOE67:TOM67"/>
    <mergeCell ref="TTB67:TTD67"/>
    <mergeCell ref="TTE67:TTM67"/>
    <mergeCell ref="TTO67:TTQ67"/>
    <mergeCell ref="TTR67:TTZ67"/>
    <mergeCell ref="TUB67:TUD67"/>
    <mergeCell ref="TUE67:TUM67"/>
    <mergeCell ref="TUO67:TUQ67"/>
    <mergeCell ref="TVE67:TVM67"/>
    <mergeCell ref="TVO67:TVQ67"/>
    <mergeCell ref="TVR67:TVZ67"/>
    <mergeCell ref="TWB67:TWD67"/>
    <mergeCell ref="TWE67:TWM67"/>
    <mergeCell ref="TWO67:TWQ67"/>
    <mergeCell ref="TRR67:TRZ67"/>
    <mergeCell ref="TSB67:TSD67"/>
    <mergeCell ref="TSE67:TSM67"/>
    <mergeCell ref="TSO67:TSQ67"/>
    <mergeCell ref="TSR67:TSZ67"/>
    <mergeCell ref="TXO67:TXQ67"/>
    <mergeCell ref="TXR67:TXZ67"/>
    <mergeCell ref="TYB67:TYD67"/>
    <mergeCell ref="TYE67:TYM67"/>
    <mergeCell ref="TYO67:TYQ67"/>
    <mergeCell ref="TUR67:TUZ67"/>
    <mergeCell ref="TVB67:TVD67"/>
    <mergeCell ref="TZR67:TZZ67"/>
    <mergeCell ref="UAB67:UAD67"/>
    <mergeCell ref="UAE67:UAM67"/>
    <mergeCell ref="UAO67:UAQ67"/>
    <mergeCell ref="TYR67:TYZ67"/>
    <mergeCell ref="TZB67:TZD67"/>
    <mergeCell ref="TZE67:TZM67"/>
    <mergeCell ref="TZO67:TZQ67"/>
    <mergeCell ref="TWR67:TWZ67"/>
    <mergeCell ref="TXB67:TXD67"/>
    <mergeCell ref="TXE67:TXM67"/>
    <mergeCell ref="UCB67:UCD67"/>
    <mergeCell ref="UCE67:UCM67"/>
    <mergeCell ref="UCO67:UCQ67"/>
    <mergeCell ref="UCR67:UCZ67"/>
    <mergeCell ref="UDB67:UDD67"/>
    <mergeCell ref="UDE67:UDM67"/>
    <mergeCell ref="UDO67:UDQ67"/>
    <mergeCell ref="UEE67:UEM67"/>
    <mergeCell ref="UEO67:UEQ67"/>
    <mergeCell ref="UER67:UEZ67"/>
    <mergeCell ref="UFB67:UFD67"/>
    <mergeCell ref="UFE67:UFM67"/>
    <mergeCell ref="UFO67:UFQ67"/>
    <mergeCell ref="UAR67:UAZ67"/>
    <mergeCell ref="UBB67:UBD67"/>
    <mergeCell ref="UBE67:UBM67"/>
    <mergeCell ref="UBO67:UBQ67"/>
    <mergeCell ref="UBR67:UBZ67"/>
    <mergeCell ref="UGO67:UGQ67"/>
    <mergeCell ref="UGR67:UGZ67"/>
    <mergeCell ref="UHB67:UHD67"/>
    <mergeCell ref="UHE67:UHM67"/>
    <mergeCell ref="UHO67:UHQ67"/>
    <mergeCell ref="UDR67:UDZ67"/>
    <mergeCell ref="UEB67:UED67"/>
    <mergeCell ref="UIR67:UIZ67"/>
    <mergeCell ref="UJB67:UJD67"/>
    <mergeCell ref="UJE67:UJM67"/>
    <mergeCell ref="UJO67:UJQ67"/>
    <mergeCell ref="UHR67:UHZ67"/>
    <mergeCell ref="UIB67:UID67"/>
    <mergeCell ref="UIE67:UIM67"/>
    <mergeCell ref="UIO67:UIQ67"/>
    <mergeCell ref="UFR67:UFZ67"/>
    <mergeCell ref="UGB67:UGD67"/>
    <mergeCell ref="UGE67:UGM67"/>
    <mergeCell ref="ULB67:ULD67"/>
    <mergeCell ref="ULE67:ULM67"/>
    <mergeCell ref="ULO67:ULQ67"/>
    <mergeCell ref="ULR67:ULZ67"/>
    <mergeCell ref="UMB67:UMD67"/>
    <mergeCell ref="UME67:UMM67"/>
    <mergeCell ref="UMO67:UMQ67"/>
    <mergeCell ref="UNE67:UNM67"/>
    <mergeCell ref="UNO67:UNQ67"/>
    <mergeCell ref="UNR67:UNZ67"/>
    <mergeCell ref="UOB67:UOD67"/>
    <mergeCell ref="UOE67:UOM67"/>
    <mergeCell ref="UOO67:UOQ67"/>
    <mergeCell ref="UJR67:UJZ67"/>
    <mergeCell ref="UKB67:UKD67"/>
    <mergeCell ref="UKE67:UKM67"/>
    <mergeCell ref="UKO67:UKQ67"/>
    <mergeCell ref="UKR67:UKZ67"/>
    <mergeCell ref="UPO67:UPQ67"/>
    <mergeCell ref="UPR67:UPZ67"/>
    <mergeCell ref="UQB67:UQD67"/>
    <mergeCell ref="UQE67:UQM67"/>
    <mergeCell ref="UQO67:UQQ67"/>
    <mergeCell ref="UMR67:UMZ67"/>
    <mergeCell ref="UNB67:UND67"/>
    <mergeCell ref="URR67:URZ67"/>
    <mergeCell ref="USB67:USD67"/>
    <mergeCell ref="USE67:USM67"/>
    <mergeCell ref="USO67:USQ67"/>
    <mergeCell ref="UQR67:UQZ67"/>
    <mergeCell ref="URB67:URD67"/>
    <mergeCell ref="URE67:URM67"/>
    <mergeCell ref="URO67:URQ67"/>
    <mergeCell ref="UOR67:UOZ67"/>
    <mergeCell ref="UPB67:UPD67"/>
    <mergeCell ref="UPE67:UPM67"/>
    <mergeCell ref="UUB67:UUD67"/>
    <mergeCell ref="UUE67:UUM67"/>
    <mergeCell ref="UUO67:UUQ67"/>
    <mergeCell ref="UUR67:UUZ67"/>
    <mergeCell ref="UVB67:UVD67"/>
    <mergeCell ref="UVE67:UVM67"/>
    <mergeCell ref="UVO67:UVQ67"/>
    <mergeCell ref="UWE67:UWM67"/>
    <mergeCell ref="UWO67:UWQ67"/>
    <mergeCell ref="UWR67:UWZ67"/>
    <mergeCell ref="UXB67:UXD67"/>
    <mergeCell ref="UXE67:UXM67"/>
    <mergeCell ref="UXO67:UXQ67"/>
    <mergeCell ref="USR67:USZ67"/>
    <mergeCell ref="UTB67:UTD67"/>
    <mergeCell ref="UTE67:UTM67"/>
    <mergeCell ref="UTO67:UTQ67"/>
    <mergeCell ref="UTR67:UTZ67"/>
    <mergeCell ref="UYO67:UYQ67"/>
    <mergeCell ref="UYR67:UYZ67"/>
    <mergeCell ref="UZB67:UZD67"/>
    <mergeCell ref="UZE67:UZM67"/>
    <mergeCell ref="UZO67:UZQ67"/>
    <mergeCell ref="UVR67:UVZ67"/>
    <mergeCell ref="UWB67:UWD67"/>
    <mergeCell ref="VAR67:VAZ67"/>
    <mergeCell ref="VBB67:VBD67"/>
    <mergeCell ref="VBE67:VBM67"/>
    <mergeCell ref="VBO67:VBQ67"/>
    <mergeCell ref="UZR67:UZZ67"/>
    <mergeCell ref="VAB67:VAD67"/>
    <mergeCell ref="VAE67:VAM67"/>
    <mergeCell ref="VAO67:VAQ67"/>
    <mergeCell ref="UXR67:UXZ67"/>
    <mergeCell ref="UYB67:UYD67"/>
    <mergeCell ref="UYE67:UYM67"/>
    <mergeCell ref="VDB67:VDD67"/>
    <mergeCell ref="VDE67:VDM67"/>
    <mergeCell ref="VDO67:VDQ67"/>
    <mergeCell ref="VDR67:VDZ67"/>
    <mergeCell ref="VEB67:VED67"/>
    <mergeCell ref="VEE67:VEM67"/>
    <mergeCell ref="VEO67:VEQ67"/>
    <mergeCell ref="VFE67:VFM67"/>
    <mergeCell ref="VFO67:VFQ67"/>
    <mergeCell ref="VFR67:VFZ67"/>
    <mergeCell ref="VGB67:VGD67"/>
    <mergeCell ref="VGE67:VGM67"/>
    <mergeCell ref="VGO67:VGQ67"/>
    <mergeCell ref="VBR67:VBZ67"/>
    <mergeCell ref="VCB67:VCD67"/>
    <mergeCell ref="VCE67:VCM67"/>
    <mergeCell ref="VCO67:VCQ67"/>
    <mergeCell ref="VCR67:VCZ67"/>
    <mergeCell ref="VHO67:VHQ67"/>
    <mergeCell ref="VHR67:VHZ67"/>
    <mergeCell ref="VIB67:VID67"/>
    <mergeCell ref="VIE67:VIM67"/>
    <mergeCell ref="VIO67:VIQ67"/>
    <mergeCell ref="VER67:VEZ67"/>
    <mergeCell ref="VFB67:VFD67"/>
    <mergeCell ref="VJR67:VJZ67"/>
    <mergeCell ref="VKB67:VKD67"/>
    <mergeCell ref="VKE67:VKM67"/>
    <mergeCell ref="VKO67:VKQ67"/>
    <mergeCell ref="VIR67:VIZ67"/>
    <mergeCell ref="VJB67:VJD67"/>
    <mergeCell ref="VJE67:VJM67"/>
    <mergeCell ref="VJO67:VJQ67"/>
    <mergeCell ref="VGR67:VGZ67"/>
    <mergeCell ref="VHB67:VHD67"/>
    <mergeCell ref="VHE67:VHM67"/>
    <mergeCell ref="VMB67:VMD67"/>
    <mergeCell ref="VME67:VMM67"/>
    <mergeCell ref="VMO67:VMQ67"/>
    <mergeCell ref="VMR67:VMZ67"/>
    <mergeCell ref="VNB67:VND67"/>
    <mergeCell ref="VNE67:VNM67"/>
    <mergeCell ref="VNO67:VNQ67"/>
    <mergeCell ref="VOE67:VOM67"/>
    <mergeCell ref="VOO67:VOQ67"/>
    <mergeCell ref="VOR67:VOZ67"/>
    <mergeCell ref="VPB67:VPD67"/>
    <mergeCell ref="VPE67:VPM67"/>
    <mergeCell ref="VPO67:VPQ67"/>
    <mergeCell ref="VKR67:VKZ67"/>
    <mergeCell ref="VLB67:VLD67"/>
    <mergeCell ref="VLE67:VLM67"/>
    <mergeCell ref="VLO67:VLQ67"/>
    <mergeCell ref="VLR67:VLZ67"/>
    <mergeCell ref="VQO67:VQQ67"/>
    <mergeCell ref="VQR67:VQZ67"/>
    <mergeCell ref="VRB67:VRD67"/>
    <mergeCell ref="VRE67:VRM67"/>
    <mergeCell ref="VRO67:VRQ67"/>
    <mergeCell ref="VNR67:VNZ67"/>
    <mergeCell ref="VOB67:VOD67"/>
    <mergeCell ref="VSR67:VSZ67"/>
    <mergeCell ref="VTB67:VTD67"/>
    <mergeCell ref="VTE67:VTM67"/>
    <mergeCell ref="VTO67:VTQ67"/>
    <mergeCell ref="VRR67:VRZ67"/>
    <mergeCell ref="VSB67:VSD67"/>
    <mergeCell ref="VSE67:VSM67"/>
    <mergeCell ref="VSO67:VSQ67"/>
    <mergeCell ref="VPR67:VPZ67"/>
    <mergeCell ref="VQB67:VQD67"/>
    <mergeCell ref="VQE67:VQM67"/>
    <mergeCell ref="VVB67:VVD67"/>
    <mergeCell ref="VVE67:VVM67"/>
    <mergeCell ref="VVO67:VVQ67"/>
    <mergeCell ref="VVR67:VVZ67"/>
    <mergeCell ref="VWB67:VWD67"/>
    <mergeCell ref="VWE67:VWM67"/>
    <mergeCell ref="VWO67:VWQ67"/>
    <mergeCell ref="VXE67:VXM67"/>
    <mergeCell ref="VXO67:VXQ67"/>
    <mergeCell ref="VXR67:VXZ67"/>
    <mergeCell ref="VYB67:VYD67"/>
    <mergeCell ref="VYE67:VYM67"/>
    <mergeCell ref="VYO67:VYQ67"/>
    <mergeCell ref="VTR67:VTZ67"/>
    <mergeCell ref="VUB67:VUD67"/>
    <mergeCell ref="VUE67:VUM67"/>
    <mergeCell ref="VUO67:VUQ67"/>
    <mergeCell ref="VUR67:VUZ67"/>
    <mergeCell ref="VZO67:VZQ67"/>
    <mergeCell ref="VZR67:VZZ67"/>
    <mergeCell ref="WAB67:WAD67"/>
    <mergeCell ref="WAE67:WAM67"/>
    <mergeCell ref="WAO67:WAQ67"/>
    <mergeCell ref="VWR67:VWZ67"/>
    <mergeCell ref="VXB67:VXD67"/>
    <mergeCell ref="WBR67:WBZ67"/>
    <mergeCell ref="WCB67:WCD67"/>
    <mergeCell ref="WCE67:WCM67"/>
    <mergeCell ref="WCO67:WCQ67"/>
    <mergeCell ref="WAR67:WAZ67"/>
    <mergeCell ref="WBB67:WBD67"/>
    <mergeCell ref="WBE67:WBM67"/>
    <mergeCell ref="WBO67:WBQ67"/>
    <mergeCell ref="VYR67:VYZ67"/>
    <mergeCell ref="VZB67:VZD67"/>
    <mergeCell ref="VZE67:VZM67"/>
    <mergeCell ref="WEB67:WED67"/>
    <mergeCell ref="WEE67:WEM67"/>
    <mergeCell ref="WEO67:WEQ67"/>
    <mergeCell ref="WER67:WEZ67"/>
    <mergeCell ref="WFB67:WFD67"/>
    <mergeCell ref="WFE67:WFM67"/>
    <mergeCell ref="WFO67:WFQ67"/>
    <mergeCell ref="WGE67:WGM67"/>
    <mergeCell ref="WGO67:WGQ67"/>
    <mergeCell ref="WGR67:WGZ67"/>
    <mergeCell ref="WHB67:WHD67"/>
    <mergeCell ref="WHE67:WHM67"/>
    <mergeCell ref="WHO67:WHQ67"/>
    <mergeCell ref="WCR67:WCZ67"/>
    <mergeCell ref="WDB67:WDD67"/>
    <mergeCell ref="WDE67:WDM67"/>
    <mergeCell ref="WDO67:WDQ67"/>
    <mergeCell ref="WDR67:WDZ67"/>
    <mergeCell ref="WLR67:WLZ67"/>
    <mergeCell ref="WMB67:WMD67"/>
    <mergeCell ref="WME67:WMM67"/>
    <mergeCell ref="WMO67:WMQ67"/>
    <mergeCell ref="WMR67:WMZ67"/>
    <mergeCell ref="WIO67:WIQ67"/>
    <mergeCell ref="WIR67:WIZ67"/>
    <mergeCell ref="WJB67:WJD67"/>
    <mergeCell ref="WJE67:WJM67"/>
    <mergeCell ref="WJO67:WJQ67"/>
    <mergeCell ref="WFR67:WFZ67"/>
    <mergeCell ref="WGB67:WGD67"/>
    <mergeCell ref="WKR67:WKZ67"/>
    <mergeCell ref="WLB67:WLD67"/>
    <mergeCell ref="WLE67:WLM67"/>
    <mergeCell ref="WLO67:WLQ67"/>
    <mergeCell ref="WJR67:WJZ67"/>
    <mergeCell ref="WKB67:WKD67"/>
    <mergeCell ref="WKE67:WKM67"/>
    <mergeCell ref="WKO67:WKQ67"/>
    <mergeCell ref="WHR67:WHZ67"/>
    <mergeCell ref="WIB67:WID67"/>
    <mergeCell ref="WIE67:WIM67"/>
    <mergeCell ref="WVR67:WVZ67"/>
    <mergeCell ref="WRO67:WRQ67"/>
    <mergeCell ref="WRR67:WRZ67"/>
    <mergeCell ref="WSB67:WSD67"/>
    <mergeCell ref="WQR67:WQZ67"/>
    <mergeCell ref="WRB67:WRD67"/>
    <mergeCell ref="WRE67:WRM67"/>
    <mergeCell ref="WNB67:WND67"/>
    <mergeCell ref="WNE67:WNM67"/>
    <mergeCell ref="WNO67:WNQ67"/>
    <mergeCell ref="WNR67:WNZ67"/>
    <mergeCell ref="WOB67:WOD67"/>
    <mergeCell ref="WOE67:WOM67"/>
    <mergeCell ref="WOO67:WOQ67"/>
    <mergeCell ref="WPE67:WPM67"/>
    <mergeCell ref="WPO67:WPQ67"/>
    <mergeCell ref="WPR67:WPZ67"/>
    <mergeCell ref="WQB67:WQD67"/>
    <mergeCell ref="WQE67:WQM67"/>
    <mergeCell ref="WQO67:WQQ67"/>
    <mergeCell ref="B42:D42"/>
    <mergeCell ref="XFB67:XFD67"/>
    <mergeCell ref="XCR67:XCZ67"/>
    <mergeCell ref="XDB67:XDD67"/>
    <mergeCell ref="XDE67:XDM67"/>
    <mergeCell ref="XDO67:XDQ67"/>
    <mergeCell ref="XDR67:XDZ67"/>
    <mergeCell ref="XEB67:XED67"/>
    <mergeCell ref="XEE67:XEM67"/>
    <mergeCell ref="XEO67:XEQ67"/>
    <mergeCell ref="WSE67:WSM67"/>
    <mergeCell ref="WSO67:WSQ67"/>
    <mergeCell ref="WSR67:WSZ67"/>
    <mergeCell ref="WTB67:WTD67"/>
    <mergeCell ref="WTE67:WTM67"/>
    <mergeCell ref="WTO67:WTQ67"/>
    <mergeCell ref="WXR67:WXZ67"/>
    <mergeCell ref="WYB67:WYD67"/>
    <mergeCell ref="WTR67:WTZ67"/>
    <mergeCell ref="WUB67:WUD67"/>
    <mergeCell ref="WUE67:WUM67"/>
    <mergeCell ref="WUO67:WUQ67"/>
    <mergeCell ref="WUR67:WUZ67"/>
    <mergeCell ref="WVB67:WVD67"/>
    <mergeCell ref="WVE67:WVM67"/>
    <mergeCell ref="WVO67:WVQ67"/>
    <mergeCell ref="WOR67:WOZ67"/>
    <mergeCell ref="WPB67:WPD67"/>
    <mergeCell ref="WWR67:WWZ67"/>
    <mergeCell ref="WXB67:WXD67"/>
    <mergeCell ref="WXE67:WXM67"/>
    <mergeCell ref="WXO67:WXQ67"/>
    <mergeCell ref="WZR67:WZZ67"/>
    <mergeCell ref="XAB67:XAD67"/>
    <mergeCell ref="XAE67:XAM67"/>
    <mergeCell ref="WWB67:WWD67"/>
    <mergeCell ref="WWE67:WWM67"/>
    <mergeCell ref="WWO67:WWQ67"/>
    <mergeCell ref="WYE67:WYM67"/>
    <mergeCell ref="WYO67:WYQ67"/>
    <mergeCell ref="WYR67:WYZ67"/>
    <mergeCell ref="WZB67:WZD67"/>
    <mergeCell ref="WZE67:WZM67"/>
    <mergeCell ref="WZO67:WZQ67"/>
    <mergeCell ref="XER67:XEZ67"/>
    <mergeCell ref="XAO67:XAQ67"/>
    <mergeCell ref="XAR67:XAZ67"/>
    <mergeCell ref="XBB67:XBD67"/>
    <mergeCell ref="XBE67:XBM67"/>
    <mergeCell ref="XBO67:XBQ67"/>
    <mergeCell ref="XBR67:XBZ67"/>
    <mergeCell ref="XCB67:XCD67"/>
    <mergeCell ref="XCE67:XCM67"/>
    <mergeCell ref="XCO67:XCQ67"/>
  </mergeCells>
  <conditionalFormatting sqref="A9:A18 A61:A81">
    <cfRule type="cellIs" dxfId="320" priority="1" operator="equal">
      <formula>"No"</formula>
    </cfRule>
  </conditionalFormatting>
  <conditionalFormatting sqref="A20:A26">
    <cfRule type="cellIs" dxfId="319" priority="2" operator="equal">
      <formula>"No"</formula>
    </cfRule>
  </conditionalFormatting>
  <conditionalFormatting sqref="A28:A34">
    <cfRule type="cellIs" dxfId="318" priority="3" operator="equal">
      <formula>"No"</formula>
    </cfRule>
  </conditionalFormatting>
  <conditionalFormatting sqref="A36:A45 A54:A59">
    <cfRule type="cellIs" dxfId="317" priority="5" operator="equal">
      <formula>"No"</formula>
    </cfRule>
  </conditionalFormatting>
  <conditionalFormatting sqref="N67 AA67 AN67 BA67 BN67 CA67 CN67 DA67 DN67 EA67 EN67 FA67 FN67 GA67 GN67 HA67 HN67 IA67 IN67 JA67 JN67 KA67 KN67 LA67 LN67 MA67 MN67 NA67 NN67 OA67 ON67 PA67 PN67 QA67 QN67 RA67 RN67 SA67 SN67 TA67 TN67 UA67 UN67 VA67 VN67 WA67 WN67 XA67 XN67 YA67 YN67 ZA67 ZN67 AAA67 AAN67 ABA67 ABN67 ACA67 ACN67 ADA67 ADN67 AEA67 AEN67 AFA67 AFN67 AGA67 AGN67 AHA67 AHN67 AIA67 AIN67 AJA67 AJN67 AKA67 AKN67 ALA67 ALN67 AMA67 AMN67 ANA67 ANN67 AOA67 AON67 APA67 APN67 AQA67 AQN67 ARA67 ARN67 ASA67 ASN67 ATA67 ATN67 AUA67 AUN67 AVA67 AVN67 AWA67 AWN67 AXA67 AXN67 AYA67 AYN67 AZA67 AZN67 BAA67 BAN67 BBA67 BBN67 BCA67 BCN67 BDA67 BDN67 BEA67 BEN67 BFA67 BFN67 BGA67 BGN67 BHA67 BHN67 BIA67 BIN67 BJA67 BJN67 BKA67 BKN67 BLA67 BLN67 BMA67 BMN67 BNA67 BNN67 BOA67 BON67 BPA67 BPN67 BQA67 BQN67 BRA67 BRN67 BSA67 BSN67 BTA67 BTN67 BUA67 BUN67 BVA67 BVN67 BWA67 BWN67 BXA67 BXN67 BYA67 BYN67 BZA67 BZN67 CAA67 CAN67 CBA67 CBN67 CCA67 CCN67 CDA67 CDN67 CEA67 CEN67 CFA67 CFN67 CGA67 CGN67 CHA67 CHN67 CIA67 CIN67 CJA67 CJN67 CKA67 CKN67 CLA67 CLN67 CMA67 CMN67 CNA67 CNN67 COA67 CON67 CPA67 CPN67 CQA67 CQN67 CRA67 CRN67 CSA67 CSN67 CTA67 CTN67 CUA67 CUN67 CVA67 CVN67 CWA67 CWN67 CXA67 CXN67 CYA67 CYN67 CZA67 CZN67 DAA67 DAN67 DBA67 DBN67 DCA67 DCN67 DDA67 DDN67 DEA67 DEN67 DFA67 DFN67 DGA67 DGN67 DHA67 DHN67 DIA67 DIN67 DJA67 DJN67 DKA67 DKN67 DLA67 DLN67 DMA67 DMN67 DNA67 DNN67 DOA67 DON67 DPA67 DPN67 DQA67 DQN67 DRA67 DRN67 DSA67 DSN67 DTA67 DTN67 DUA67 DUN67 DVA67 DVN67 DWA67 DWN67 DXA67 DXN67 DYA67 DYN67 DZA67 DZN67 EAA67 EAN67 EBA67 EBN67 ECA67 ECN67 EDA67 EDN67 EEA67 EEN67 EFA67 EFN67 EGA67 EGN67 EHA67 EHN67 EIA67 EIN67 EJA67 EJN67 EKA67 EKN67 ELA67 ELN67 EMA67 EMN67 ENA67 ENN67 EOA67 EON67 EPA67 EPN67 EQA67 EQN67 ERA67 ERN67 ESA67 ESN67 ETA67 ETN67 EUA67 EUN67 EVA67 EVN67 EWA67 EWN67 EXA67 EXN67 EYA67 EYN67 EZA67 EZN67 FAA67 FAN67 FBA67 FBN67 FCA67 FCN67 FDA67 FDN67 FEA67 FEN67 FFA67 FFN67 FGA67 FGN67 FHA67 FHN67 FIA67 FIN67 FJA67 FJN67 FKA67 FKN67 FLA67 FLN67 FMA67 FMN67 FNA67 FNN67 FOA67 FON67 FPA67 FPN67 FQA67 FQN67 FRA67 FRN67 FSA67 FSN67 FTA67 FTN67 FUA67 FUN67 FVA67 FVN67 FWA67 FWN67 FXA67 FXN67 FYA67 FYN67 FZA67 FZN67 GAA67 GAN67 GBA67 GBN67 GCA67 GCN67 GDA67 GDN67 GEA67 GEN67 GFA67 GFN67 GGA67 GGN67 GHA67 GHN67 GIA67 GIN67 GJA67 GJN67 GKA67 GKN67 GLA67 GLN67 GMA67 GMN67 GNA67 GNN67 GOA67 GON67 GPA67 GPN67 GQA67 GQN67 GRA67 GRN67 GSA67 GSN67 GTA67 GTN67 GUA67 GUN67 GVA67 GVN67 GWA67 GWN67 GXA67 GXN67 GYA67 GYN67 GZA67 GZN67 HAA67 HAN67 HBA67 HBN67 HCA67 HCN67 HDA67 HDN67 HEA67 HEN67 HFA67 HFN67 HGA67 HGN67 HHA67 HHN67 HIA67 HIN67 HJA67 HJN67 HKA67 HKN67 HLA67 HLN67 HMA67 HMN67 HNA67 HNN67 HOA67 HON67 HPA67 HPN67 HQA67 HQN67 HRA67 HRN67 HSA67 HSN67 HTA67 HTN67 HUA67 HUN67 HVA67 HVN67 HWA67 HWN67 HXA67 HXN67 HYA67 HYN67 HZA67 HZN67 IAA67 IAN67 IBA67 IBN67 ICA67 ICN67 IDA67 IDN67 IEA67 IEN67 IFA67 IFN67 IGA67 IGN67 IHA67 IHN67 IIA67 IIN67 IJA67 IJN67 IKA67 IKN67 ILA67 ILN67 IMA67 IMN67 INA67 INN67 IOA67 ION67 IPA67 IPN67 IQA67 IQN67 IRA67 IRN67 ISA67 ISN67 ITA67 ITN67 IUA67 IUN67 IVA67 IVN67 IWA67 IWN67 IXA67 IXN67 IYA67 IYN67 IZA67 IZN67 JAA67 JAN67 JBA67 JBN67 JCA67 JCN67 JDA67 JDN67 JEA67 JEN67 JFA67 JFN67 JGA67 JGN67 JHA67 JHN67 JIA67 JIN67 JJA67 JJN67 JKA67 JKN67 JLA67 JLN67 JMA67 JMN67 JNA67 JNN67 JOA67 JON67 JPA67 JPN67 JQA67 JQN67 JRA67 JRN67 JSA67 JSN67 JTA67 JTN67 JUA67 JUN67 JVA67 JVN67 JWA67 JWN67 JXA67 JXN67 JYA67 JYN67 JZA67 JZN67 KAA67 KAN67 KBA67 KBN67 KCA67 KCN67 KDA67 KDN67 KEA67 KEN67 KFA67 KFN67 KGA67 KGN67 KHA67 KHN67 KIA67 KIN67 KJA67 KJN67 KKA67 KKN67 KLA67 KLN67 KMA67 KMN67 KNA67 KNN67 KOA67 KON67 KPA67 KPN67 KQA67 KQN67 KRA67 KRN67 KSA67 KSN67 KTA67 KTN67 KUA67 KUN67 KVA67 KVN67 KWA67 KWN67 KXA67 KXN67 KYA67 KYN67 KZA67 KZN67 LAA67 LAN67 LBA67 LBN67 LCA67 LCN67 LDA67 LDN67 LEA67 LEN67 LFA67 LFN67 LGA67 LGN67 LHA67 LHN67 LIA67 LIN67 LJA67 LJN67 LKA67 LKN67 LLA67 LLN67 LMA67 LMN67 LNA67 LNN67 LOA67 LON67 LPA67 LPN67 LQA67 LQN67 LRA67 LRN67 LSA67 LSN67 LTA67 LTN67 LUA67 LUN67 LVA67 LVN67 LWA67 LWN67 LXA67 LXN67 LYA67 LYN67 LZA67 LZN67 MAA67 MAN67 MBA67 MBN67 MCA67 MCN67 MDA67 MDN67 MEA67 MEN67 MFA67 MFN67 MGA67 MGN67 MHA67 MHN67 MIA67 MIN67 MJA67 MJN67 MKA67 MKN67 MLA67 MLN67 MMA67 MMN67 MNA67 MNN67 MOA67 MON67 MPA67 MPN67 MQA67 MQN67 MRA67 MRN67 MSA67 MSN67 MTA67 MTN67 MUA67 MUN67 MVA67 MVN67 MWA67 MWN67 MXA67 MXN67 MYA67 MYN67 MZA67 MZN67 NAA67 NAN67 NBA67 NBN67 NCA67 NCN67 NDA67 NDN67 NEA67 NEN67 NFA67 NFN67 NGA67 NGN67 NHA67 NHN67 NIA67 NIN67 NJA67 NJN67 NKA67 NKN67 NLA67 NLN67 NMA67 NMN67 NNA67 NNN67 NOA67 NON67 NPA67 NPN67 NQA67 NQN67 NRA67 NRN67 NSA67 NSN67 NTA67 NTN67 NUA67 NUN67 NVA67 NVN67 NWA67 NWN67 NXA67 NXN67 NYA67 NYN67 NZA67 NZN67 OAA67 OAN67 OBA67 OBN67 OCA67 OCN67 ODA67 ODN67 OEA67 OEN67 OFA67 OFN67 OGA67 OGN67 OHA67 OHN67 OIA67 OIN67 OJA67 OJN67 OKA67 OKN67 OLA67 OLN67 OMA67 OMN67 ONA67 ONN67 OOA67 OON67 OPA67 OPN67 OQA67 OQN67 ORA67 ORN67 OSA67 OSN67 OTA67 OTN67 OUA67 OUN67 OVA67 OVN67 OWA67 OWN67 OXA67 OXN67 OYA67 OYN67 OZA67 OZN67 PAA67 PAN67 PBA67 PBN67 PCA67 PCN67 PDA67 PDN67 PEA67 PEN67 PFA67 PFN67 PGA67 PGN67 PHA67 PHN67 PIA67 PIN67 PJA67 PJN67 PKA67 PKN67 PLA67 PLN67 PMA67 PMN67 PNA67 PNN67 POA67 PON67 PPA67 PPN67 PQA67 PQN67 PRA67 PRN67 PSA67 PSN67 PTA67 PTN67 PUA67 PUN67 PVA67 PVN67 PWA67 PWN67 PXA67 PXN67 PYA67 PYN67 PZA67 PZN67 QAA67 QAN67 QBA67 QBN67 QCA67 QCN67 QDA67 QDN67 QEA67 QEN67 QFA67 QFN67 QGA67 QGN67 QHA67 QHN67 QIA67 QIN67 QJA67 QJN67 QKA67 QKN67 QLA67 QLN67 QMA67 QMN67 QNA67 QNN67 QOA67 QON67 QPA67 QPN67 QQA67 QQN67 QRA67 QRN67 QSA67 QSN67 QTA67 QTN67 QUA67 QUN67 QVA67 QVN67 QWA67 QWN67 QXA67 QXN67 QYA67 QYN67 QZA67 QZN67 RAA67 RAN67 RBA67 RBN67 RCA67 RCN67 RDA67 RDN67 REA67 REN67 RFA67 RFN67 RGA67 RGN67 RHA67 RHN67 RIA67 RIN67 RJA67 RJN67 RKA67 RKN67 RLA67 RLN67 RMA67 RMN67 RNA67 RNN67 ROA67 RON67 RPA67 RPN67 RQA67 RQN67 RRA67 RRN67 RSA67 RSN67 RTA67 RTN67 RUA67 RUN67 RVA67 RVN67 RWA67 RWN67 RXA67 RXN67 RYA67 RYN67 RZA67 RZN67 SAA67 SAN67 SBA67 SBN67 SCA67 SCN67 SDA67 SDN67 SEA67 SEN67 SFA67 SFN67 SGA67 SGN67 SHA67 SHN67 SIA67 SIN67 SJA67 SJN67 SKA67 SKN67 SLA67 SLN67 SMA67 SMN67 SNA67 SNN67 SOA67 SON67 SPA67 SPN67 SQA67 SQN67 SRA67 SRN67 SSA67 SSN67 STA67 STN67 SUA67 SUN67 SVA67 SVN67 SWA67 SWN67 SXA67 SXN67 SYA67 SYN67 SZA67 SZN67 TAA67 TAN67 TBA67 TBN67 TCA67 TCN67 TDA67 TDN67 TEA67 TEN67 TFA67 TFN67 TGA67 TGN67 THA67 THN67 TIA67 TIN67 TJA67 TJN67 TKA67 TKN67 TLA67 TLN67 TMA67 TMN67 TNA67 TNN67 TOA67 TON67 TPA67 TPN67 TQA67 TQN67 TRA67 TRN67 TSA67 TSN67 TTA67 TTN67 TUA67 TUN67 TVA67 TVN67 TWA67 TWN67 TXA67 TXN67 TYA67 TYN67 TZA67 TZN67 UAA67 UAN67 UBA67 UBN67 UCA67 UCN67 UDA67 UDN67 UEA67 UEN67 UFA67 UFN67 UGA67 UGN67 UHA67 UHN67 UIA67 UIN67 UJA67 UJN67 UKA67 UKN67 ULA67 ULN67 UMA67 UMN67 UNA67 UNN67 UOA67 UON67 UPA67 UPN67 UQA67 UQN67 URA67 URN67 USA67 USN67 UTA67 UTN67 UUA67 UUN67 UVA67 UVN67 UWA67 UWN67 UXA67 UXN67 UYA67 UYN67 UZA67 UZN67 VAA67 VAN67 VBA67 VBN67 VCA67 VCN67 VDA67 VDN67 VEA67 VEN67 VFA67 VFN67 VGA67 VGN67 VHA67 VHN67 VIA67 VIN67 VJA67 VJN67 VKA67 VKN67 VLA67 VLN67 VMA67 VMN67 VNA67 VNN67 VOA67 VON67 VPA67 VPN67 VQA67 VQN67 VRA67 VRN67 VSA67 VSN67 VTA67 VTN67 VUA67 VUN67 VVA67 VVN67 VWA67 VWN67 VXA67 VXN67 VYA67 VYN67 VZA67 VZN67 WAA67 WAN67 WBA67 WBN67 WCA67 WCN67 WDA67 WDN67 WEA67 WEN67 WFA67 WFN67 WGA67 WGN67 WHA67 WHN67 WIA67 WIN67 WJA67 WJN67 WKA67 WKN67 WLA67 WLN67 WMA67 WMN67 WNA67 WNN67 WOA67 WON67 WPA67 WPN67 WQA67 WQN67 WRA67 WRN67 WSA67 WSN67 WTA67 WTN67 WUA67 WUN67 WVA67 WVN67 WWA67 WWN67 WXA67 WXN67 WYA67 WYN67 WZA67 WZN67 XAA67 XAN67 XBA67 XBN67 XCA67 XCN67 XDA67 XDN67 XEA67 XEN67 XFA67">
    <cfRule type="cellIs" dxfId="316" priority="4" operator="equal">
      <formula>"No"</formula>
    </cfRule>
  </conditionalFormatting>
  <dataValidations count="1">
    <dataValidation type="list" allowBlank="1" showInputMessage="1" showErrorMessage="1" sqref="A28:A34 A36:A45 A20:A26 A54:A59 A9:A18 A61:A81" xr:uid="{F017B3B5-61DB-480B-BABF-926830A00A52}">
      <formula1>"Yes, No, N/A"</formula1>
    </dataValidation>
  </dataValidations>
  <pageMargins left="0.7" right="0.7" top="0.75" bottom="0.75" header="0.3" footer="0.3"/>
  <pageSetup scale="50" orientation="landscape" r:id="rId1"/>
  <rowBreaks count="1" manualBreakCount="1">
    <brk id="45" max="12"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74EB8-919A-4B20-A759-AC50CCF4313E}">
  <sheetPr>
    <tabColor indexed="42"/>
    <pageSetUpPr fitToPage="1"/>
  </sheetPr>
  <dimension ref="A1:AD158"/>
  <sheetViews>
    <sheetView view="pageBreakPreview" zoomScaleNormal="75" zoomScaleSheetLayoutView="100" workbookViewId="0">
      <selection activeCell="B3" sqref="B3:C3"/>
    </sheetView>
  </sheetViews>
  <sheetFormatPr defaultRowHeight="12.75" x14ac:dyDescent="0.2"/>
  <cols>
    <col min="1" max="1" width="13.85546875" style="7" bestFit="1" customWidth="1"/>
    <col min="2" max="2" width="10.42578125" style="59" bestFit="1" customWidth="1"/>
    <col min="3" max="3" width="5.85546875" style="59" bestFit="1" customWidth="1"/>
    <col min="4" max="4" width="14.28515625" style="7" bestFit="1" customWidth="1"/>
    <col min="5" max="6" width="65.7109375" style="59" customWidth="1"/>
    <col min="7" max="7" width="53" style="32" customWidth="1"/>
    <col min="8" max="248" width="9.140625" style="7"/>
    <col min="249" max="249" width="12.28515625" style="7" customWidth="1"/>
    <col min="250" max="250" width="53.5703125" style="7" customWidth="1"/>
    <col min="251" max="251" width="11.42578125" style="7" customWidth="1"/>
    <col min="252" max="252" width="12.140625" style="7" customWidth="1"/>
    <col min="253" max="253" width="21.28515625" style="7" customWidth="1"/>
    <col min="254" max="254" width="11.5703125" style="7" customWidth="1"/>
    <col min="255" max="255" width="9.140625" style="7"/>
    <col min="256" max="256" width="5.140625" style="7" customWidth="1"/>
    <col min="257" max="257" width="12" style="7" customWidth="1"/>
    <col min="258" max="258" width="9.140625" style="7"/>
    <col min="259" max="259" width="1.7109375" style="7" customWidth="1"/>
    <col min="260" max="260" width="14.140625" style="7" customWidth="1"/>
    <col min="261" max="504" width="9.140625" style="7"/>
    <col min="505" max="505" width="12.28515625" style="7" customWidth="1"/>
    <col min="506" max="506" width="53.5703125" style="7" customWidth="1"/>
    <col min="507" max="507" width="11.42578125" style="7" customWidth="1"/>
    <col min="508" max="508" width="12.140625" style="7" customWidth="1"/>
    <col min="509" max="509" width="21.28515625" style="7" customWidth="1"/>
    <col min="510" max="510" width="11.5703125" style="7" customWidth="1"/>
    <col min="511" max="511" width="9.140625" style="7"/>
    <col min="512" max="512" width="5.140625" style="7" customWidth="1"/>
    <col min="513" max="513" width="12" style="7" customWidth="1"/>
    <col min="514" max="514" width="9.140625" style="7"/>
    <col min="515" max="515" width="1.7109375" style="7" customWidth="1"/>
    <col min="516" max="516" width="14.140625" style="7" customWidth="1"/>
    <col min="517" max="760" width="9.140625" style="7"/>
    <col min="761" max="761" width="12.28515625" style="7" customWidth="1"/>
    <col min="762" max="762" width="53.5703125" style="7" customWidth="1"/>
    <col min="763" max="763" width="11.42578125" style="7" customWidth="1"/>
    <col min="764" max="764" width="12.140625" style="7" customWidth="1"/>
    <col min="765" max="765" width="21.28515625" style="7" customWidth="1"/>
    <col min="766" max="766" width="11.5703125" style="7" customWidth="1"/>
    <col min="767" max="767" width="9.140625" style="7"/>
    <col min="768" max="768" width="5.140625" style="7" customWidth="1"/>
    <col min="769" max="769" width="12" style="7" customWidth="1"/>
    <col min="770" max="770" width="9.140625" style="7"/>
    <col min="771" max="771" width="1.7109375" style="7" customWidth="1"/>
    <col min="772" max="772" width="14.140625" style="7" customWidth="1"/>
    <col min="773" max="1016" width="9.140625" style="7"/>
    <col min="1017" max="1017" width="12.28515625" style="7" customWidth="1"/>
    <col min="1018" max="1018" width="53.5703125" style="7" customWidth="1"/>
    <col min="1019" max="1019" width="11.42578125" style="7" customWidth="1"/>
    <col min="1020" max="1020" width="12.140625" style="7" customWidth="1"/>
    <col min="1021" max="1021" width="21.28515625" style="7" customWidth="1"/>
    <col min="1022" max="1022" width="11.5703125" style="7" customWidth="1"/>
    <col min="1023" max="1023" width="9.140625" style="7"/>
    <col min="1024" max="1024" width="5.140625" style="7" customWidth="1"/>
    <col min="1025" max="1025" width="12" style="7" customWidth="1"/>
    <col min="1026" max="1026" width="9.140625" style="7"/>
    <col min="1027" max="1027" width="1.7109375" style="7" customWidth="1"/>
    <col min="1028" max="1028" width="14.140625" style="7" customWidth="1"/>
    <col min="1029" max="1272" width="9.140625" style="7"/>
    <col min="1273" max="1273" width="12.28515625" style="7" customWidth="1"/>
    <col min="1274" max="1274" width="53.5703125" style="7" customWidth="1"/>
    <col min="1275" max="1275" width="11.42578125" style="7" customWidth="1"/>
    <col min="1276" max="1276" width="12.140625" style="7" customWidth="1"/>
    <col min="1277" max="1277" width="21.28515625" style="7" customWidth="1"/>
    <col min="1278" max="1278" width="11.5703125" style="7" customWidth="1"/>
    <col min="1279" max="1279" width="9.140625" style="7"/>
    <col min="1280" max="1280" width="5.140625" style="7" customWidth="1"/>
    <col min="1281" max="1281" width="12" style="7" customWidth="1"/>
    <col min="1282" max="1282" width="9.140625" style="7"/>
    <col min="1283" max="1283" width="1.7109375" style="7" customWidth="1"/>
    <col min="1284" max="1284" width="14.140625" style="7" customWidth="1"/>
    <col min="1285" max="1528" width="9.140625" style="7"/>
    <col min="1529" max="1529" width="12.28515625" style="7" customWidth="1"/>
    <col min="1530" max="1530" width="53.5703125" style="7" customWidth="1"/>
    <col min="1531" max="1531" width="11.42578125" style="7" customWidth="1"/>
    <col min="1532" max="1532" width="12.140625" style="7" customWidth="1"/>
    <col min="1533" max="1533" width="21.28515625" style="7" customWidth="1"/>
    <col min="1534" max="1534" width="11.5703125" style="7" customWidth="1"/>
    <col min="1535" max="1535" width="9.140625" style="7"/>
    <col min="1536" max="1536" width="5.140625" style="7" customWidth="1"/>
    <col min="1537" max="1537" width="12" style="7" customWidth="1"/>
    <col min="1538" max="1538" width="9.140625" style="7"/>
    <col min="1539" max="1539" width="1.7109375" style="7" customWidth="1"/>
    <col min="1540" max="1540" width="14.140625" style="7" customWidth="1"/>
    <col min="1541" max="1784" width="9.140625" style="7"/>
    <col min="1785" max="1785" width="12.28515625" style="7" customWidth="1"/>
    <col min="1786" max="1786" width="53.5703125" style="7" customWidth="1"/>
    <col min="1787" max="1787" width="11.42578125" style="7" customWidth="1"/>
    <col min="1788" max="1788" width="12.140625" style="7" customWidth="1"/>
    <col min="1789" max="1789" width="21.28515625" style="7" customWidth="1"/>
    <col min="1790" max="1790" width="11.5703125" style="7" customWidth="1"/>
    <col min="1791" max="1791" width="9.140625" style="7"/>
    <col min="1792" max="1792" width="5.140625" style="7" customWidth="1"/>
    <col min="1793" max="1793" width="12" style="7" customWidth="1"/>
    <col min="1794" max="1794" width="9.140625" style="7"/>
    <col min="1795" max="1795" width="1.7109375" style="7" customWidth="1"/>
    <col min="1796" max="1796" width="14.140625" style="7" customWidth="1"/>
    <col min="1797" max="2040" width="9.140625" style="7"/>
    <col min="2041" max="2041" width="12.28515625" style="7" customWidth="1"/>
    <col min="2042" max="2042" width="53.5703125" style="7" customWidth="1"/>
    <col min="2043" max="2043" width="11.42578125" style="7" customWidth="1"/>
    <col min="2044" max="2044" width="12.140625" style="7" customWidth="1"/>
    <col min="2045" max="2045" width="21.28515625" style="7" customWidth="1"/>
    <col min="2046" max="2046" width="11.5703125" style="7" customWidth="1"/>
    <col min="2047" max="2047" width="9.140625" style="7"/>
    <col min="2048" max="2048" width="5.140625" style="7" customWidth="1"/>
    <col min="2049" max="2049" width="12" style="7" customWidth="1"/>
    <col min="2050" max="2050" width="9.140625" style="7"/>
    <col min="2051" max="2051" width="1.7109375" style="7" customWidth="1"/>
    <col min="2052" max="2052" width="14.140625" style="7" customWidth="1"/>
    <col min="2053" max="2296" width="9.140625" style="7"/>
    <col min="2297" max="2297" width="12.28515625" style="7" customWidth="1"/>
    <col min="2298" max="2298" width="53.5703125" style="7" customWidth="1"/>
    <col min="2299" max="2299" width="11.42578125" style="7" customWidth="1"/>
    <col min="2300" max="2300" width="12.140625" style="7" customWidth="1"/>
    <col min="2301" max="2301" width="21.28515625" style="7" customWidth="1"/>
    <col min="2302" max="2302" width="11.5703125" style="7" customWidth="1"/>
    <col min="2303" max="2303" width="9.140625" style="7"/>
    <col min="2304" max="2304" width="5.140625" style="7" customWidth="1"/>
    <col min="2305" max="2305" width="12" style="7" customWidth="1"/>
    <col min="2306" max="2306" width="9.140625" style="7"/>
    <col min="2307" max="2307" width="1.7109375" style="7" customWidth="1"/>
    <col min="2308" max="2308" width="14.140625" style="7" customWidth="1"/>
    <col min="2309" max="2552" width="9.140625" style="7"/>
    <col min="2553" max="2553" width="12.28515625" style="7" customWidth="1"/>
    <col min="2554" max="2554" width="53.5703125" style="7" customWidth="1"/>
    <col min="2555" max="2555" width="11.42578125" style="7" customWidth="1"/>
    <col min="2556" max="2556" width="12.140625" style="7" customWidth="1"/>
    <col min="2557" max="2557" width="21.28515625" style="7" customWidth="1"/>
    <col min="2558" max="2558" width="11.5703125" style="7" customWidth="1"/>
    <col min="2559" max="2559" width="9.140625" style="7"/>
    <col min="2560" max="2560" width="5.140625" style="7" customWidth="1"/>
    <col min="2561" max="2561" width="12" style="7" customWidth="1"/>
    <col min="2562" max="2562" width="9.140625" style="7"/>
    <col min="2563" max="2563" width="1.7109375" style="7" customWidth="1"/>
    <col min="2564" max="2564" width="14.140625" style="7" customWidth="1"/>
    <col min="2565" max="2808" width="9.140625" style="7"/>
    <col min="2809" max="2809" width="12.28515625" style="7" customWidth="1"/>
    <col min="2810" max="2810" width="53.5703125" style="7" customWidth="1"/>
    <col min="2811" max="2811" width="11.42578125" style="7" customWidth="1"/>
    <col min="2812" max="2812" width="12.140625" style="7" customWidth="1"/>
    <col min="2813" max="2813" width="21.28515625" style="7" customWidth="1"/>
    <col min="2814" max="2814" width="11.5703125" style="7" customWidth="1"/>
    <col min="2815" max="2815" width="9.140625" style="7"/>
    <col min="2816" max="2816" width="5.140625" style="7" customWidth="1"/>
    <col min="2817" max="2817" width="12" style="7" customWidth="1"/>
    <col min="2818" max="2818" width="9.140625" style="7"/>
    <col min="2819" max="2819" width="1.7109375" style="7" customWidth="1"/>
    <col min="2820" max="2820" width="14.140625" style="7" customWidth="1"/>
    <col min="2821" max="3064" width="9.140625" style="7"/>
    <col min="3065" max="3065" width="12.28515625" style="7" customWidth="1"/>
    <col min="3066" max="3066" width="53.5703125" style="7" customWidth="1"/>
    <col min="3067" max="3067" width="11.42578125" style="7" customWidth="1"/>
    <col min="3068" max="3068" width="12.140625" style="7" customWidth="1"/>
    <col min="3069" max="3069" width="21.28515625" style="7" customWidth="1"/>
    <col min="3070" max="3070" width="11.5703125" style="7" customWidth="1"/>
    <col min="3071" max="3071" width="9.140625" style="7"/>
    <col min="3072" max="3072" width="5.140625" style="7" customWidth="1"/>
    <col min="3073" max="3073" width="12" style="7" customWidth="1"/>
    <col min="3074" max="3074" width="9.140625" style="7"/>
    <col min="3075" max="3075" width="1.7109375" style="7" customWidth="1"/>
    <col min="3076" max="3076" width="14.140625" style="7" customWidth="1"/>
    <col min="3077" max="3320" width="9.140625" style="7"/>
    <col min="3321" max="3321" width="12.28515625" style="7" customWidth="1"/>
    <col min="3322" max="3322" width="53.5703125" style="7" customWidth="1"/>
    <col min="3323" max="3323" width="11.42578125" style="7" customWidth="1"/>
    <col min="3324" max="3324" width="12.140625" style="7" customWidth="1"/>
    <col min="3325" max="3325" width="21.28515625" style="7" customWidth="1"/>
    <col min="3326" max="3326" width="11.5703125" style="7" customWidth="1"/>
    <col min="3327" max="3327" width="9.140625" style="7"/>
    <col min="3328" max="3328" width="5.140625" style="7" customWidth="1"/>
    <col min="3329" max="3329" width="12" style="7" customWidth="1"/>
    <col min="3330" max="3330" width="9.140625" style="7"/>
    <col min="3331" max="3331" width="1.7109375" style="7" customWidth="1"/>
    <col min="3332" max="3332" width="14.140625" style="7" customWidth="1"/>
    <col min="3333" max="3576" width="9.140625" style="7"/>
    <col min="3577" max="3577" width="12.28515625" style="7" customWidth="1"/>
    <col min="3578" max="3578" width="53.5703125" style="7" customWidth="1"/>
    <col min="3579" max="3579" width="11.42578125" style="7" customWidth="1"/>
    <col min="3580" max="3580" width="12.140625" style="7" customWidth="1"/>
    <col min="3581" max="3581" width="21.28515625" style="7" customWidth="1"/>
    <col min="3582" max="3582" width="11.5703125" style="7" customWidth="1"/>
    <col min="3583" max="3583" width="9.140625" style="7"/>
    <col min="3584" max="3584" width="5.140625" style="7" customWidth="1"/>
    <col min="3585" max="3585" width="12" style="7" customWidth="1"/>
    <col min="3586" max="3586" width="9.140625" style="7"/>
    <col min="3587" max="3587" width="1.7109375" style="7" customWidth="1"/>
    <col min="3588" max="3588" width="14.140625" style="7" customWidth="1"/>
    <col min="3589" max="3832" width="9.140625" style="7"/>
    <col min="3833" max="3833" width="12.28515625" style="7" customWidth="1"/>
    <col min="3834" max="3834" width="53.5703125" style="7" customWidth="1"/>
    <col min="3835" max="3835" width="11.42578125" style="7" customWidth="1"/>
    <col min="3836" max="3836" width="12.140625" style="7" customWidth="1"/>
    <col min="3837" max="3837" width="21.28515625" style="7" customWidth="1"/>
    <col min="3838" max="3838" width="11.5703125" style="7" customWidth="1"/>
    <col min="3839" max="3839" width="9.140625" style="7"/>
    <col min="3840" max="3840" width="5.140625" style="7" customWidth="1"/>
    <col min="3841" max="3841" width="12" style="7" customWidth="1"/>
    <col min="3842" max="3842" width="9.140625" style="7"/>
    <col min="3843" max="3843" width="1.7109375" style="7" customWidth="1"/>
    <col min="3844" max="3844" width="14.140625" style="7" customWidth="1"/>
    <col min="3845" max="4088" width="9.140625" style="7"/>
    <col min="4089" max="4089" width="12.28515625" style="7" customWidth="1"/>
    <col min="4090" max="4090" width="53.5703125" style="7" customWidth="1"/>
    <col min="4091" max="4091" width="11.42578125" style="7" customWidth="1"/>
    <col min="4092" max="4092" width="12.140625" style="7" customWidth="1"/>
    <col min="4093" max="4093" width="21.28515625" style="7" customWidth="1"/>
    <col min="4094" max="4094" width="11.5703125" style="7" customWidth="1"/>
    <col min="4095" max="4095" width="9.140625" style="7"/>
    <col min="4096" max="4096" width="5.140625" style="7" customWidth="1"/>
    <col min="4097" max="4097" width="12" style="7" customWidth="1"/>
    <col min="4098" max="4098" width="9.140625" style="7"/>
    <col min="4099" max="4099" width="1.7109375" style="7" customWidth="1"/>
    <col min="4100" max="4100" width="14.140625" style="7" customWidth="1"/>
    <col min="4101" max="4344" width="9.140625" style="7"/>
    <col min="4345" max="4345" width="12.28515625" style="7" customWidth="1"/>
    <col min="4346" max="4346" width="53.5703125" style="7" customWidth="1"/>
    <col min="4347" max="4347" width="11.42578125" style="7" customWidth="1"/>
    <col min="4348" max="4348" width="12.140625" style="7" customWidth="1"/>
    <col min="4349" max="4349" width="21.28515625" style="7" customWidth="1"/>
    <col min="4350" max="4350" width="11.5703125" style="7" customWidth="1"/>
    <col min="4351" max="4351" width="9.140625" style="7"/>
    <col min="4352" max="4352" width="5.140625" style="7" customWidth="1"/>
    <col min="4353" max="4353" width="12" style="7" customWidth="1"/>
    <col min="4354" max="4354" width="9.140625" style="7"/>
    <col min="4355" max="4355" width="1.7109375" style="7" customWidth="1"/>
    <col min="4356" max="4356" width="14.140625" style="7" customWidth="1"/>
    <col min="4357" max="4600" width="9.140625" style="7"/>
    <col min="4601" max="4601" width="12.28515625" style="7" customWidth="1"/>
    <col min="4602" max="4602" width="53.5703125" style="7" customWidth="1"/>
    <col min="4603" max="4603" width="11.42578125" style="7" customWidth="1"/>
    <col min="4604" max="4604" width="12.140625" style="7" customWidth="1"/>
    <col min="4605" max="4605" width="21.28515625" style="7" customWidth="1"/>
    <col min="4606" max="4606" width="11.5703125" style="7" customWidth="1"/>
    <col min="4607" max="4607" width="9.140625" style="7"/>
    <col min="4608" max="4608" width="5.140625" style="7" customWidth="1"/>
    <col min="4609" max="4609" width="12" style="7" customWidth="1"/>
    <col min="4610" max="4610" width="9.140625" style="7"/>
    <col min="4611" max="4611" width="1.7109375" style="7" customWidth="1"/>
    <col min="4612" max="4612" width="14.140625" style="7" customWidth="1"/>
    <col min="4613" max="4856" width="9.140625" style="7"/>
    <col min="4857" max="4857" width="12.28515625" style="7" customWidth="1"/>
    <col min="4858" max="4858" width="53.5703125" style="7" customWidth="1"/>
    <col min="4859" max="4859" width="11.42578125" style="7" customWidth="1"/>
    <col min="4860" max="4860" width="12.140625" style="7" customWidth="1"/>
    <col min="4861" max="4861" width="21.28515625" style="7" customWidth="1"/>
    <col min="4862" max="4862" width="11.5703125" style="7" customWidth="1"/>
    <col min="4863" max="4863" width="9.140625" style="7"/>
    <col min="4864" max="4864" width="5.140625" style="7" customWidth="1"/>
    <col min="4865" max="4865" width="12" style="7" customWidth="1"/>
    <col min="4866" max="4866" width="9.140625" style="7"/>
    <col min="4867" max="4867" width="1.7109375" style="7" customWidth="1"/>
    <col min="4868" max="4868" width="14.140625" style="7" customWidth="1"/>
    <col min="4869" max="5112" width="9.140625" style="7"/>
    <col min="5113" max="5113" width="12.28515625" style="7" customWidth="1"/>
    <col min="5114" max="5114" width="53.5703125" style="7" customWidth="1"/>
    <col min="5115" max="5115" width="11.42578125" style="7" customWidth="1"/>
    <col min="5116" max="5116" width="12.140625" style="7" customWidth="1"/>
    <col min="5117" max="5117" width="21.28515625" style="7" customWidth="1"/>
    <col min="5118" max="5118" width="11.5703125" style="7" customWidth="1"/>
    <col min="5119" max="5119" width="9.140625" style="7"/>
    <col min="5120" max="5120" width="5.140625" style="7" customWidth="1"/>
    <col min="5121" max="5121" width="12" style="7" customWidth="1"/>
    <col min="5122" max="5122" width="9.140625" style="7"/>
    <col min="5123" max="5123" width="1.7109375" style="7" customWidth="1"/>
    <col min="5124" max="5124" width="14.140625" style="7" customWidth="1"/>
    <col min="5125" max="5368" width="9.140625" style="7"/>
    <col min="5369" max="5369" width="12.28515625" style="7" customWidth="1"/>
    <col min="5370" max="5370" width="53.5703125" style="7" customWidth="1"/>
    <col min="5371" max="5371" width="11.42578125" style="7" customWidth="1"/>
    <col min="5372" max="5372" width="12.140625" style="7" customWidth="1"/>
    <col min="5373" max="5373" width="21.28515625" style="7" customWidth="1"/>
    <col min="5374" max="5374" width="11.5703125" style="7" customWidth="1"/>
    <col min="5375" max="5375" width="9.140625" style="7"/>
    <col min="5376" max="5376" width="5.140625" style="7" customWidth="1"/>
    <col min="5377" max="5377" width="12" style="7" customWidth="1"/>
    <col min="5378" max="5378" width="9.140625" style="7"/>
    <col min="5379" max="5379" width="1.7109375" style="7" customWidth="1"/>
    <col min="5380" max="5380" width="14.140625" style="7" customWidth="1"/>
    <col min="5381" max="5624" width="9.140625" style="7"/>
    <col min="5625" max="5625" width="12.28515625" style="7" customWidth="1"/>
    <col min="5626" max="5626" width="53.5703125" style="7" customWidth="1"/>
    <col min="5627" max="5627" width="11.42578125" style="7" customWidth="1"/>
    <col min="5628" max="5628" width="12.140625" style="7" customWidth="1"/>
    <col min="5629" max="5629" width="21.28515625" style="7" customWidth="1"/>
    <col min="5630" max="5630" width="11.5703125" style="7" customWidth="1"/>
    <col min="5631" max="5631" width="9.140625" style="7"/>
    <col min="5632" max="5632" width="5.140625" style="7" customWidth="1"/>
    <col min="5633" max="5633" width="12" style="7" customWidth="1"/>
    <col min="5634" max="5634" width="9.140625" style="7"/>
    <col min="5635" max="5635" width="1.7109375" style="7" customWidth="1"/>
    <col min="5636" max="5636" width="14.140625" style="7" customWidth="1"/>
    <col min="5637" max="5880" width="9.140625" style="7"/>
    <col min="5881" max="5881" width="12.28515625" style="7" customWidth="1"/>
    <col min="5882" max="5882" width="53.5703125" style="7" customWidth="1"/>
    <col min="5883" max="5883" width="11.42578125" style="7" customWidth="1"/>
    <col min="5884" max="5884" width="12.140625" style="7" customWidth="1"/>
    <col min="5885" max="5885" width="21.28515625" style="7" customWidth="1"/>
    <col min="5886" max="5886" width="11.5703125" style="7" customWidth="1"/>
    <col min="5887" max="5887" width="9.140625" style="7"/>
    <col min="5888" max="5888" width="5.140625" style="7" customWidth="1"/>
    <col min="5889" max="5889" width="12" style="7" customWidth="1"/>
    <col min="5890" max="5890" width="9.140625" style="7"/>
    <col min="5891" max="5891" width="1.7109375" style="7" customWidth="1"/>
    <col min="5892" max="5892" width="14.140625" style="7" customWidth="1"/>
    <col min="5893" max="6136" width="9.140625" style="7"/>
    <col min="6137" max="6137" width="12.28515625" style="7" customWidth="1"/>
    <col min="6138" max="6138" width="53.5703125" style="7" customWidth="1"/>
    <col min="6139" max="6139" width="11.42578125" style="7" customWidth="1"/>
    <col min="6140" max="6140" width="12.140625" style="7" customWidth="1"/>
    <col min="6141" max="6141" width="21.28515625" style="7" customWidth="1"/>
    <col min="6142" max="6142" width="11.5703125" style="7" customWidth="1"/>
    <col min="6143" max="6143" width="9.140625" style="7"/>
    <col min="6144" max="6144" width="5.140625" style="7" customWidth="1"/>
    <col min="6145" max="6145" width="12" style="7" customWidth="1"/>
    <col min="6146" max="6146" width="9.140625" style="7"/>
    <col min="6147" max="6147" width="1.7109375" style="7" customWidth="1"/>
    <col min="6148" max="6148" width="14.140625" style="7" customWidth="1"/>
    <col min="6149" max="6392" width="9.140625" style="7"/>
    <col min="6393" max="6393" width="12.28515625" style="7" customWidth="1"/>
    <col min="6394" max="6394" width="53.5703125" style="7" customWidth="1"/>
    <col min="6395" max="6395" width="11.42578125" style="7" customWidth="1"/>
    <col min="6396" max="6396" width="12.140625" style="7" customWidth="1"/>
    <col min="6397" max="6397" width="21.28515625" style="7" customWidth="1"/>
    <col min="6398" max="6398" width="11.5703125" style="7" customWidth="1"/>
    <col min="6399" max="6399" width="9.140625" style="7"/>
    <col min="6400" max="6400" width="5.140625" style="7" customWidth="1"/>
    <col min="6401" max="6401" width="12" style="7" customWidth="1"/>
    <col min="6402" max="6402" width="9.140625" style="7"/>
    <col min="6403" max="6403" width="1.7109375" style="7" customWidth="1"/>
    <col min="6404" max="6404" width="14.140625" style="7" customWidth="1"/>
    <col min="6405" max="6648" width="9.140625" style="7"/>
    <col min="6649" max="6649" width="12.28515625" style="7" customWidth="1"/>
    <col min="6650" max="6650" width="53.5703125" style="7" customWidth="1"/>
    <col min="6651" max="6651" width="11.42578125" style="7" customWidth="1"/>
    <col min="6652" max="6652" width="12.140625" style="7" customWidth="1"/>
    <col min="6653" max="6653" width="21.28515625" style="7" customWidth="1"/>
    <col min="6654" max="6654" width="11.5703125" style="7" customWidth="1"/>
    <col min="6655" max="6655" width="9.140625" style="7"/>
    <col min="6656" max="6656" width="5.140625" style="7" customWidth="1"/>
    <col min="6657" max="6657" width="12" style="7" customWidth="1"/>
    <col min="6658" max="6658" width="9.140625" style="7"/>
    <col min="6659" max="6659" width="1.7109375" style="7" customWidth="1"/>
    <col min="6660" max="6660" width="14.140625" style="7" customWidth="1"/>
    <col min="6661" max="6904" width="9.140625" style="7"/>
    <col min="6905" max="6905" width="12.28515625" style="7" customWidth="1"/>
    <col min="6906" max="6906" width="53.5703125" style="7" customWidth="1"/>
    <col min="6907" max="6907" width="11.42578125" style="7" customWidth="1"/>
    <col min="6908" max="6908" width="12.140625" style="7" customWidth="1"/>
    <col min="6909" max="6909" width="21.28515625" style="7" customWidth="1"/>
    <col min="6910" max="6910" width="11.5703125" style="7" customWidth="1"/>
    <col min="6911" max="6911" width="9.140625" style="7"/>
    <col min="6912" max="6912" width="5.140625" style="7" customWidth="1"/>
    <col min="6913" max="6913" width="12" style="7" customWidth="1"/>
    <col min="6914" max="6914" width="9.140625" style="7"/>
    <col min="6915" max="6915" width="1.7109375" style="7" customWidth="1"/>
    <col min="6916" max="6916" width="14.140625" style="7" customWidth="1"/>
    <col min="6917" max="7160" width="9.140625" style="7"/>
    <col min="7161" max="7161" width="12.28515625" style="7" customWidth="1"/>
    <col min="7162" max="7162" width="53.5703125" style="7" customWidth="1"/>
    <col min="7163" max="7163" width="11.42578125" style="7" customWidth="1"/>
    <col min="7164" max="7164" width="12.140625" style="7" customWidth="1"/>
    <col min="7165" max="7165" width="21.28515625" style="7" customWidth="1"/>
    <col min="7166" max="7166" width="11.5703125" style="7" customWidth="1"/>
    <col min="7167" max="7167" width="9.140625" style="7"/>
    <col min="7168" max="7168" width="5.140625" style="7" customWidth="1"/>
    <col min="7169" max="7169" width="12" style="7" customWidth="1"/>
    <col min="7170" max="7170" width="9.140625" style="7"/>
    <col min="7171" max="7171" width="1.7109375" style="7" customWidth="1"/>
    <col min="7172" max="7172" width="14.140625" style="7" customWidth="1"/>
    <col min="7173" max="7416" width="9.140625" style="7"/>
    <col min="7417" max="7417" width="12.28515625" style="7" customWidth="1"/>
    <col min="7418" max="7418" width="53.5703125" style="7" customWidth="1"/>
    <col min="7419" max="7419" width="11.42578125" style="7" customWidth="1"/>
    <col min="7420" max="7420" width="12.140625" style="7" customWidth="1"/>
    <col min="7421" max="7421" width="21.28515625" style="7" customWidth="1"/>
    <col min="7422" max="7422" width="11.5703125" style="7" customWidth="1"/>
    <col min="7423" max="7423" width="9.140625" style="7"/>
    <col min="7424" max="7424" width="5.140625" style="7" customWidth="1"/>
    <col min="7425" max="7425" width="12" style="7" customWidth="1"/>
    <col min="7426" max="7426" width="9.140625" style="7"/>
    <col min="7427" max="7427" width="1.7109375" style="7" customWidth="1"/>
    <col min="7428" max="7428" width="14.140625" style="7" customWidth="1"/>
    <col min="7429" max="7672" width="9.140625" style="7"/>
    <col min="7673" max="7673" width="12.28515625" style="7" customWidth="1"/>
    <col min="7674" max="7674" width="53.5703125" style="7" customWidth="1"/>
    <col min="7675" max="7675" width="11.42578125" style="7" customWidth="1"/>
    <col min="7676" max="7676" width="12.140625" style="7" customWidth="1"/>
    <col min="7677" max="7677" width="21.28515625" style="7" customWidth="1"/>
    <col min="7678" max="7678" width="11.5703125" style="7" customWidth="1"/>
    <col min="7679" max="7679" width="9.140625" style="7"/>
    <col min="7680" max="7680" width="5.140625" style="7" customWidth="1"/>
    <col min="7681" max="7681" width="12" style="7" customWidth="1"/>
    <col min="7682" max="7682" width="9.140625" style="7"/>
    <col min="7683" max="7683" width="1.7109375" style="7" customWidth="1"/>
    <col min="7684" max="7684" width="14.140625" style="7" customWidth="1"/>
    <col min="7685" max="7928" width="9.140625" style="7"/>
    <col min="7929" max="7929" width="12.28515625" style="7" customWidth="1"/>
    <col min="7930" max="7930" width="53.5703125" style="7" customWidth="1"/>
    <col min="7931" max="7931" width="11.42578125" style="7" customWidth="1"/>
    <col min="7932" max="7932" width="12.140625" style="7" customWidth="1"/>
    <col min="7933" max="7933" width="21.28515625" style="7" customWidth="1"/>
    <col min="7934" max="7934" width="11.5703125" style="7" customWidth="1"/>
    <col min="7935" max="7935" width="9.140625" style="7"/>
    <col min="7936" max="7936" width="5.140625" style="7" customWidth="1"/>
    <col min="7937" max="7937" width="12" style="7" customWidth="1"/>
    <col min="7938" max="7938" width="9.140625" style="7"/>
    <col min="7939" max="7939" width="1.7109375" style="7" customWidth="1"/>
    <col min="7940" max="7940" width="14.140625" style="7" customWidth="1"/>
    <col min="7941" max="8184" width="9.140625" style="7"/>
    <col min="8185" max="8185" width="12.28515625" style="7" customWidth="1"/>
    <col min="8186" max="8186" width="53.5703125" style="7" customWidth="1"/>
    <col min="8187" max="8187" width="11.42578125" style="7" customWidth="1"/>
    <col min="8188" max="8188" width="12.140625" style="7" customWidth="1"/>
    <col min="8189" max="8189" width="21.28515625" style="7" customWidth="1"/>
    <col min="8190" max="8190" width="11.5703125" style="7" customWidth="1"/>
    <col min="8191" max="8191" width="9.140625" style="7"/>
    <col min="8192" max="8192" width="5.140625" style="7" customWidth="1"/>
    <col min="8193" max="8193" width="12" style="7" customWidth="1"/>
    <col min="8194" max="8194" width="9.140625" style="7"/>
    <col min="8195" max="8195" width="1.7109375" style="7" customWidth="1"/>
    <col min="8196" max="8196" width="14.140625" style="7" customWidth="1"/>
    <col min="8197" max="8440" width="9.140625" style="7"/>
    <col min="8441" max="8441" width="12.28515625" style="7" customWidth="1"/>
    <col min="8442" max="8442" width="53.5703125" style="7" customWidth="1"/>
    <col min="8443" max="8443" width="11.42578125" style="7" customWidth="1"/>
    <col min="8444" max="8444" width="12.140625" style="7" customWidth="1"/>
    <col min="8445" max="8445" width="21.28515625" style="7" customWidth="1"/>
    <col min="8446" max="8446" width="11.5703125" style="7" customWidth="1"/>
    <col min="8447" max="8447" width="9.140625" style="7"/>
    <col min="8448" max="8448" width="5.140625" style="7" customWidth="1"/>
    <col min="8449" max="8449" width="12" style="7" customWidth="1"/>
    <col min="8450" max="8450" width="9.140625" style="7"/>
    <col min="8451" max="8451" width="1.7109375" style="7" customWidth="1"/>
    <col min="8452" max="8452" width="14.140625" style="7" customWidth="1"/>
    <col min="8453" max="8696" width="9.140625" style="7"/>
    <col min="8697" max="8697" width="12.28515625" style="7" customWidth="1"/>
    <col min="8698" max="8698" width="53.5703125" style="7" customWidth="1"/>
    <col min="8699" max="8699" width="11.42578125" style="7" customWidth="1"/>
    <col min="8700" max="8700" width="12.140625" style="7" customWidth="1"/>
    <col min="8701" max="8701" width="21.28515625" style="7" customWidth="1"/>
    <col min="8702" max="8702" width="11.5703125" style="7" customWidth="1"/>
    <col min="8703" max="8703" width="9.140625" style="7"/>
    <col min="8704" max="8704" width="5.140625" style="7" customWidth="1"/>
    <col min="8705" max="8705" width="12" style="7" customWidth="1"/>
    <col min="8706" max="8706" width="9.140625" style="7"/>
    <col min="8707" max="8707" width="1.7109375" style="7" customWidth="1"/>
    <col min="8708" max="8708" width="14.140625" style="7" customWidth="1"/>
    <col min="8709" max="8952" width="9.140625" style="7"/>
    <col min="8953" max="8953" width="12.28515625" style="7" customWidth="1"/>
    <col min="8954" max="8954" width="53.5703125" style="7" customWidth="1"/>
    <col min="8955" max="8955" width="11.42578125" style="7" customWidth="1"/>
    <col min="8956" max="8956" width="12.140625" style="7" customWidth="1"/>
    <col min="8957" max="8957" width="21.28515625" style="7" customWidth="1"/>
    <col min="8958" max="8958" width="11.5703125" style="7" customWidth="1"/>
    <col min="8959" max="8959" width="9.140625" style="7"/>
    <col min="8960" max="8960" width="5.140625" style="7" customWidth="1"/>
    <col min="8961" max="8961" width="12" style="7" customWidth="1"/>
    <col min="8962" max="8962" width="9.140625" style="7"/>
    <col min="8963" max="8963" width="1.7109375" style="7" customWidth="1"/>
    <col min="8964" max="8964" width="14.140625" style="7" customWidth="1"/>
    <col min="8965" max="9208" width="9.140625" style="7"/>
    <col min="9209" max="9209" width="12.28515625" style="7" customWidth="1"/>
    <col min="9210" max="9210" width="53.5703125" style="7" customWidth="1"/>
    <col min="9211" max="9211" width="11.42578125" style="7" customWidth="1"/>
    <col min="9212" max="9212" width="12.140625" style="7" customWidth="1"/>
    <col min="9213" max="9213" width="21.28515625" style="7" customWidth="1"/>
    <col min="9214" max="9214" width="11.5703125" style="7" customWidth="1"/>
    <col min="9215" max="9215" width="9.140625" style="7"/>
    <col min="9216" max="9216" width="5.140625" style="7" customWidth="1"/>
    <col min="9217" max="9217" width="12" style="7" customWidth="1"/>
    <col min="9218" max="9218" width="9.140625" style="7"/>
    <col min="9219" max="9219" width="1.7109375" style="7" customWidth="1"/>
    <col min="9220" max="9220" width="14.140625" style="7" customWidth="1"/>
    <col min="9221" max="9464" width="9.140625" style="7"/>
    <col min="9465" max="9465" width="12.28515625" style="7" customWidth="1"/>
    <col min="9466" max="9466" width="53.5703125" style="7" customWidth="1"/>
    <col min="9467" max="9467" width="11.42578125" style="7" customWidth="1"/>
    <col min="9468" max="9468" width="12.140625" style="7" customWidth="1"/>
    <col min="9469" max="9469" width="21.28515625" style="7" customWidth="1"/>
    <col min="9470" max="9470" width="11.5703125" style="7" customWidth="1"/>
    <col min="9471" max="9471" width="9.140625" style="7"/>
    <col min="9472" max="9472" width="5.140625" style="7" customWidth="1"/>
    <col min="9473" max="9473" width="12" style="7" customWidth="1"/>
    <col min="9474" max="9474" width="9.140625" style="7"/>
    <col min="9475" max="9475" width="1.7109375" style="7" customWidth="1"/>
    <col min="9476" max="9476" width="14.140625" style="7" customWidth="1"/>
    <col min="9477" max="9720" width="9.140625" style="7"/>
    <col min="9721" max="9721" width="12.28515625" style="7" customWidth="1"/>
    <col min="9722" max="9722" width="53.5703125" style="7" customWidth="1"/>
    <col min="9723" max="9723" width="11.42578125" style="7" customWidth="1"/>
    <col min="9724" max="9724" width="12.140625" style="7" customWidth="1"/>
    <col min="9725" max="9725" width="21.28515625" style="7" customWidth="1"/>
    <col min="9726" max="9726" width="11.5703125" style="7" customWidth="1"/>
    <col min="9727" max="9727" width="9.140625" style="7"/>
    <col min="9728" max="9728" width="5.140625" style="7" customWidth="1"/>
    <col min="9729" max="9729" width="12" style="7" customWidth="1"/>
    <col min="9730" max="9730" width="9.140625" style="7"/>
    <col min="9731" max="9731" width="1.7109375" style="7" customWidth="1"/>
    <col min="9732" max="9732" width="14.140625" style="7" customWidth="1"/>
    <col min="9733" max="9976" width="9.140625" style="7"/>
    <col min="9977" max="9977" width="12.28515625" style="7" customWidth="1"/>
    <col min="9978" max="9978" width="53.5703125" style="7" customWidth="1"/>
    <col min="9979" max="9979" width="11.42578125" style="7" customWidth="1"/>
    <col min="9980" max="9980" width="12.140625" style="7" customWidth="1"/>
    <col min="9981" max="9981" width="21.28515625" style="7" customWidth="1"/>
    <col min="9982" max="9982" width="11.5703125" style="7" customWidth="1"/>
    <col min="9983" max="9983" width="9.140625" style="7"/>
    <col min="9984" max="9984" width="5.140625" style="7" customWidth="1"/>
    <col min="9985" max="9985" width="12" style="7" customWidth="1"/>
    <col min="9986" max="9986" width="9.140625" style="7"/>
    <col min="9987" max="9987" width="1.7109375" style="7" customWidth="1"/>
    <col min="9988" max="9988" width="14.140625" style="7" customWidth="1"/>
    <col min="9989" max="10232" width="9.140625" style="7"/>
    <col min="10233" max="10233" width="12.28515625" style="7" customWidth="1"/>
    <col min="10234" max="10234" width="53.5703125" style="7" customWidth="1"/>
    <col min="10235" max="10235" width="11.42578125" style="7" customWidth="1"/>
    <col min="10236" max="10236" width="12.140625" style="7" customWidth="1"/>
    <col min="10237" max="10237" width="21.28515625" style="7" customWidth="1"/>
    <col min="10238" max="10238" width="11.5703125" style="7" customWidth="1"/>
    <col min="10239" max="10239" width="9.140625" style="7"/>
    <col min="10240" max="10240" width="5.140625" style="7" customWidth="1"/>
    <col min="10241" max="10241" width="12" style="7" customWidth="1"/>
    <col min="10242" max="10242" width="9.140625" style="7"/>
    <col min="10243" max="10243" width="1.7109375" style="7" customWidth="1"/>
    <col min="10244" max="10244" width="14.140625" style="7" customWidth="1"/>
    <col min="10245" max="10488" width="9.140625" style="7"/>
    <col min="10489" max="10489" width="12.28515625" style="7" customWidth="1"/>
    <col min="10490" max="10490" width="53.5703125" style="7" customWidth="1"/>
    <col min="10491" max="10491" width="11.42578125" style="7" customWidth="1"/>
    <col min="10492" max="10492" width="12.140625" style="7" customWidth="1"/>
    <col min="10493" max="10493" width="21.28515625" style="7" customWidth="1"/>
    <col min="10494" max="10494" width="11.5703125" style="7" customWidth="1"/>
    <col min="10495" max="10495" width="9.140625" style="7"/>
    <col min="10496" max="10496" width="5.140625" style="7" customWidth="1"/>
    <col min="10497" max="10497" width="12" style="7" customWidth="1"/>
    <col min="10498" max="10498" width="9.140625" style="7"/>
    <col min="10499" max="10499" width="1.7109375" style="7" customWidth="1"/>
    <col min="10500" max="10500" width="14.140625" style="7" customWidth="1"/>
    <col min="10501" max="10744" width="9.140625" style="7"/>
    <col min="10745" max="10745" width="12.28515625" style="7" customWidth="1"/>
    <col min="10746" max="10746" width="53.5703125" style="7" customWidth="1"/>
    <col min="10747" max="10747" width="11.42578125" style="7" customWidth="1"/>
    <col min="10748" max="10748" width="12.140625" style="7" customWidth="1"/>
    <col min="10749" max="10749" width="21.28515625" style="7" customWidth="1"/>
    <col min="10750" max="10750" width="11.5703125" style="7" customWidth="1"/>
    <col min="10751" max="10751" width="9.140625" style="7"/>
    <col min="10752" max="10752" width="5.140625" style="7" customWidth="1"/>
    <col min="10753" max="10753" width="12" style="7" customWidth="1"/>
    <col min="10754" max="10754" width="9.140625" style="7"/>
    <col min="10755" max="10755" width="1.7109375" style="7" customWidth="1"/>
    <col min="10756" max="10756" width="14.140625" style="7" customWidth="1"/>
    <col min="10757" max="11000" width="9.140625" style="7"/>
    <col min="11001" max="11001" width="12.28515625" style="7" customWidth="1"/>
    <col min="11002" max="11002" width="53.5703125" style="7" customWidth="1"/>
    <col min="11003" max="11003" width="11.42578125" style="7" customWidth="1"/>
    <col min="11004" max="11004" width="12.140625" style="7" customWidth="1"/>
    <col min="11005" max="11005" width="21.28515625" style="7" customWidth="1"/>
    <col min="11006" max="11006" width="11.5703125" style="7" customWidth="1"/>
    <col min="11007" max="11007" width="9.140625" style="7"/>
    <col min="11008" max="11008" width="5.140625" style="7" customWidth="1"/>
    <col min="11009" max="11009" width="12" style="7" customWidth="1"/>
    <col min="11010" max="11010" width="9.140625" style="7"/>
    <col min="11011" max="11011" width="1.7109375" style="7" customWidth="1"/>
    <col min="11012" max="11012" width="14.140625" style="7" customWidth="1"/>
    <col min="11013" max="11256" width="9.140625" style="7"/>
    <col min="11257" max="11257" width="12.28515625" style="7" customWidth="1"/>
    <col min="11258" max="11258" width="53.5703125" style="7" customWidth="1"/>
    <col min="11259" max="11259" width="11.42578125" style="7" customWidth="1"/>
    <col min="11260" max="11260" width="12.140625" style="7" customWidth="1"/>
    <col min="11261" max="11261" width="21.28515625" style="7" customWidth="1"/>
    <col min="11262" max="11262" width="11.5703125" style="7" customWidth="1"/>
    <col min="11263" max="11263" width="9.140625" style="7"/>
    <col min="11264" max="11264" width="5.140625" style="7" customWidth="1"/>
    <col min="11265" max="11265" width="12" style="7" customWidth="1"/>
    <col min="11266" max="11266" width="9.140625" style="7"/>
    <col min="11267" max="11267" width="1.7109375" style="7" customWidth="1"/>
    <col min="11268" max="11268" width="14.140625" style="7" customWidth="1"/>
    <col min="11269" max="11512" width="9.140625" style="7"/>
    <col min="11513" max="11513" width="12.28515625" style="7" customWidth="1"/>
    <col min="11514" max="11514" width="53.5703125" style="7" customWidth="1"/>
    <col min="11515" max="11515" width="11.42578125" style="7" customWidth="1"/>
    <col min="11516" max="11516" width="12.140625" style="7" customWidth="1"/>
    <col min="11517" max="11517" width="21.28515625" style="7" customWidth="1"/>
    <col min="11518" max="11518" width="11.5703125" style="7" customWidth="1"/>
    <col min="11519" max="11519" width="9.140625" style="7"/>
    <col min="11520" max="11520" width="5.140625" style="7" customWidth="1"/>
    <col min="11521" max="11521" width="12" style="7" customWidth="1"/>
    <col min="11522" max="11522" width="9.140625" style="7"/>
    <col min="11523" max="11523" width="1.7109375" style="7" customWidth="1"/>
    <col min="11524" max="11524" width="14.140625" style="7" customWidth="1"/>
    <col min="11525" max="11768" width="9.140625" style="7"/>
    <col min="11769" max="11769" width="12.28515625" style="7" customWidth="1"/>
    <col min="11770" max="11770" width="53.5703125" style="7" customWidth="1"/>
    <col min="11771" max="11771" width="11.42578125" style="7" customWidth="1"/>
    <col min="11772" max="11772" width="12.140625" style="7" customWidth="1"/>
    <col min="11773" max="11773" width="21.28515625" style="7" customWidth="1"/>
    <col min="11774" max="11774" width="11.5703125" style="7" customWidth="1"/>
    <col min="11775" max="11775" width="9.140625" style="7"/>
    <col min="11776" max="11776" width="5.140625" style="7" customWidth="1"/>
    <col min="11777" max="11777" width="12" style="7" customWidth="1"/>
    <col min="11778" max="11778" width="9.140625" style="7"/>
    <col min="11779" max="11779" width="1.7109375" style="7" customWidth="1"/>
    <col min="11780" max="11780" width="14.140625" style="7" customWidth="1"/>
    <col min="11781" max="12024" width="9.140625" style="7"/>
    <col min="12025" max="12025" width="12.28515625" style="7" customWidth="1"/>
    <col min="12026" max="12026" width="53.5703125" style="7" customWidth="1"/>
    <col min="12027" max="12027" width="11.42578125" style="7" customWidth="1"/>
    <col min="12028" max="12028" width="12.140625" style="7" customWidth="1"/>
    <col min="12029" max="12029" width="21.28515625" style="7" customWidth="1"/>
    <col min="12030" max="12030" width="11.5703125" style="7" customWidth="1"/>
    <col min="12031" max="12031" width="9.140625" style="7"/>
    <col min="12032" max="12032" width="5.140625" style="7" customWidth="1"/>
    <col min="12033" max="12033" width="12" style="7" customWidth="1"/>
    <col min="12034" max="12034" width="9.140625" style="7"/>
    <col min="12035" max="12035" width="1.7109375" style="7" customWidth="1"/>
    <col min="12036" max="12036" width="14.140625" style="7" customWidth="1"/>
    <col min="12037" max="12280" width="9.140625" style="7"/>
    <col min="12281" max="12281" width="12.28515625" style="7" customWidth="1"/>
    <col min="12282" max="12282" width="53.5703125" style="7" customWidth="1"/>
    <col min="12283" max="12283" width="11.42578125" style="7" customWidth="1"/>
    <col min="12284" max="12284" width="12.140625" style="7" customWidth="1"/>
    <col min="12285" max="12285" width="21.28515625" style="7" customWidth="1"/>
    <col min="12286" max="12286" width="11.5703125" style="7" customWidth="1"/>
    <col min="12287" max="12287" width="9.140625" style="7"/>
    <col min="12288" max="12288" width="5.140625" style="7" customWidth="1"/>
    <col min="12289" max="12289" width="12" style="7" customWidth="1"/>
    <col min="12290" max="12290" width="9.140625" style="7"/>
    <col min="12291" max="12291" width="1.7109375" style="7" customWidth="1"/>
    <col min="12292" max="12292" width="14.140625" style="7" customWidth="1"/>
    <col min="12293" max="12536" width="9.140625" style="7"/>
    <col min="12537" max="12537" width="12.28515625" style="7" customWidth="1"/>
    <col min="12538" max="12538" width="53.5703125" style="7" customWidth="1"/>
    <col min="12539" max="12539" width="11.42578125" style="7" customWidth="1"/>
    <col min="12540" max="12540" width="12.140625" style="7" customWidth="1"/>
    <col min="12541" max="12541" width="21.28515625" style="7" customWidth="1"/>
    <col min="12542" max="12542" width="11.5703125" style="7" customWidth="1"/>
    <col min="12543" max="12543" width="9.140625" style="7"/>
    <col min="12544" max="12544" width="5.140625" style="7" customWidth="1"/>
    <col min="12545" max="12545" width="12" style="7" customWidth="1"/>
    <col min="12546" max="12546" width="9.140625" style="7"/>
    <col min="12547" max="12547" width="1.7109375" style="7" customWidth="1"/>
    <col min="12548" max="12548" width="14.140625" style="7" customWidth="1"/>
    <col min="12549" max="12792" width="9.140625" style="7"/>
    <col min="12793" max="12793" width="12.28515625" style="7" customWidth="1"/>
    <col min="12794" max="12794" width="53.5703125" style="7" customWidth="1"/>
    <col min="12795" max="12795" width="11.42578125" style="7" customWidth="1"/>
    <col min="12796" max="12796" width="12.140625" style="7" customWidth="1"/>
    <col min="12797" max="12797" width="21.28515625" style="7" customWidth="1"/>
    <col min="12798" max="12798" width="11.5703125" style="7" customWidth="1"/>
    <col min="12799" max="12799" width="9.140625" style="7"/>
    <col min="12800" max="12800" width="5.140625" style="7" customWidth="1"/>
    <col min="12801" max="12801" width="12" style="7" customWidth="1"/>
    <col min="12802" max="12802" width="9.140625" style="7"/>
    <col min="12803" max="12803" width="1.7109375" style="7" customWidth="1"/>
    <col min="12804" max="12804" width="14.140625" style="7" customWidth="1"/>
    <col min="12805" max="13048" width="9.140625" style="7"/>
    <col min="13049" max="13049" width="12.28515625" style="7" customWidth="1"/>
    <col min="13050" max="13050" width="53.5703125" style="7" customWidth="1"/>
    <col min="13051" max="13051" width="11.42578125" style="7" customWidth="1"/>
    <col min="13052" max="13052" width="12.140625" style="7" customWidth="1"/>
    <col min="13053" max="13053" width="21.28515625" style="7" customWidth="1"/>
    <col min="13054" max="13054" width="11.5703125" style="7" customWidth="1"/>
    <col min="13055" max="13055" width="9.140625" style="7"/>
    <col min="13056" max="13056" width="5.140625" style="7" customWidth="1"/>
    <col min="13057" max="13057" width="12" style="7" customWidth="1"/>
    <col min="13058" max="13058" width="9.140625" style="7"/>
    <col min="13059" max="13059" width="1.7109375" style="7" customWidth="1"/>
    <col min="13060" max="13060" width="14.140625" style="7" customWidth="1"/>
    <col min="13061" max="13304" width="9.140625" style="7"/>
    <col min="13305" max="13305" width="12.28515625" style="7" customWidth="1"/>
    <col min="13306" max="13306" width="53.5703125" style="7" customWidth="1"/>
    <col min="13307" max="13307" width="11.42578125" style="7" customWidth="1"/>
    <col min="13308" max="13308" width="12.140625" style="7" customWidth="1"/>
    <col min="13309" max="13309" width="21.28515625" style="7" customWidth="1"/>
    <col min="13310" max="13310" width="11.5703125" style="7" customWidth="1"/>
    <col min="13311" max="13311" width="9.140625" style="7"/>
    <col min="13312" max="13312" width="5.140625" style="7" customWidth="1"/>
    <col min="13313" max="13313" width="12" style="7" customWidth="1"/>
    <col min="13314" max="13314" width="9.140625" style="7"/>
    <col min="13315" max="13315" width="1.7109375" style="7" customWidth="1"/>
    <col min="13316" max="13316" width="14.140625" style="7" customWidth="1"/>
    <col min="13317" max="13560" width="9.140625" style="7"/>
    <col min="13561" max="13561" width="12.28515625" style="7" customWidth="1"/>
    <col min="13562" max="13562" width="53.5703125" style="7" customWidth="1"/>
    <col min="13563" max="13563" width="11.42578125" style="7" customWidth="1"/>
    <col min="13564" max="13564" width="12.140625" style="7" customWidth="1"/>
    <col min="13565" max="13565" width="21.28515625" style="7" customWidth="1"/>
    <col min="13566" max="13566" width="11.5703125" style="7" customWidth="1"/>
    <col min="13567" max="13567" width="9.140625" style="7"/>
    <col min="13568" max="13568" width="5.140625" style="7" customWidth="1"/>
    <col min="13569" max="13569" width="12" style="7" customWidth="1"/>
    <col min="13570" max="13570" width="9.140625" style="7"/>
    <col min="13571" max="13571" width="1.7109375" style="7" customWidth="1"/>
    <col min="13572" max="13572" width="14.140625" style="7" customWidth="1"/>
    <col min="13573" max="13816" width="9.140625" style="7"/>
    <col min="13817" max="13817" width="12.28515625" style="7" customWidth="1"/>
    <col min="13818" max="13818" width="53.5703125" style="7" customWidth="1"/>
    <col min="13819" max="13819" width="11.42578125" style="7" customWidth="1"/>
    <col min="13820" max="13820" width="12.140625" style="7" customWidth="1"/>
    <col min="13821" max="13821" width="21.28515625" style="7" customWidth="1"/>
    <col min="13822" max="13822" width="11.5703125" style="7" customWidth="1"/>
    <col min="13823" max="13823" width="9.140625" style="7"/>
    <col min="13824" max="13824" width="5.140625" style="7" customWidth="1"/>
    <col min="13825" max="13825" width="12" style="7" customWidth="1"/>
    <col min="13826" max="13826" width="9.140625" style="7"/>
    <col min="13827" max="13827" width="1.7109375" style="7" customWidth="1"/>
    <col min="13828" max="13828" width="14.140625" style="7" customWidth="1"/>
    <col min="13829" max="14072" width="9.140625" style="7"/>
    <col min="14073" max="14073" width="12.28515625" style="7" customWidth="1"/>
    <col min="14074" max="14074" width="53.5703125" style="7" customWidth="1"/>
    <col min="14075" max="14075" width="11.42578125" style="7" customWidth="1"/>
    <col min="14076" max="14076" width="12.140625" style="7" customWidth="1"/>
    <col min="14077" max="14077" width="21.28515625" style="7" customWidth="1"/>
    <col min="14078" max="14078" width="11.5703125" style="7" customWidth="1"/>
    <col min="14079" max="14079" width="9.140625" style="7"/>
    <col min="14080" max="14080" width="5.140625" style="7" customWidth="1"/>
    <col min="14081" max="14081" width="12" style="7" customWidth="1"/>
    <col min="14082" max="14082" width="9.140625" style="7"/>
    <col min="14083" max="14083" width="1.7109375" style="7" customWidth="1"/>
    <col min="14084" max="14084" width="14.140625" style="7" customWidth="1"/>
    <col min="14085" max="14328" width="9.140625" style="7"/>
    <col min="14329" max="14329" width="12.28515625" style="7" customWidth="1"/>
    <col min="14330" max="14330" width="53.5703125" style="7" customWidth="1"/>
    <col min="14331" max="14331" width="11.42578125" style="7" customWidth="1"/>
    <col min="14332" max="14332" width="12.140625" style="7" customWidth="1"/>
    <col min="14333" max="14333" width="21.28515625" style="7" customWidth="1"/>
    <col min="14334" max="14334" width="11.5703125" style="7" customWidth="1"/>
    <col min="14335" max="14335" width="9.140625" style="7"/>
    <col min="14336" max="14336" width="5.140625" style="7" customWidth="1"/>
    <col min="14337" max="14337" width="12" style="7" customWidth="1"/>
    <col min="14338" max="14338" width="9.140625" style="7"/>
    <col min="14339" max="14339" width="1.7109375" style="7" customWidth="1"/>
    <col min="14340" max="14340" width="14.140625" style="7" customWidth="1"/>
    <col min="14341" max="14584" width="9.140625" style="7"/>
    <col min="14585" max="14585" width="12.28515625" style="7" customWidth="1"/>
    <col min="14586" max="14586" width="53.5703125" style="7" customWidth="1"/>
    <col min="14587" max="14587" width="11.42578125" style="7" customWidth="1"/>
    <col min="14588" max="14588" width="12.140625" style="7" customWidth="1"/>
    <col min="14589" max="14589" width="21.28515625" style="7" customWidth="1"/>
    <col min="14590" max="14590" width="11.5703125" style="7" customWidth="1"/>
    <col min="14591" max="14591" width="9.140625" style="7"/>
    <col min="14592" max="14592" width="5.140625" style="7" customWidth="1"/>
    <col min="14593" max="14593" width="12" style="7" customWidth="1"/>
    <col min="14594" max="14594" width="9.140625" style="7"/>
    <col min="14595" max="14595" width="1.7109375" style="7" customWidth="1"/>
    <col min="14596" max="14596" width="14.140625" style="7" customWidth="1"/>
    <col min="14597" max="14840" width="9.140625" style="7"/>
    <col min="14841" max="14841" width="12.28515625" style="7" customWidth="1"/>
    <col min="14842" max="14842" width="53.5703125" style="7" customWidth="1"/>
    <col min="14843" max="14843" width="11.42578125" style="7" customWidth="1"/>
    <col min="14844" max="14844" width="12.140625" style="7" customWidth="1"/>
    <col min="14845" max="14845" width="21.28515625" style="7" customWidth="1"/>
    <col min="14846" max="14846" width="11.5703125" style="7" customWidth="1"/>
    <col min="14847" max="14847" width="9.140625" style="7"/>
    <col min="14848" max="14848" width="5.140625" style="7" customWidth="1"/>
    <col min="14849" max="14849" width="12" style="7" customWidth="1"/>
    <col min="14850" max="14850" width="9.140625" style="7"/>
    <col min="14851" max="14851" width="1.7109375" style="7" customWidth="1"/>
    <col min="14852" max="14852" width="14.140625" style="7" customWidth="1"/>
    <col min="14853" max="15096" width="9.140625" style="7"/>
    <col min="15097" max="15097" width="12.28515625" style="7" customWidth="1"/>
    <col min="15098" max="15098" width="53.5703125" style="7" customWidth="1"/>
    <col min="15099" max="15099" width="11.42578125" style="7" customWidth="1"/>
    <col min="15100" max="15100" width="12.140625" style="7" customWidth="1"/>
    <col min="15101" max="15101" width="21.28515625" style="7" customWidth="1"/>
    <col min="15102" max="15102" width="11.5703125" style="7" customWidth="1"/>
    <col min="15103" max="15103" width="9.140625" style="7"/>
    <col min="15104" max="15104" width="5.140625" style="7" customWidth="1"/>
    <col min="15105" max="15105" width="12" style="7" customWidth="1"/>
    <col min="15106" max="15106" width="9.140625" style="7"/>
    <col min="15107" max="15107" width="1.7109375" style="7" customWidth="1"/>
    <col min="15108" max="15108" width="14.140625" style="7" customWidth="1"/>
    <col min="15109" max="15352" width="9.140625" style="7"/>
    <col min="15353" max="15353" width="12.28515625" style="7" customWidth="1"/>
    <col min="15354" max="15354" width="53.5703125" style="7" customWidth="1"/>
    <col min="15355" max="15355" width="11.42578125" style="7" customWidth="1"/>
    <col min="15356" max="15356" width="12.140625" style="7" customWidth="1"/>
    <col min="15357" max="15357" width="21.28515625" style="7" customWidth="1"/>
    <col min="15358" max="15358" width="11.5703125" style="7" customWidth="1"/>
    <col min="15359" max="15359" width="9.140625" style="7"/>
    <col min="15360" max="15360" width="5.140625" style="7" customWidth="1"/>
    <col min="15361" max="15361" width="12" style="7" customWidth="1"/>
    <col min="15362" max="15362" width="9.140625" style="7"/>
    <col min="15363" max="15363" width="1.7109375" style="7" customWidth="1"/>
    <col min="15364" max="15364" width="14.140625" style="7" customWidth="1"/>
    <col min="15365" max="15608" width="9.140625" style="7"/>
    <col min="15609" max="15609" width="12.28515625" style="7" customWidth="1"/>
    <col min="15610" max="15610" width="53.5703125" style="7" customWidth="1"/>
    <col min="15611" max="15611" width="11.42578125" style="7" customWidth="1"/>
    <col min="15612" max="15612" width="12.140625" style="7" customWidth="1"/>
    <col min="15613" max="15613" width="21.28515625" style="7" customWidth="1"/>
    <col min="15614" max="15614" width="11.5703125" style="7" customWidth="1"/>
    <col min="15615" max="15615" width="9.140625" style="7"/>
    <col min="15616" max="15616" width="5.140625" style="7" customWidth="1"/>
    <col min="15617" max="15617" width="12" style="7" customWidth="1"/>
    <col min="15618" max="15618" width="9.140625" style="7"/>
    <col min="15619" max="15619" width="1.7109375" style="7" customWidth="1"/>
    <col min="15620" max="15620" width="14.140625" style="7" customWidth="1"/>
    <col min="15621" max="15864" width="9.140625" style="7"/>
    <col min="15865" max="15865" width="12.28515625" style="7" customWidth="1"/>
    <col min="15866" max="15866" width="53.5703125" style="7" customWidth="1"/>
    <col min="15867" max="15867" width="11.42578125" style="7" customWidth="1"/>
    <col min="15868" max="15868" width="12.140625" style="7" customWidth="1"/>
    <col min="15869" max="15869" width="21.28515625" style="7" customWidth="1"/>
    <col min="15870" max="15870" width="11.5703125" style="7" customWidth="1"/>
    <col min="15871" max="15871" width="9.140625" style="7"/>
    <col min="15872" max="15872" width="5.140625" style="7" customWidth="1"/>
    <col min="15873" max="15873" width="12" style="7" customWidth="1"/>
    <col min="15874" max="15874" width="9.140625" style="7"/>
    <col min="15875" max="15875" width="1.7109375" style="7" customWidth="1"/>
    <col min="15876" max="15876" width="14.140625" style="7" customWidth="1"/>
    <col min="15877" max="16120" width="9.140625" style="7"/>
    <col min="16121" max="16121" width="12.28515625" style="7" customWidth="1"/>
    <col min="16122" max="16122" width="53.5703125" style="7" customWidth="1"/>
    <col min="16123" max="16123" width="11.42578125" style="7" customWidth="1"/>
    <col min="16124" max="16124" width="12.140625" style="7" customWidth="1"/>
    <col min="16125" max="16125" width="21.28515625" style="7" customWidth="1"/>
    <col min="16126" max="16126" width="11.5703125" style="7" customWidth="1"/>
    <col min="16127" max="16127" width="9.140625" style="7"/>
    <col min="16128" max="16128" width="5.140625" style="7" customWidth="1"/>
    <col min="16129" max="16129" width="12" style="7" customWidth="1"/>
    <col min="16130" max="16130" width="9.140625" style="7"/>
    <col min="16131" max="16131" width="1.7109375" style="7" customWidth="1"/>
    <col min="16132" max="16132" width="14.140625" style="7" customWidth="1"/>
    <col min="16133" max="16384" width="9.140625" style="7"/>
  </cols>
  <sheetData>
    <row r="1" spans="1:7" ht="23.25" x14ac:dyDescent="0.2">
      <c r="A1" s="288" t="s">
        <v>102</v>
      </c>
      <c r="B1" s="288"/>
      <c r="C1" s="288"/>
      <c r="D1" s="288"/>
      <c r="E1" s="288"/>
      <c r="F1" s="288"/>
      <c r="G1" s="288"/>
    </row>
    <row r="2" spans="1:7" ht="15" customHeight="1" x14ac:dyDescent="0.2"/>
    <row r="3" spans="1:7" x14ac:dyDescent="0.2">
      <c r="A3" s="4" t="s">
        <v>0</v>
      </c>
      <c r="B3" s="289">
        <f>'Validator Notes'!B4</f>
        <v>0</v>
      </c>
      <c r="C3" s="289"/>
      <c r="D3" s="4" t="s">
        <v>2</v>
      </c>
      <c r="E3" s="152" t="str">
        <f>'Validator Notes'!B6</f>
        <v>Aengstrom</v>
      </c>
    </row>
    <row r="4" spans="1:7" x14ac:dyDescent="0.2">
      <c r="A4" s="4" t="s">
        <v>1</v>
      </c>
      <c r="B4" s="290">
        <f>'Validator Notes'!B5</f>
        <v>0</v>
      </c>
      <c r="C4" s="289"/>
    </row>
    <row r="5" spans="1:7" ht="15" customHeight="1" thickBot="1" x14ac:dyDescent="0.25"/>
    <row r="6" spans="1:7" ht="13.5" thickBot="1" x14ac:dyDescent="0.25">
      <c r="A6" s="124" t="s">
        <v>89</v>
      </c>
      <c r="B6" s="294" t="s">
        <v>96</v>
      </c>
      <c r="C6" s="295"/>
      <c r="D6" s="125" t="s">
        <v>94</v>
      </c>
      <c r="E6" s="148" t="s">
        <v>92</v>
      </c>
      <c r="F6" s="148" t="s">
        <v>93</v>
      </c>
      <c r="G6" s="149" t="s">
        <v>95</v>
      </c>
    </row>
    <row r="7" spans="1:7" x14ac:dyDescent="0.2">
      <c r="A7" s="291" t="s">
        <v>62</v>
      </c>
      <c r="B7" s="96"/>
      <c r="C7" s="97"/>
      <c r="D7" s="103"/>
      <c r="E7" s="139"/>
      <c r="F7" s="145"/>
      <c r="G7" s="150"/>
    </row>
    <row r="8" spans="1:7" x14ac:dyDescent="0.2">
      <c r="A8" s="292"/>
      <c r="B8" s="98"/>
      <c r="C8" s="99"/>
      <c r="D8" s="133"/>
      <c r="E8" s="142"/>
      <c r="F8" s="145"/>
      <c r="G8" s="150"/>
    </row>
    <row r="9" spans="1:7" x14ac:dyDescent="0.2">
      <c r="A9" s="292"/>
      <c r="B9" s="98"/>
      <c r="C9" s="99"/>
      <c r="D9" s="134"/>
      <c r="E9" s="142"/>
      <c r="F9" s="145"/>
      <c r="G9" s="150"/>
    </row>
    <row r="10" spans="1:7" x14ac:dyDescent="0.2">
      <c r="A10" s="292"/>
      <c r="B10" s="98"/>
      <c r="C10" s="99"/>
      <c r="D10" s="101"/>
      <c r="E10" s="142"/>
      <c r="F10" s="145"/>
      <c r="G10" s="123"/>
    </row>
    <row r="11" spans="1:7" x14ac:dyDescent="0.2">
      <c r="A11" s="292"/>
      <c r="B11" s="98"/>
      <c r="C11" s="99"/>
      <c r="D11" s="104"/>
      <c r="E11" s="137"/>
      <c r="F11" s="145"/>
      <c r="G11" s="123"/>
    </row>
    <row r="12" spans="1:7" x14ac:dyDescent="0.2">
      <c r="A12" s="292"/>
      <c r="B12" s="98"/>
      <c r="C12" s="99"/>
      <c r="D12" s="104"/>
      <c r="E12" s="137"/>
      <c r="F12" s="145"/>
      <c r="G12" s="123"/>
    </row>
    <row r="13" spans="1:7" x14ac:dyDescent="0.2">
      <c r="A13" s="292"/>
      <c r="B13" s="98"/>
      <c r="C13" s="99"/>
      <c r="D13" s="104"/>
      <c r="E13" s="140"/>
      <c r="F13" s="146"/>
      <c r="G13" s="54"/>
    </row>
    <row r="14" spans="1:7" ht="15.75" customHeight="1" thickBot="1" x14ac:dyDescent="0.25">
      <c r="A14" s="293"/>
      <c r="B14" s="90"/>
      <c r="C14" s="62"/>
      <c r="D14" s="105"/>
      <c r="E14" s="141"/>
      <c r="F14" s="147"/>
      <c r="G14" s="91"/>
    </row>
    <row r="15" spans="1:7" x14ac:dyDescent="0.2">
      <c r="A15" s="285" t="s">
        <v>61</v>
      </c>
      <c r="B15" s="57"/>
      <c r="C15" s="60"/>
      <c r="D15" s="103"/>
      <c r="E15" s="142"/>
      <c r="F15" s="138"/>
      <c r="G15" s="150"/>
    </row>
    <row r="16" spans="1:7" x14ac:dyDescent="0.2">
      <c r="A16" s="286"/>
      <c r="B16" s="92"/>
      <c r="C16" s="61"/>
      <c r="D16" s="106"/>
      <c r="E16" s="142"/>
      <c r="F16" s="138"/>
      <c r="G16" s="56"/>
    </row>
    <row r="17" spans="1:7" x14ac:dyDescent="0.2">
      <c r="A17" s="286"/>
      <c r="B17" s="92"/>
      <c r="C17" s="61"/>
      <c r="D17" s="106"/>
      <c r="E17" s="142"/>
      <c r="F17" s="138"/>
      <c r="G17" s="56"/>
    </row>
    <row r="18" spans="1:7" x14ac:dyDescent="0.2">
      <c r="A18" s="286"/>
      <c r="B18" s="92"/>
      <c r="C18" s="61"/>
      <c r="D18" s="101"/>
      <c r="E18" s="137"/>
      <c r="F18" s="138"/>
      <c r="G18" s="56"/>
    </row>
    <row r="19" spans="1:7" x14ac:dyDescent="0.2">
      <c r="A19" s="286"/>
      <c r="B19" s="92"/>
      <c r="C19" s="61"/>
      <c r="D19" s="101"/>
      <c r="E19" s="137"/>
      <c r="F19" s="138"/>
      <c r="G19" s="56"/>
    </row>
    <row r="20" spans="1:7" x14ac:dyDescent="0.2">
      <c r="A20" s="286"/>
      <c r="B20" s="58"/>
      <c r="C20" s="89"/>
      <c r="D20" s="106"/>
      <c r="E20" s="142"/>
      <c r="F20" s="138"/>
      <c r="G20" s="56"/>
    </row>
    <row r="21" spans="1:7" ht="15.75" customHeight="1" thickBot="1" x14ac:dyDescent="0.25">
      <c r="A21" s="287"/>
      <c r="B21" s="107"/>
      <c r="C21" s="62"/>
      <c r="D21" s="55"/>
      <c r="E21" s="143"/>
      <c r="F21" s="147"/>
      <c r="G21" s="55"/>
    </row>
    <row r="22" spans="1:7" x14ac:dyDescent="0.2">
      <c r="A22" s="291" t="s">
        <v>59</v>
      </c>
      <c r="B22" s="58"/>
      <c r="C22" s="60"/>
      <c r="D22" s="103"/>
      <c r="E22" s="139"/>
      <c r="F22" s="138"/>
      <c r="G22" s="151"/>
    </row>
    <row r="23" spans="1:7" x14ac:dyDescent="0.2">
      <c r="A23" s="292"/>
      <c r="B23" s="58"/>
      <c r="C23" s="89"/>
      <c r="D23" s="101"/>
      <c r="E23" s="139"/>
      <c r="F23" s="138"/>
      <c r="G23" s="150"/>
    </row>
    <row r="24" spans="1:7" x14ac:dyDescent="0.2">
      <c r="A24" s="292"/>
      <c r="B24" s="58"/>
      <c r="C24" s="89"/>
      <c r="D24" s="56"/>
      <c r="E24" s="139"/>
      <c r="F24" s="138"/>
      <c r="G24" s="150"/>
    </row>
    <row r="25" spans="1:7" x14ac:dyDescent="0.2">
      <c r="A25" s="292"/>
      <c r="B25" s="58"/>
      <c r="C25" s="89"/>
      <c r="D25" s="56"/>
      <c r="E25" s="139"/>
      <c r="F25" s="138"/>
      <c r="G25" s="150"/>
    </row>
    <row r="26" spans="1:7" x14ac:dyDescent="0.2">
      <c r="A26" s="292"/>
      <c r="B26" s="58"/>
      <c r="C26" s="89"/>
      <c r="D26" s="101"/>
      <c r="E26" s="139"/>
      <c r="F26" s="138"/>
      <c r="G26" s="150"/>
    </row>
    <row r="27" spans="1:7" x14ac:dyDescent="0.2">
      <c r="A27" s="292"/>
      <c r="B27" s="58"/>
      <c r="C27" s="89"/>
      <c r="D27" s="101"/>
      <c r="E27" s="139"/>
      <c r="F27" s="138"/>
      <c r="G27" s="150"/>
    </row>
    <row r="28" spans="1:7" x14ac:dyDescent="0.2">
      <c r="A28" s="292"/>
      <c r="B28" s="58"/>
      <c r="C28" s="89"/>
      <c r="D28" s="101"/>
      <c r="E28" s="139"/>
      <c r="F28" s="138"/>
      <c r="G28" s="150"/>
    </row>
    <row r="29" spans="1:7" x14ac:dyDescent="0.2">
      <c r="A29" s="292"/>
      <c r="B29" s="58"/>
      <c r="C29" s="89"/>
      <c r="D29" s="101"/>
      <c r="E29" s="139"/>
      <c r="F29" s="138"/>
      <c r="G29" s="150"/>
    </row>
    <row r="30" spans="1:7" x14ac:dyDescent="0.2">
      <c r="A30" s="292"/>
      <c r="B30" s="58"/>
      <c r="C30" s="89"/>
      <c r="D30" s="101"/>
      <c r="E30" s="139"/>
      <c r="F30" s="138"/>
      <c r="G30" s="150"/>
    </row>
    <row r="31" spans="1:7" x14ac:dyDescent="0.2">
      <c r="A31" s="292"/>
      <c r="B31" s="58"/>
      <c r="C31" s="89"/>
      <c r="D31" s="101"/>
      <c r="E31" s="139"/>
      <c r="F31" s="138"/>
      <c r="G31" s="150"/>
    </row>
    <row r="32" spans="1:7" x14ac:dyDescent="0.2">
      <c r="A32" s="292"/>
      <c r="B32" s="58"/>
      <c r="C32" s="89"/>
      <c r="D32" s="101"/>
      <c r="E32" s="139"/>
      <c r="F32" s="138"/>
      <c r="G32" s="150"/>
    </row>
    <row r="33" spans="1:7" x14ac:dyDescent="0.2">
      <c r="A33" s="292"/>
      <c r="B33" s="58"/>
      <c r="C33" s="89"/>
      <c r="D33" s="101"/>
      <c r="E33" s="139"/>
      <c r="F33" s="138"/>
      <c r="G33" s="150"/>
    </row>
    <row r="34" spans="1:7" x14ac:dyDescent="0.2">
      <c r="A34" s="292"/>
      <c r="B34" s="58"/>
      <c r="C34" s="89"/>
      <c r="D34" s="101"/>
      <c r="E34" s="139"/>
      <c r="F34" s="138"/>
      <c r="G34" s="150"/>
    </row>
    <row r="35" spans="1:7" x14ac:dyDescent="0.2">
      <c r="A35" s="292"/>
      <c r="B35" s="58"/>
      <c r="C35" s="89"/>
      <c r="D35" s="101"/>
      <c r="E35" s="139"/>
      <c r="F35" s="138"/>
      <c r="G35" s="150"/>
    </row>
    <row r="36" spans="1:7" x14ac:dyDescent="0.2">
      <c r="A36" s="292"/>
      <c r="B36" s="58"/>
      <c r="C36" s="89"/>
      <c r="D36" s="101"/>
      <c r="E36" s="139"/>
      <c r="F36" s="138"/>
      <c r="G36" s="150"/>
    </row>
    <row r="37" spans="1:7" x14ac:dyDescent="0.2">
      <c r="A37" s="292"/>
      <c r="B37" s="58"/>
      <c r="C37" s="89"/>
      <c r="D37" s="101"/>
      <c r="E37" s="139"/>
      <c r="F37" s="138"/>
      <c r="G37" s="54"/>
    </row>
    <row r="38" spans="1:7" x14ac:dyDescent="0.2">
      <c r="A38" s="292"/>
      <c r="B38" s="58"/>
      <c r="C38" s="89"/>
      <c r="D38" s="101"/>
      <c r="E38" s="139"/>
      <c r="F38" s="138"/>
      <c r="G38" s="54"/>
    </row>
    <row r="39" spans="1:7" x14ac:dyDescent="0.2">
      <c r="A39" s="292"/>
      <c r="B39" s="58"/>
      <c r="C39" s="89"/>
      <c r="D39" s="101"/>
      <c r="E39" s="139"/>
      <c r="F39" s="138"/>
      <c r="G39" s="54"/>
    </row>
    <row r="40" spans="1:7" x14ac:dyDescent="0.2">
      <c r="A40" s="292"/>
      <c r="B40" s="58"/>
      <c r="C40" s="89"/>
      <c r="D40" s="101"/>
      <c r="E40" s="139"/>
      <c r="F40" s="138"/>
      <c r="G40" s="54"/>
    </row>
    <row r="41" spans="1:7" x14ac:dyDescent="0.2">
      <c r="A41" s="292"/>
      <c r="B41" s="58"/>
      <c r="C41" s="89"/>
      <c r="D41" s="101"/>
      <c r="E41" s="139"/>
      <c r="F41" s="138"/>
      <c r="G41" s="54"/>
    </row>
    <row r="42" spans="1:7" x14ac:dyDescent="0.2">
      <c r="A42" s="292"/>
      <c r="B42" s="58"/>
      <c r="C42" s="89"/>
      <c r="D42" s="101"/>
      <c r="E42" s="139"/>
      <c r="F42" s="138"/>
      <c r="G42" s="150"/>
    </row>
    <row r="43" spans="1:7" x14ac:dyDescent="0.2">
      <c r="A43" s="292"/>
      <c r="B43" s="58"/>
      <c r="C43" s="89"/>
      <c r="D43" s="101"/>
      <c r="E43" s="139"/>
      <c r="F43" s="138"/>
      <c r="G43" s="150"/>
    </row>
    <row r="44" spans="1:7" x14ac:dyDescent="0.2">
      <c r="A44" s="292"/>
      <c r="B44" s="58"/>
      <c r="C44" s="89"/>
      <c r="D44" s="101"/>
      <c r="E44" s="139"/>
      <c r="F44" s="138"/>
      <c r="G44" s="150"/>
    </row>
    <row r="45" spans="1:7" x14ac:dyDescent="0.2">
      <c r="A45" s="292"/>
      <c r="B45" s="58"/>
      <c r="C45" s="89"/>
      <c r="D45" s="101"/>
      <c r="E45" s="139"/>
      <c r="F45" s="138"/>
      <c r="G45" s="150"/>
    </row>
    <row r="46" spans="1:7" x14ac:dyDescent="0.2">
      <c r="A46" s="292"/>
      <c r="B46" s="58"/>
      <c r="C46" s="89"/>
      <c r="D46" s="101"/>
      <c r="E46" s="139"/>
      <c r="F46" s="138"/>
      <c r="G46" s="150"/>
    </row>
    <row r="47" spans="1:7" x14ac:dyDescent="0.2">
      <c r="A47" s="292"/>
      <c r="B47" s="58"/>
      <c r="C47" s="89"/>
      <c r="D47" s="101"/>
      <c r="E47" s="139"/>
      <c r="F47" s="138"/>
      <c r="G47" s="150"/>
    </row>
    <row r="48" spans="1:7" x14ac:dyDescent="0.2">
      <c r="A48" s="292"/>
      <c r="B48" s="58"/>
      <c r="C48" s="89"/>
      <c r="D48" s="101"/>
      <c r="E48" s="139"/>
      <c r="F48" s="138"/>
      <c r="G48" s="54"/>
    </row>
    <row r="49" spans="1:7" x14ac:dyDescent="0.2">
      <c r="A49" s="292"/>
      <c r="B49" s="58"/>
      <c r="C49" s="89"/>
      <c r="D49" s="101"/>
      <c r="E49" s="139"/>
      <c r="F49" s="138"/>
      <c r="G49" s="54"/>
    </row>
    <row r="50" spans="1:7" x14ac:dyDescent="0.2">
      <c r="A50" s="292"/>
      <c r="B50" s="58"/>
      <c r="C50" s="89"/>
      <c r="D50" s="101"/>
      <c r="E50" s="139"/>
      <c r="F50" s="138"/>
      <c r="G50" s="54"/>
    </row>
    <row r="51" spans="1:7" x14ac:dyDescent="0.2">
      <c r="A51" s="292"/>
      <c r="B51" s="58"/>
      <c r="C51" s="89"/>
      <c r="D51" s="101"/>
      <c r="E51" s="139"/>
      <c r="F51" s="138"/>
      <c r="G51" s="54"/>
    </row>
    <row r="52" spans="1:7" x14ac:dyDescent="0.2">
      <c r="A52" s="292"/>
      <c r="B52" s="58"/>
      <c r="C52" s="89"/>
      <c r="D52" s="101"/>
      <c r="E52" s="139"/>
      <c r="F52" s="139"/>
      <c r="G52" s="150"/>
    </row>
    <row r="53" spans="1:7" x14ac:dyDescent="0.2">
      <c r="A53" s="292"/>
      <c r="B53" s="58"/>
      <c r="C53" s="89"/>
      <c r="D53" s="101"/>
      <c r="E53" s="139"/>
      <c r="F53" s="139"/>
      <c r="G53" s="150"/>
    </row>
    <row r="54" spans="1:7" x14ac:dyDescent="0.2">
      <c r="A54" s="292"/>
      <c r="B54" s="58"/>
      <c r="C54" s="89"/>
      <c r="D54" s="106"/>
      <c r="E54" s="139"/>
      <c r="F54" s="138"/>
      <c r="G54" s="54"/>
    </row>
    <row r="55" spans="1:7" x14ac:dyDescent="0.2">
      <c r="A55" s="292"/>
      <c r="B55" s="58"/>
      <c r="C55" s="89"/>
      <c r="D55" s="101"/>
      <c r="E55" s="139"/>
      <c r="F55" s="138"/>
      <c r="G55" s="54"/>
    </row>
    <row r="56" spans="1:7" x14ac:dyDescent="0.2">
      <c r="A56" s="292"/>
      <c r="B56" s="58"/>
      <c r="C56" s="89"/>
      <c r="D56" s="106"/>
      <c r="E56" s="139"/>
      <c r="F56" s="138"/>
      <c r="G56" s="54"/>
    </row>
    <row r="57" spans="1:7" x14ac:dyDescent="0.2">
      <c r="A57" s="292"/>
      <c r="B57" s="58"/>
      <c r="C57" s="89"/>
      <c r="D57" s="106"/>
      <c r="E57" s="139"/>
      <c r="F57" s="138"/>
      <c r="G57" s="54"/>
    </row>
    <row r="58" spans="1:7" x14ac:dyDescent="0.2">
      <c r="A58" s="292"/>
      <c r="B58" s="58"/>
      <c r="C58" s="89"/>
      <c r="D58" s="106"/>
      <c r="E58" s="139"/>
      <c r="F58" s="138"/>
      <c r="G58" s="54"/>
    </row>
    <row r="59" spans="1:7" x14ac:dyDescent="0.2">
      <c r="A59" s="292"/>
      <c r="B59" s="58"/>
      <c r="C59" s="89"/>
      <c r="D59" s="106"/>
      <c r="E59" s="139"/>
      <c r="F59" s="138"/>
      <c r="G59" s="54"/>
    </row>
    <row r="60" spans="1:7" x14ac:dyDescent="0.2">
      <c r="A60" s="292"/>
      <c r="B60" s="58"/>
      <c r="C60" s="89"/>
      <c r="D60" s="101"/>
      <c r="E60" s="139"/>
      <c r="F60" s="138"/>
      <c r="G60" s="54"/>
    </row>
    <row r="61" spans="1:7" ht="13.5" thickBot="1" x14ac:dyDescent="0.25">
      <c r="A61" s="292"/>
      <c r="B61" s="102"/>
      <c r="C61" s="62"/>
      <c r="D61" s="55"/>
      <c r="E61" s="144"/>
      <c r="F61" s="147"/>
      <c r="G61" s="55"/>
    </row>
    <row r="62" spans="1:7" x14ac:dyDescent="0.2">
      <c r="A62" s="291" t="s">
        <v>90</v>
      </c>
      <c r="B62" s="58"/>
      <c r="C62" s="89"/>
      <c r="D62" s="53"/>
      <c r="E62" s="139"/>
      <c r="F62" s="138"/>
      <c r="G62" s="150"/>
    </row>
    <row r="63" spans="1:7" x14ac:dyDescent="0.2">
      <c r="A63" s="292"/>
      <c r="B63" s="58"/>
      <c r="C63" s="89"/>
      <c r="D63" s="56"/>
      <c r="E63" s="139"/>
      <c r="F63" s="138"/>
      <c r="G63" s="150"/>
    </row>
    <row r="64" spans="1:7" x14ac:dyDescent="0.2">
      <c r="A64" s="292"/>
      <c r="B64" s="58"/>
      <c r="C64" s="89"/>
      <c r="D64" s="56"/>
      <c r="E64" s="139"/>
      <c r="F64" s="138"/>
      <c r="G64" s="150"/>
    </row>
    <row r="65" spans="1:7" x14ac:dyDescent="0.2">
      <c r="A65" s="292"/>
      <c r="B65" s="58"/>
      <c r="C65" s="89"/>
      <c r="D65" s="56"/>
      <c r="E65" s="139"/>
      <c r="F65" s="138"/>
      <c r="G65" s="150"/>
    </row>
    <row r="66" spans="1:7" x14ac:dyDescent="0.2">
      <c r="A66" s="292"/>
      <c r="B66" s="58"/>
      <c r="C66" s="89"/>
      <c r="D66" s="101"/>
      <c r="E66" s="139"/>
      <c r="F66" s="138"/>
      <c r="G66" s="54"/>
    </row>
    <row r="67" spans="1:7" x14ac:dyDescent="0.2">
      <c r="A67" s="292"/>
      <c r="B67" s="58"/>
      <c r="C67" s="89"/>
      <c r="D67" s="101"/>
      <c r="E67" s="139"/>
      <c r="F67" s="138"/>
      <c r="G67" s="54"/>
    </row>
    <row r="68" spans="1:7" x14ac:dyDescent="0.2">
      <c r="A68" s="292"/>
      <c r="B68" s="58"/>
      <c r="C68" s="89"/>
      <c r="D68" s="101"/>
      <c r="E68" s="139"/>
      <c r="F68" s="138"/>
      <c r="G68" s="54"/>
    </row>
    <row r="69" spans="1:7" x14ac:dyDescent="0.2">
      <c r="A69" s="292"/>
      <c r="B69" s="58"/>
      <c r="C69" s="89"/>
      <c r="D69" s="106"/>
      <c r="E69" s="139"/>
      <c r="F69" s="138"/>
      <c r="G69" s="54"/>
    </row>
    <row r="70" spans="1:7" x14ac:dyDescent="0.2">
      <c r="A70" s="292"/>
      <c r="B70" s="58"/>
      <c r="C70" s="89"/>
      <c r="D70" s="54"/>
      <c r="E70" s="139"/>
      <c r="F70" s="138"/>
      <c r="G70" s="54"/>
    </row>
    <row r="71" spans="1:7" ht="13.5" thickBot="1" x14ac:dyDescent="0.25">
      <c r="A71" s="293"/>
      <c r="B71" s="102"/>
      <c r="C71" s="62"/>
      <c r="D71" s="55"/>
      <c r="E71" s="144"/>
      <c r="F71" s="147"/>
      <c r="G71" s="55"/>
    </row>
    <row r="72" spans="1:7" ht="19.5" customHeight="1" thickBot="1" x14ac:dyDescent="0.25">
      <c r="A72" s="126" t="s">
        <v>91</v>
      </c>
      <c r="B72" s="128"/>
      <c r="C72" s="129"/>
      <c r="D72" s="55"/>
      <c r="E72" s="144"/>
      <c r="F72" s="147"/>
      <c r="G72" s="88"/>
    </row>
    <row r="73" spans="1:7" x14ac:dyDescent="0.2">
      <c r="A73" s="296" t="s">
        <v>60</v>
      </c>
      <c r="B73" s="130"/>
      <c r="C73" s="60"/>
      <c r="D73" s="56"/>
      <c r="E73" s="139"/>
      <c r="F73" s="138"/>
      <c r="G73" s="151"/>
    </row>
    <row r="74" spans="1:7" x14ac:dyDescent="0.2">
      <c r="A74" s="297"/>
      <c r="B74" s="135"/>
      <c r="C74" s="61"/>
      <c r="D74" s="136"/>
      <c r="E74" s="137"/>
      <c r="F74" s="138"/>
      <c r="G74" s="150"/>
    </row>
    <row r="75" spans="1:7" x14ac:dyDescent="0.2">
      <c r="A75" s="297"/>
      <c r="B75" s="135"/>
      <c r="C75" s="61"/>
      <c r="D75" s="136"/>
      <c r="E75" s="137"/>
      <c r="F75" s="138"/>
      <c r="G75" s="150"/>
    </row>
    <row r="76" spans="1:7" x14ac:dyDescent="0.2">
      <c r="A76" s="297"/>
      <c r="B76" s="135"/>
      <c r="C76" s="61"/>
      <c r="D76" s="136"/>
      <c r="E76" s="137"/>
      <c r="F76" s="138"/>
      <c r="G76" s="150"/>
    </row>
    <row r="77" spans="1:7" x14ac:dyDescent="0.2">
      <c r="A77" s="297"/>
      <c r="B77" s="135"/>
      <c r="C77" s="61"/>
      <c r="D77" s="136"/>
      <c r="E77" s="137"/>
      <c r="F77" s="138"/>
      <c r="G77" s="150"/>
    </row>
    <row r="78" spans="1:7" x14ac:dyDescent="0.2">
      <c r="A78" s="298"/>
      <c r="B78" s="135"/>
      <c r="C78" s="61"/>
      <c r="D78" s="133"/>
      <c r="E78" s="137"/>
      <c r="F78" s="138"/>
      <c r="G78" s="150"/>
    </row>
    <row r="79" spans="1:7" x14ac:dyDescent="0.2">
      <c r="A79" s="298"/>
      <c r="B79" s="131"/>
      <c r="C79" s="89"/>
      <c r="D79" s="133"/>
      <c r="E79" s="137"/>
      <c r="F79" s="138"/>
      <c r="G79" s="150"/>
    </row>
    <row r="80" spans="1:7" x14ac:dyDescent="0.2">
      <c r="A80" s="298"/>
      <c r="B80" s="131"/>
      <c r="C80" s="89"/>
      <c r="D80" s="133"/>
      <c r="E80" s="137"/>
      <c r="F80" s="138"/>
      <c r="G80" s="150"/>
    </row>
    <row r="81" spans="1:7" x14ac:dyDescent="0.2">
      <c r="A81" s="298"/>
      <c r="B81" s="131"/>
      <c r="C81" s="89"/>
      <c r="D81" s="133"/>
      <c r="E81" s="137"/>
      <c r="F81" s="138"/>
      <c r="G81" s="150"/>
    </row>
    <row r="82" spans="1:7" x14ac:dyDescent="0.2">
      <c r="A82" s="298"/>
      <c r="B82" s="131"/>
      <c r="C82" s="89"/>
      <c r="D82" s="133"/>
      <c r="E82" s="137"/>
      <c r="F82" s="138"/>
      <c r="G82" s="150"/>
    </row>
    <row r="83" spans="1:7" x14ac:dyDescent="0.2">
      <c r="A83" s="298"/>
      <c r="B83" s="131"/>
      <c r="C83" s="89"/>
      <c r="D83" s="133"/>
      <c r="E83" s="137"/>
      <c r="F83" s="138"/>
      <c r="G83" s="150"/>
    </row>
    <row r="84" spans="1:7" x14ac:dyDescent="0.2">
      <c r="A84" s="298"/>
      <c r="B84" s="131"/>
      <c r="C84" s="89"/>
      <c r="D84" s="133"/>
      <c r="E84" s="137"/>
      <c r="F84" s="138"/>
      <c r="G84" s="150"/>
    </row>
    <row r="85" spans="1:7" x14ac:dyDescent="0.2">
      <c r="A85" s="298"/>
      <c r="B85" s="131"/>
      <c r="C85" s="89"/>
      <c r="D85" s="134"/>
      <c r="E85" s="137"/>
      <c r="F85" s="138"/>
      <c r="G85" s="150"/>
    </row>
    <row r="86" spans="1:7" x14ac:dyDescent="0.2">
      <c r="A86" s="298"/>
      <c r="B86" s="131"/>
      <c r="C86" s="89"/>
      <c r="D86" s="133"/>
      <c r="E86" s="137"/>
      <c r="F86" s="138"/>
      <c r="G86" s="150"/>
    </row>
    <row r="87" spans="1:7" x14ac:dyDescent="0.2">
      <c r="A87" s="298"/>
      <c r="B87" s="131"/>
      <c r="C87" s="89"/>
      <c r="D87" s="133"/>
      <c r="E87" s="137"/>
      <c r="F87" s="138"/>
      <c r="G87" s="150"/>
    </row>
    <row r="88" spans="1:7" x14ac:dyDescent="0.2">
      <c r="A88" s="298"/>
      <c r="B88" s="131"/>
      <c r="C88" s="89"/>
      <c r="D88" s="133"/>
      <c r="E88" s="137"/>
      <c r="F88" s="138"/>
      <c r="G88" s="150"/>
    </row>
    <row r="89" spans="1:7" x14ac:dyDescent="0.2">
      <c r="A89" s="298"/>
      <c r="B89" s="131"/>
      <c r="C89" s="89"/>
      <c r="D89" s="133"/>
      <c r="E89" s="137"/>
      <c r="F89" s="138"/>
      <c r="G89" s="150"/>
    </row>
    <row r="90" spans="1:7" x14ac:dyDescent="0.2">
      <c r="A90" s="298"/>
      <c r="B90" s="131"/>
      <c r="C90" s="89"/>
      <c r="D90" s="133"/>
      <c r="E90" s="137"/>
      <c r="F90" s="138"/>
      <c r="G90" s="150"/>
    </row>
    <row r="91" spans="1:7" x14ac:dyDescent="0.2">
      <c r="A91" s="298"/>
      <c r="B91" s="131"/>
      <c r="C91" s="89"/>
      <c r="D91" s="133"/>
      <c r="E91" s="137"/>
      <c r="F91" s="138"/>
      <c r="G91" s="150"/>
    </row>
    <row r="92" spans="1:7" x14ac:dyDescent="0.2">
      <c r="A92" s="298"/>
      <c r="B92" s="131"/>
      <c r="C92" s="89"/>
      <c r="D92" s="133"/>
      <c r="E92" s="137"/>
      <c r="F92" s="138"/>
      <c r="G92" s="150"/>
    </row>
    <row r="93" spans="1:7" x14ac:dyDescent="0.2">
      <c r="A93" s="298"/>
      <c r="B93" s="131"/>
      <c r="C93" s="89"/>
      <c r="D93" s="133"/>
      <c r="E93" s="137"/>
      <c r="F93" s="138"/>
      <c r="G93" s="150"/>
    </row>
    <row r="94" spans="1:7" x14ac:dyDescent="0.2">
      <c r="A94" s="298"/>
      <c r="B94" s="131"/>
      <c r="C94" s="89"/>
      <c r="D94" s="133"/>
      <c r="E94" s="137"/>
      <c r="F94" s="138"/>
      <c r="G94" s="150"/>
    </row>
    <row r="95" spans="1:7" x14ac:dyDescent="0.2">
      <c r="A95" s="298"/>
      <c r="B95" s="131"/>
      <c r="C95" s="89"/>
      <c r="D95" s="133"/>
      <c r="E95" s="137"/>
      <c r="F95" s="138"/>
      <c r="G95" s="150"/>
    </row>
    <row r="96" spans="1:7" x14ac:dyDescent="0.2">
      <c r="A96" s="298"/>
      <c r="B96" s="131"/>
      <c r="C96" s="89"/>
      <c r="D96" s="133"/>
      <c r="E96" s="137"/>
      <c r="F96" s="138"/>
      <c r="G96" s="150"/>
    </row>
    <row r="97" spans="1:7" x14ac:dyDescent="0.2">
      <c r="A97" s="298"/>
      <c r="B97" s="131"/>
      <c r="C97" s="89"/>
      <c r="D97" s="133"/>
      <c r="E97" s="137"/>
      <c r="F97" s="138"/>
      <c r="G97" s="150"/>
    </row>
    <row r="98" spans="1:7" x14ac:dyDescent="0.2">
      <c r="A98" s="298"/>
      <c r="B98" s="131"/>
      <c r="C98" s="89"/>
      <c r="D98" s="133"/>
      <c r="E98" s="137"/>
      <c r="F98" s="138"/>
      <c r="G98" s="150"/>
    </row>
    <row r="99" spans="1:7" x14ac:dyDescent="0.2">
      <c r="A99" s="298"/>
      <c r="B99" s="131"/>
      <c r="C99" s="89"/>
      <c r="D99" s="133"/>
      <c r="E99" s="137"/>
      <c r="F99" s="138"/>
      <c r="G99" s="150"/>
    </row>
    <row r="100" spans="1:7" x14ac:dyDescent="0.2">
      <c r="A100" s="298"/>
      <c r="B100" s="131"/>
      <c r="C100" s="89"/>
      <c r="D100" s="133"/>
      <c r="E100" s="137"/>
      <c r="F100" s="138"/>
      <c r="G100" s="150"/>
    </row>
    <row r="101" spans="1:7" x14ac:dyDescent="0.2">
      <c r="A101" s="298"/>
      <c r="B101" s="131"/>
      <c r="C101" s="89"/>
      <c r="D101" s="133"/>
      <c r="E101" s="137"/>
      <c r="F101" s="138"/>
      <c r="G101" s="150"/>
    </row>
    <row r="102" spans="1:7" x14ac:dyDescent="0.2">
      <c r="A102" s="298"/>
      <c r="B102" s="131"/>
      <c r="C102" s="89"/>
      <c r="D102" s="133"/>
      <c r="E102" s="137"/>
      <c r="F102" s="138"/>
      <c r="G102" s="150"/>
    </row>
    <row r="103" spans="1:7" x14ac:dyDescent="0.2">
      <c r="A103" s="298"/>
      <c r="B103" s="131"/>
      <c r="C103" s="89"/>
      <c r="D103" s="133"/>
      <c r="E103" s="137"/>
      <c r="F103" s="138"/>
      <c r="G103" s="54"/>
    </row>
    <row r="104" spans="1:7" x14ac:dyDescent="0.2">
      <c r="A104" s="298"/>
      <c r="B104" s="131"/>
      <c r="C104" s="89"/>
      <c r="D104" s="133"/>
      <c r="E104" s="137"/>
      <c r="F104" s="138"/>
      <c r="G104" s="150"/>
    </row>
    <row r="105" spans="1:7" x14ac:dyDescent="0.2">
      <c r="A105" s="298"/>
      <c r="B105" s="131"/>
      <c r="C105" s="89"/>
      <c r="D105" s="133"/>
      <c r="E105" s="137"/>
      <c r="F105" s="138"/>
      <c r="G105" s="150"/>
    </row>
    <row r="106" spans="1:7" x14ac:dyDescent="0.2">
      <c r="A106" s="298"/>
      <c r="B106" s="131"/>
      <c r="C106" s="89"/>
      <c r="D106" s="133"/>
      <c r="E106" s="137"/>
      <c r="F106" s="138"/>
      <c r="G106" s="150"/>
    </row>
    <row r="107" spans="1:7" x14ac:dyDescent="0.2">
      <c r="A107" s="298"/>
      <c r="B107" s="131"/>
      <c r="C107" s="89"/>
      <c r="D107" s="133"/>
      <c r="E107" s="137"/>
      <c r="F107" s="138"/>
      <c r="G107" s="150"/>
    </row>
    <row r="108" spans="1:7" x14ac:dyDescent="0.2">
      <c r="A108" s="298"/>
      <c r="B108" s="131"/>
      <c r="C108" s="89"/>
      <c r="D108" s="133"/>
      <c r="E108" s="137"/>
      <c r="F108" s="138"/>
      <c r="G108" s="54"/>
    </row>
    <row r="109" spans="1:7" x14ac:dyDescent="0.2">
      <c r="A109" s="298"/>
      <c r="B109" s="131"/>
      <c r="C109" s="89"/>
      <c r="D109" s="133"/>
      <c r="E109" s="137"/>
      <c r="F109" s="138"/>
      <c r="G109" s="54"/>
    </row>
    <row r="110" spans="1:7" ht="13.5" thickBot="1" x14ac:dyDescent="0.25">
      <c r="A110" s="299"/>
      <c r="B110" s="132"/>
      <c r="C110" s="62"/>
      <c r="D110" s="105"/>
      <c r="E110" s="141"/>
      <c r="F110" s="147"/>
      <c r="G110" s="55"/>
    </row>
    <row r="111" spans="1:7" x14ac:dyDescent="0.2">
      <c r="A111" s="285" t="s">
        <v>122</v>
      </c>
      <c r="B111" s="57"/>
      <c r="C111" s="60"/>
      <c r="D111" s="53"/>
      <c r="E111" s="139"/>
      <c r="F111" s="138"/>
      <c r="G111" s="150"/>
    </row>
    <row r="112" spans="1:7" x14ac:dyDescent="0.2">
      <c r="A112" s="286"/>
      <c r="B112" s="58"/>
      <c r="C112" s="89"/>
      <c r="D112" s="54"/>
      <c r="E112" s="139"/>
      <c r="F112" s="138"/>
      <c r="G112" s="150"/>
    </row>
    <row r="113" spans="1:7" x14ac:dyDescent="0.2">
      <c r="A113" s="286"/>
      <c r="B113" s="58"/>
      <c r="C113" s="89"/>
      <c r="D113" s="54"/>
      <c r="E113" s="139"/>
      <c r="F113" s="138"/>
      <c r="G113" s="54"/>
    </row>
    <row r="114" spans="1:7" x14ac:dyDescent="0.2">
      <c r="A114" s="286"/>
      <c r="B114" s="58"/>
      <c r="C114" s="89"/>
      <c r="D114" s="54"/>
      <c r="E114" s="139"/>
      <c r="F114" s="138"/>
      <c r="G114" s="54"/>
    </row>
    <row r="115" spans="1:7" x14ac:dyDescent="0.2">
      <c r="A115" s="286"/>
      <c r="B115" s="58"/>
      <c r="C115" s="89"/>
      <c r="D115" s="54"/>
      <c r="E115" s="139"/>
      <c r="F115" s="138"/>
      <c r="G115" s="54"/>
    </row>
    <row r="116" spans="1:7" x14ac:dyDescent="0.2">
      <c r="A116" s="286"/>
      <c r="B116" s="58"/>
      <c r="C116" s="89"/>
      <c r="D116" s="54"/>
      <c r="E116" s="139"/>
      <c r="F116" s="138"/>
      <c r="G116" s="54"/>
    </row>
    <row r="117" spans="1:7" x14ac:dyDescent="0.2">
      <c r="A117" s="286"/>
      <c r="B117" s="58"/>
      <c r="C117" s="89"/>
      <c r="D117" s="54"/>
      <c r="E117" s="139"/>
      <c r="F117" s="138"/>
      <c r="G117" s="54"/>
    </row>
    <row r="118" spans="1:7" x14ac:dyDescent="0.2">
      <c r="A118" s="286"/>
      <c r="B118" s="58"/>
      <c r="C118" s="89"/>
      <c r="D118" s="54"/>
      <c r="E118" s="139"/>
      <c r="F118" s="138"/>
      <c r="G118" s="54"/>
    </row>
    <row r="119" spans="1:7" ht="13.5" thickBot="1" x14ac:dyDescent="0.25">
      <c r="A119" s="287"/>
      <c r="B119" s="90"/>
      <c r="C119" s="62"/>
      <c r="D119" s="55"/>
      <c r="E119" s="144"/>
      <c r="F119" s="147"/>
      <c r="G119" s="55"/>
    </row>
    <row r="158" spans="2:30" x14ac:dyDescent="0.2">
      <c r="B158" s="7"/>
      <c r="C158" s="7"/>
      <c r="AD158" s="7" t="s">
        <v>97</v>
      </c>
    </row>
  </sheetData>
  <sortState xmlns:xlrd2="http://schemas.microsoft.com/office/spreadsheetml/2017/richdata2" ref="B22:C58">
    <sortCondition ref="B22:B58"/>
    <sortCondition ref="C22:C58"/>
  </sortState>
  <mergeCells count="10">
    <mergeCell ref="A111:A119"/>
    <mergeCell ref="A1:G1"/>
    <mergeCell ref="B3:C3"/>
    <mergeCell ref="B4:C4"/>
    <mergeCell ref="A22:A61"/>
    <mergeCell ref="A62:A71"/>
    <mergeCell ref="B6:C6"/>
    <mergeCell ref="A7:A14"/>
    <mergeCell ref="A15:A21"/>
    <mergeCell ref="A73:A110"/>
  </mergeCells>
  <pageMargins left="0.61" right="0.37" top="0.62" bottom="0.79" header="0.27" footer="0.39"/>
  <pageSetup scale="56" fitToHeight="0" orientation="landscape" horizontalDpi="360" verticalDpi="360" r:id="rId1"/>
  <headerFooter alignWithMargins="0"/>
  <rowBreaks count="1" manualBreakCount="1">
    <brk id="61"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4AEE8-4AE9-406C-AEC8-ECE4F11E09E2}">
  <sheetPr>
    <tabColor indexed="42"/>
    <pageSetUpPr fitToPage="1"/>
  </sheetPr>
  <dimension ref="A1:AC89"/>
  <sheetViews>
    <sheetView view="pageBreakPreview" zoomScale="80" zoomScaleNormal="75" zoomScaleSheetLayoutView="80" workbookViewId="0">
      <selection activeCell="B6" sqref="B6"/>
    </sheetView>
  </sheetViews>
  <sheetFormatPr defaultRowHeight="12.75" x14ac:dyDescent="0.2"/>
  <cols>
    <col min="1" max="1" width="13.85546875" style="7" bestFit="1" customWidth="1"/>
    <col min="2" max="2" width="53.5703125" style="7" customWidth="1"/>
    <col min="3" max="3" width="36.42578125" style="7" customWidth="1"/>
    <col min="4" max="4" width="38" style="7" customWidth="1"/>
    <col min="5" max="5" width="21.28515625" style="7" customWidth="1"/>
    <col min="6" max="6" width="11.5703125" style="7" customWidth="1"/>
    <col min="7" max="7" width="9.140625" style="7"/>
    <col min="8" max="8" width="5.140625" style="7" customWidth="1"/>
    <col min="9" max="9" width="12" style="7" customWidth="1"/>
    <col min="10" max="10" width="9.140625" style="7"/>
    <col min="11" max="11" width="1.7109375" style="7" customWidth="1"/>
    <col min="12" max="12" width="14.140625" style="7" customWidth="1"/>
    <col min="13" max="15" width="9.140625" style="7"/>
    <col min="16" max="16" width="10" style="7" bestFit="1" customWidth="1"/>
    <col min="17" max="255" width="9.140625" style="7"/>
    <col min="256" max="256" width="12.28515625" style="7" customWidth="1"/>
    <col min="257" max="257" width="53.5703125" style="7" customWidth="1"/>
    <col min="258" max="258" width="11.42578125" style="7" customWidth="1"/>
    <col min="259" max="259" width="12.140625" style="7" customWidth="1"/>
    <col min="260" max="260" width="21.28515625" style="7" customWidth="1"/>
    <col min="261" max="261" width="11.5703125" style="7" customWidth="1"/>
    <col min="262" max="262" width="9.140625" style="7"/>
    <col min="263" max="263" width="5.140625" style="7" customWidth="1"/>
    <col min="264" max="264" width="12" style="7" customWidth="1"/>
    <col min="265" max="265" width="9.140625" style="7"/>
    <col min="266" max="266" width="1.7109375" style="7" customWidth="1"/>
    <col min="267" max="267" width="14.140625" style="7" customWidth="1"/>
    <col min="268" max="511" width="9.140625" style="7"/>
    <col min="512" max="512" width="12.28515625" style="7" customWidth="1"/>
    <col min="513" max="513" width="53.5703125" style="7" customWidth="1"/>
    <col min="514" max="514" width="11.42578125" style="7" customWidth="1"/>
    <col min="515" max="515" width="12.140625" style="7" customWidth="1"/>
    <col min="516" max="516" width="21.28515625" style="7" customWidth="1"/>
    <col min="517" max="517" width="11.5703125" style="7" customWidth="1"/>
    <col min="518" max="518" width="9.140625" style="7"/>
    <col min="519" max="519" width="5.140625" style="7" customWidth="1"/>
    <col min="520" max="520" width="12" style="7" customWidth="1"/>
    <col min="521" max="521" width="9.140625" style="7"/>
    <col min="522" max="522" width="1.7109375" style="7" customWidth="1"/>
    <col min="523" max="523" width="14.140625" style="7" customWidth="1"/>
    <col min="524" max="767" width="9.140625" style="7"/>
    <col min="768" max="768" width="12.28515625" style="7" customWidth="1"/>
    <col min="769" max="769" width="53.5703125" style="7" customWidth="1"/>
    <col min="770" max="770" width="11.42578125" style="7" customWidth="1"/>
    <col min="771" max="771" width="12.140625" style="7" customWidth="1"/>
    <col min="772" max="772" width="21.28515625" style="7" customWidth="1"/>
    <col min="773" max="773" width="11.5703125" style="7" customWidth="1"/>
    <col min="774" max="774" width="9.140625" style="7"/>
    <col min="775" max="775" width="5.140625" style="7" customWidth="1"/>
    <col min="776" max="776" width="12" style="7" customWidth="1"/>
    <col min="777" max="777" width="9.140625" style="7"/>
    <col min="778" max="778" width="1.7109375" style="7" customWidth="1"/>
    <col min="779" max="779" width="14.140625" style="7" customWidth="1"/>
    <col min="780" max="1023" width="9.140625" style="7"/>
    <col min="1024" max="1024" width="12.28515625" style="7" customWidth="1"/>
    <col min="1025" max="1025" width="53.5703125" style="7" customWidth="1"/>
    <col min="1026" max="1026" width="11.42578125" style="7" customWidth="1"/>
    <col min="1027" max="1027" width="12.140625" style="7" customWidth="1"/>
    <col min="1028" max="1028" width="21.28515625" style="7" customWidth="1"/>
    <col min="1029" max="1029" width="11.5703125" style="7" customWidth="1"/>
    <col min="1030" max="1030" width="9.140625" style="7"/>
    <col min="1031" max="1031" width="5.140625" style="7" customWidth="1"/>
    <col min="1032" max="1032" width="12" style="7" customWidth="1"/>
    <col min="1033" max="1033" width="9.140625" style="7"/>
    <col min="1034" max="1034" width="1.7109375" style="7" customWidth="1"/>
    <col min="1035" max="1035" width="14.140625" style="7" customWidth="1"/>
    <col min="1036" max="1279" width="9.140625" style="7"/>
    <col min="1280" max="1280" width="12.28515625" style="7" customWidth="1"/>
    <col min="1281" max="1281" width="53.5703125" style="7" customWidth="1"/>
    <col min="1282" max="1282" width="11.42578125" style="7" customWidth="1"/>
    <col min="1283" max="1283" width="12.140625" style="7" customWidth="1"/>
    <col min="1284" max="1284" width="21.28515625" style="7" customWidth="1"/>
    <col min="1285" max="1285" width="11.5703125" style="7" customWidth="1"/>
    <col min="1286" max="1286" width="9.140625" style="7"/>
    <col min="1287" max="1287" width="5.140625" style="7" customWidth="1"/>
    <col min="1288" max="1288" width="12" style="7" customWidth="1"/>
    <col min="1289" max="1289" width="9.140625" style="7"/>
    <col min="1290" max="1290" width="1.7109375" style="7" customWidth="1"/>
    <col min="1291" max="1291" width="14.140625" style="7" customWidth="1"/>
    <col min="1292" max="1535" width="9.140625" style="7"/>
    <col min="1536" max="1536" width="12.28515625" style="7" customWidth="1"/>
    <col min="1537" max="1537" width="53.5703125" style="7" customWidth="1"/>
    <col min="1538" max="1538" width="11.42578125" style="7" customWidth="1"/>
    <col min="1539" max="1539" width="12.140625" style="7" customWidth="1"/>
    <col min="1540" max="1540" width="21.28515625" style="7" customWidth="1"/>
    <col min="1541" max="1541" width="11.5703125" style="7" customWidth="1"/>
    <col min="1542" max="1542" width="9.140625" style="7"/>
    <col min="1543" max="1543" width="5.140625" style="7" customWidth="1"/>
    <col min="1544" max="1544" width="12" style="7" customWidth="1"/>
    <col min="1545" max="1545" width="9.140625" style="7"/>
    <col min="1546" max="1546" width="1.7109375" style="7" customWidth="1"/>
    <col min="1547" max="1547" width="14.140625" style="7" customWidth="1"/>
    <col min="1548" max="1791" width="9.140625" style="7"/>
    <col min="1792" max="1792" width="12.28515625" style="7" customWidth="1"/>
    <col min="1793" max="1793" width="53.5703125" style="7" customWidth="1"/>
    <col min="1794" max="1794" width="11.42578125" style="7" customWidth="1"/>
    <col min="1795" max="1795" width="12.140625" style="7" customWidth="1"/>
    <col min="1796" max="1796" width="21.28515625" style="7" customWidth="1"/>
    <col min="1797" max="1797" width="11.5703125" style="7" customWidth="1"/>
    <col min="1798" max="1798" width="9.140625" style="7"/>
    <col min="1799" max="1799" width="5.140625" style="7" customWidth="1"/>
    <col min="1800" max="1800" width="12" style="7" customWidth="1"/>
    <col min="1801" max="1801" width="9.140625" style="7"/>
    <col min="1802" max="1802" width="1.7109375" style="7" customWidth="1"/>
    <col min="1803" max="1803" width="14.140625" style="7" customWidth="1"/>
    <col min="1804" max="2047" width="9.140625" style="7"/>
    <col min="2048" max="2048" width="12.28515625" style="7" customWidth="1"/>
    <col min="2049" max="2049" width="53.5703125" style="7" customWidth="1"/>
    <col min="2050" max="2050" width="11.42578125" style="7" customWidth="1"/>
    <col min="2051" max="2051" width="12.140625" style="7" customWidth="1"/>
    <col min="2052" max="2052" width="21.28515625" style="7" customWidth="1"/>
    <col min="2053" max="2053" width="11.5703125" style="7" customWidth="1"/>
    <col min="2054" max="2054" width="9.140625" style="7"/>
    <col min="2055" max="2055" width="5.140625" style="7" customWidth="1"/>
    <col min="2056" max="2056" width="12" style="7" customWidth="1"/>
    <col min="2057" max="2057" width="9.140625" style="7"/>
    <col min="2058" max="2058" width="1.7109375" style="7" customWidth="1"/>
    <col min="2059" max="2059" width="14.140625" style="7" customWidth="1"/>
    <col min="2060" max="2303" width="9.140625" style="7"/>
    <col min="2304" max="2304" width="12.28515625" style="7" customWidth="1"/>
    <col min="2305" max="2305" width="53.5703125" style="7" customWidth="1"/>
    <col min="2306" max="2306" width="11.42578125" style="7" customWidth="1"/>
    <col min="2307" max="2307" width="12.140625" style="7" customWidth="1"/>
    <col min="2308" max="2308" width="21.28515625" style="7" customWidth="1"/>
    <col min="2309" max="2309" width="11.5703125" style="7" customWidth="1"/>
    <col min="2310" max="2310" width="9.140625" style="7"/>
    <col min="2311" max="2311" width="5.140625" style="7" customWidth="1"/>
    <col min="2312" max="2312" width="12" style="7" customWidth="1"/>
    <col min="2313" max="2313" width="9.140625" style="7"/>
    <col min="2314" max="2314" width="1.7109375" style="7" customWidth="1"/>
    <col min="2315" max="2315" width="14.140625" style="7" customWidth="1"/>
    <col min="2316" max="2559" width="9.140625" style="7"/>
    <col min="2560" max="2560" width="12.28515625" style="7" customWidth="1"/>
    <col min="2561" max="2561" width="53.5703125" style="7" customWidth="1"/>
    <col min="2562" max="2562" width="11.42578125" style="7" customWidth="1"/>
    <col min="2563" max="2563" width="12.140625" style="7" customWidth="1"/>
    <col min="2564" max="2564" width="21.28515625" style="7" customWidth="1"/>
    <col min="2565" max="2565" width="11.5703125" style="7" customWidth="1"/>
    <col min="2566" max="2566" width="9.140625" style="7"/>
    <col min="2567" max="2567" width="5.140625" style="7" customWidth="1"/>
    <col min="2568" max="2568" width="12" style="7" customWidth="1"/>
    <col min="2569" max="2569" width="9.140625" style="7"/>
    <col min="2570" max="2570" width="1.7109375" style="7" customWidth="1"/>
    <col min="2571" max="2571" width="14.140625" style="7" customWidth="1"/>
    <col min="2572" max="2815" width="9.140625" style="7"/>
    <col min="2816" max="2816" width="12.28515625" style="7" customWidth="1"/>
    <col min="2817" max="2817" width="53.5703125" style="7" customWidth="1"/>
    <col min="2818" max="2818" width="11.42578125" style="7" customWidth="1"/>
    <col min="2819" max="2819" width="12.140625" style="7" customWidth="1"/>
    <col min="2820" max="2820" width="21.28515625" style="7" customWidth="1"/>
    <col min="2821" max="2821" width="11.5703125" style="7" customWidth="1"/>
    <col min="2822" max="2822" width="9.140625" style="7"/>
    <col min="2823" max="2823" width="5.140625" style="7" customWidth="1"/>
    <col min="2824" max="2824" width="12" style="7" customWidth="1"/>
    <col min="2825" max="2825" width="9.140625" style="7"/>
    <col min="2826" max="2826" width="1.7109375" style="7" customWidth="1"/>
    <col min="2827" max="2827" width="14.140625" style="7" customWidth="1"/>
    <col min="2828" max="3071" width="9.140625" style="7"/>
    <col min="3072" max="3072" width="12.28515625" style="7" customWidth="1"/>
    <col min="3073" max="3073" width="53.5703125" style="7" customWidth="1"/>
    <col min="3074" max="3074" width="11.42578125" style="7" customWidth="1"/>
    <col min="3075" max="3075" width="12.140625" style="7" customWidth="1"/>
    <col min="3076" max="3076" width="21.28515625" style="7" customWidth="1"/>
    <col min="3077" max="3077" width="11.5703125" style="7" customWidth="1"/>
    <col min="3078" max="3078" width="9.140625" style="7"/>
    <col min="3079" max="3079" width="5.140625" style="7" customWidth="1"/>
    <col min="3080" max="3080" width="12" style="7" customWidth="1"/>
    <col min="3081" max="3081" width="9.140625" style="7"/>
    <col min="3082" max="3082" width="1.7109375" style="7" customWidth="1"/>
    <col min="3083" max="3083" width="14.140625" style="7" customWidth="1"/>
    <col min="3084" max="3327" width="9.140625" style="7"/>
    <col min="3328" max="3328" width="12.28515625" style="7" customWidth="1"/>
    <col min="3329" max="3329" width="53.5703125" style="7" customWidth="1"/>
    <col min="3330" max="3330" width="11.42578125" style="7" customWidth="1"/>
    <col min="3331" max="3331" width="12.140625" style="7" customWidth="1"/>
    <col min="3332" max="3332" width="21.28515625" style="7" customWidth="1"/>
    <col min="3333" max="3333" width="11.5703125" style="7" customWidth="1"/>
    <col min="3334" max="3334" width="9.140625" style="7"/>
    <col min="3335" max="3335" width="5.140625" style="7" customWidth="1"/>
    <col min="3336" max="3336" width="12" style="7" customWidth="1"/>
    <col min="3337" max="3337" width="9.140625" style="7"/>
    <col min="3338" max="3338" width="1.7109375" style="7" customWidth="1"/>
    <col min="3339" max="3339" width="14.140625" style="7" customWidth="1"/>
    <col min="3340" max="3583" width="9.140625" style="7"/>
    <col min="3584" max="3584" width="12.28515625" style="7" customWidth="1"/>
    <col min="3585" max="3585" width="53.5703125" style="7" customWidth="1"/>
    <col min="3586" max="3586" width="11.42578125" style="7" customWidth="1"/>
    <col min="3587" max="3587" width="12.140625" style="7" customWidth="1"/>
    <col min="3588" max="3588" width="21.28515625" style="7" customWidth="1"/>
    <col min="3589" max="3589" width="11.5703125" style="7" customWidth="1"/>
    <col min="3590" max="3590" width="9.140625" style="7"/>
    <col min="3591" max="3591" width="5.140625" style="7" customWidth="1"/>
    <col min="3592" max="3592" width="12" style="7" customWidth="1"/>
    <col min="3593" max="3593" width="9.140625" style="7"/>
    <col min="3594" max="3594" width="1.7109375" style="7" customWidth="1"/>
    <col min="3595" max="3595" width="14.140625" style="7" customWidth="1"/>
    <col min="3596" max="3839" width="9.140625" style="7"/>
    <col min="3840" max="3840" width="12.28515625" style="7" customWidth="1"/>
    <col min="3841" max="3841" width="53.5703125" style="7" customWidth="1"/>
    <col min="3842" max="3842" width="11.42578125" style="7" customWidth="1"/>
    <col min="3843" max="3843" width="12.140625" style="7" customWidth="1"/>
    <col min="3844" max="3844" width="21.28515625" style="7" customWidth="1"/>
    <col min="3845" max="3845" width="11.5703125" style="7" customWidth="1"/>
    <col min="3846" max="3846" width="9.140625" style="7"/>
    <col min="3847" max="3847" width="5.140625" style="7" customWidth="1"/>
    <col min="3848" max="3848" width="12" style="7" customWidth="1"/>
    <col min="3849" max="3849" width="9.140625" style="7"/>
    <col min="3850" max="3850" width="1.7109375" style="7" customWidth="1"/>
    <col min="3851" max="3851" width="14.140625" style="7" customWidth="1"/>
    <col min="3852" max="4095" width="9.140625" style="7"/>
    <col min="4096" max="4096" width="12.28515625" style="7" customWidth="1"/>
    <col min="4097" max="4097" width="53.5703125" style="7" customWidth="1"/>
    <col min="4098" max="4098" width="11.42578125" style="7" customWidth="1"/>
    <col min="4099" max="4099" width="12.140625" style="7" customWidth="1"/>
    <col min="4100" max="4100" width="21.28515625" style="7" customWidth="1"/>
    <col min="4101" max="4101" width="11.5703125" style="7" customWidth="1"/>
    <col min="4102" max="4102" width="9.140625" style="7"/>
    <col min="4103" max="4103" width="5.140625" style="7" customWidth="1"/>
    <col min="4104" max="4104" width="12" style="7" customWidth="1"/>
    <col min="4105" max="4105" width="9.140625" style="7"/>
    <col min="4106" max="4106" width="1.7109375" style="7" customWidth="1"/>
    <col min="4107" max="4107" width="14.140625" style="7" customWidth="1"/>
    <col min="4108" max="4351" width="9.140625" style="7"/>
    <col min="4352" max="4352" width="12.28515625" style="7" customWidth="1"/>
    <col min="4353" max="4353" width="53.5703125" style="7" customWidth="1"/>
    <col min="4354" max="4354" width="11.42578125" style="7" customWidth="1"/>
    <col min="4355" max="4355" width="12.140625" style="7" customWidth="1"/>
    <col min="4356" max="4356" width="21.28515625" style="7" customWidth="1"/>
    <col min="4357" max="4357" width="11.5703125" style="7" customWidth="1"/>
    <col min="4358" max="4358" width="9.140625" style="7"/>
    <col min="4359" max="4359" width="5.140625" style="7" customWidth="1"/>
    <col min="4360" max="4360" width="12" style="7" customWidth="1"/>
    <col min="4361" max="4361" width="9.140625" style="7"/>
    <col min="4362" max="4362" width="1.7109375" style="7" customWidth="1"/>
    <col min="4363" max="4363" width="14.140625" style="7" customWidth="1"/>
    <col min="4364" max="4607" width="9.140625" style="7"/>
    <col min="4608" max="4608" width="12.28515625" style="7" customWidth="1"/>
    <col min="4609" max="4609" width="53.5703125" style="7" customWidth="1"/>
    <col min="4610" max="4610" width="11.42578125" style="7" customWidth="1"/>
    <col min="4611" max="4611" width="12.140625" style="7" customWidth="1"/>
    <col min="4612" max="4612" width="21.28515625" style="7" customWidth="1"/>
    <col min="4613" max="4613" width="11.5703125" style="7" customWidth="1"/>
    <col min="4614" max="4614" width="9.140625" style="7"/>
    <col min="4615" max="4615" width="5.140625" style="7" customWidth="1"/>
    <col min="4616" max="4616" width="12" style="7" customWidth="1"/>
    <col min="4617" max="4617" width="9.140625" style="7"/>
    <col min="4618" max="4618" width="1.7109375" style="7" customWidth="1"/>
    <col min="4619" max="4619" width="14.140625" style="7" customWidth="1"/>
    <col min="4620" max="4863" width="9.140625" style="7"/>
    <col min="4864" max="4864" width="12.28515625" style="7" customWidth="1"/>
    <col min="4865" max="4865" width="53.5703125" style="7" customWidth="1"/>
    <col min="4866" max="4866" width="11.42578125" style="7" customWidth="1"/>
    <col min="4867" max="4867" width="12.140625" style="7" customWidth="1"/>
    <col min="4868" max="4868" width="21.28515625" style="7" customWidth="1"/>
    <col min="4869" max="4869" width="11.5703125" style="7" customWidth="1"/>
    <col min="4870" max="4870" width="9.140625" style="7"/>
    <col min="4871" max="4871" width="5.140625" style="7" customWidth="1"/>
    <col min="4872" max="4872" width="12" style="7" customWidth="1"/>
    <col min="4873" max="4873" width="9.140625" style="7"/>
    <col min="4874" max="4874" width="1.7109375" style="7" customWidth="1"/>
    <col min="4875" max="4875" width="14.140625" style="7" customWidth="1"/>
    <col min="4876" max="5119" width="9.140625" style="7"/>
    <col min="5120" max="5120" width="12.28515625" style="7" customWidth="1"/>
    <col min="5121" max="5121" width="53.5703125" style="7" customWidth="1"/>
    <col min="5122" max="5122" width="11.42578125" style="7" customWidth="1"/>
    <col min="5123" max="5123" width="12.140625" style="7" customWidth="1"/>
    <col min="5124" max="5124" width="21.28515625" style="7" customWidth="1"/>
    <col min="5125" max="5125" width="11.5703125" style="7" customWidth="1"/>
    <col min="5126" max="5126" width="9.140625" style="7"/>
    <col min="5127" max="5127" width="5.140625" style="7" customWidth="1"/>
    <col min="5128" max="5128" width="12" style="7" customWidth="1"/>
    <col min="5129" max="5129" width="9.140625" style="7"/>
    <col min="5130" max="5130" width="1.7109375" style="7" customWidth="1"/>
    <col min="5131" max="5131" width="14.140625" style="7" customWidth="1"/>
    <col min="5132" max="5375" width="9.140625" style="7"/>
    <col min="5376" max="5376" width="12.28515625" style="7" customWidth="1"/>
    <col min="5377" max="5377" width="53.5703125" style="7" customWidth="1"/>
    <col min="5378" max="5378" width="11.42578125" style="7" customWidth="1"/>
    <col min="5379" max="5379" width="12.140625" style="7" customWidth="1"/>
    <col min="5380" max="5380" width="21.28515625" style="7" customWidth="1"/>
    <col min="5381" max="5381" width="11.5703125" style="7" customWidth="1"/>
    <col min="5382" max="5382" width="9.140625" style="7"/>
    <col min="5383" max="5383" width="5.140625" style="7" customWidth="1"/>
    <col min="5384" max="5384" width="12" style="7" customWidth="1"/>
    <col min="5385" max="5385" width="9.140625" style="7"/>
    <col min="5386" max="5386" width="1.7109375" style="7" customWidth="1"/>
    <col min="5387" max="5387" width="14.140625" style="7" customWidth="1"/>
    <col min="5388" max="5631" width="9.140625" style="7"/>
    <col min="5632" max="5632" width="12.28515625" style="7" customWidth="1"/>
    <col min="5633" max="5633" width="53.5703125" style="7" customWidth="1"/>
    <col min="5634" max="5634" width="11.42578125" style="7" customWidth="1"/>
    <col min="5635" max="5635" width="12.140625" style="7" customWidth="1"/>
    <col min="5636" max="5636" width="21.28515625" style="7" customWidth="1"/>
    <col min="5637" max="5637" width="11.5703125" style="7" customWidth="1"/>
    <col min="5638" max="5638" width="9.140625" style="7"/>
    <col min="5639" max="5639" width="5.140625" style="7" customWidth="1"/>
    <col min="5640" max="5640" width="12" style="7" customWidth="1"/>
    <col min="5641" max="5641" width="9.140625" style="7"/>
    <col min="5642" max="5642" width="1.7109375" style="7" customWidth="1"/>
    <col min="5643" max="5643" width="14.140625" style="7" customWidth="1"/>
    <col min="5644" max="5887" width="9.140625" style="7"/>
    <col min="5888" max="5888" width="12.28515625" style="7" customWidth="1"/>
    <col min="5889" max="5889" width="53.5703125" style="7" customWidth="1"/>
    <col min="5890" max="5890" width="11.42578125" style="7" customWidth="1"/>
    <col min="5891" max="5891" width="12.140625" style="7" customWidth="1"/>
    <col min="5892" max="5892" width="21.28515625" style="7" customWidth="1"/>
    <col min="5893" max="5893" width="11.5703125" style="7" customWidth="1"/>
    <col min="5894" max="5894" width="9.140625" style="7"/>
    <col min="5895" max="5895" width="5.140625" style="7" customWidth="1"/>
    <col min="5896" max="5896" width="12" style="7" customWidth="1"/>
    <col min="5897" max="5897" width="9.140625" style="7"/>
    <col min="5898" max="5898" width="1.7109375" style="7" customWidth="1"/>
    <col min="5899" max="5899" width="14.140625" style="7" customWidth="1"/>
    <col min="5900" max="6143" width="9.140625" style="7"/>
    <col min="6144" max="6144" width="12.28515625" style="7" customWidth="1"/>
    <col min="6145" max="6145" width="53.5703125" style="7" customWidth="1"/>
    <col min="6146" max="6146" width="11.42578125" style="7" customWidth="1"/>
    <col min="6147" max="6147" width="12.140625" style="7" customWidth="1"/>
    <col min="6148" max="6148" width="21.28515625" style="7" customWidth="1"/>
    <col min="6149" max="6149" width="11.5703125" style="7" customWidth="1"/>
    <col min="6150" max="6150" width="9.140625" style="7"/>
    <col min="6151" max="6151" width="5.140625" style="7" customWidth="1"/>
    <col min="6152" max="6152" width="12" style="7" customWidth="1"/>
    <col min="6153" max="6153" width="9.140625" style="7"/>
    <col min="6154" max="6154" width="1.7109375" style="7" customWidth="1"/>
    <col min="6155" max="6155" width="14.140625" style="7" customWidth="1"/>
    <col min="6156" max="6399" width="9.140625" style="7"/>
    <col min="6400" max="6400" width="12.28515625" style="7" customWidth="1"/>
    <col min="6401" max="6401" width="53.5703125" style="7" customWidth="1"/>
    <col min="6402" max="6402" width="11.42578125" style="7" customWidth="1"/>
    <col min="6403" max="6403" width="12.140625" style="7" customWidth="1"/>
    <col min="6404" max="6404" width="21.28515625" style="7" customWidth="1"/>
    <col min="6405" max="6405" width="11.5703125" style="7" customWidth="1"/>
    <col min="6406" max="6406" width="9.140625" style="7"/>
    <col min="6407" max="6407" width="5.140625" style="7" customWidth="1"/>
    <col min="6408" max="6408" width="12" style="7" customWidth="1"/>
    <col min="6409" max="6409" width="9.140625" style="7"/>
    <col min="6410" max="6410" width="1.7109375" style="7" customWidth="1"/>
    <col min="6411" max="6411" width="14.140625" style="7" customWidth="1"/>
    <col min="6412" max="6655" width="9.140625" style="7"/>
    <col min="6656" max="6656" width="12.28515625" style="7" customWidth="1"/>
    <col min="6657" max="6657" width="53.5703125" style="7" customWidth="1"/>
    <col min="6658" max="6658" width="11.42578125" style="7" customWidth="1"/>
    <col min="6659" max="6659" width="12.140625" style="7" customWidth="1"/>
    <col min="6660" max="6660" width="21.28515625" style="7" customWidth="1"/>
    <col min="6661" max="6661" width="11.5703125" style="7" customWidth="1"/>
    <col min="6662" max="6662" width="9.140625" style="7"/>
    <col min="6663" max="6663" width="5.140625" style="7" customWidth="1"/>
    <col min="6664" max="6664" width="12" style="7" customWidth="1"/>
    <col min="6665" max="6665" width="9.140625" style="7"/>
    <col min="6666" max="6666" width="1.7109375" style="7" customWidth="1"/>
    <col min="6667" max="6667" width="14.140625" style="7" customWidth="1"/>
    <col min="6668" max="6911" width="9.140625" style="7"/>
    <col min="6912" max="6912" width="12.28515625" style="7" customWidth="1"/>
    <col min="6913" max="6913" width="53.5703125" style="7" customWidth="1"/>
    <col min="6914" max="6914" width="11.42578125" style="7" customWidth="1"/>
    <col min="6915" max="6915" width="12.140625" style="7" customWidth="1"/>
    <col min="6916" max="6916" width="21.28515625" style="7" customWidth="1"/>
    <col min="6917" max="6917" width="11.5703125" style="7" customWidth="1"/>
    <col min="6918" max="6918" width="9.140625" style="7"/>
    <col min="6919" max="6919" width="5.140625" style="7" customWidth="1"/>
    <col min="6920" max="6920" width="12" style="7" customWidth="1"/>
    <col min="6921" max="6921" width="9.140625" style="7"/>
    <col min="6922" max="6922" width="1.7109375" style="7" customWidth="1"/>
    <col min="6923" max="6923" width="14.140625" style="7" customWidth="1"/>
    <col min="6924" max="7167" width="9.140625" style="7"/>
    <col min="7168" max="7168" width="12.28515625" style="7" customWidth="1"/>
    <col min="7169" max="7169" width="53.5703125" style="7" customWidth="1"/>
    <col min="7170" max="7170" width="11.42578125" style="7" customWidth="1"/>
    <col min="7171" max="7171" width="12.140625" style="7" customWidth="1"/>
    <col min="7172" max="7172" width="21.28515625" style="7" customWidth="1"/>
    <col min="7173" max="7173" width="11.5703125" style="7" customWidth="1"/>
    <col min="7174" max="7174" width="9.140625" style="7"/>
    <col min="7175" max="7175" width="5.140625" style="7" customWidth="1"/>
    <col min="7176" max="7176" width="12" style="7" customWidth="1"/>
    <col min="7177" max="7177" width="9.140625" style="7"/>
    <col min="7178" max="7178" width="1.7109375" style="7" customWidth="1"/>
    <col min="7179" max="7179" width="14.140625" style="7" customWidth="1"/>
    <col min="7180" max="7423" width="9.140625" style="7"/>
    <col min="7424" max="7424" width="12.28515625" style="7" customWidth="1"/>
    <col min="7425" max="7425" width="53.5703125" style="7" customWidth="1"/>
    <col min="7426" max="7426" width="11.42578125" style="7" customWidth="1"/>
    <col min="7427" max="7427" width="12.140625" style="7" customWidth="1"/>
    <col min="7428" max="7428" width="21.28515625" style="7" customWidth="1"/>
    <col min="7429" max="7429" width="11.5703125" style="7" customWidth="1"/>
    <col min="7430" max="7430" width="9.140625" style="7"/>
    <col min="7431" max="7431" width="5.140625" style="7" customWidth="1"/>
    <col min="7432" max="7432" width="12" style="7" customWidth="1"/>
    <col min="7433" max="7433" width="9.140625" style="7"/>
    <col min="7434" max="7434" width="1.7109375" style="7" customWidth="1"/>
    <col min="7435" max="7435" width="14.140625" style="7" customWidth="1"/>
    <col min="7436" max="7679" width="9.140625" style="7"/>
    <col min="7680" max="7680" width="12.28515625" style="7" customWidth="1"/>
    <col min="7681" max="7681" width="53.5703125" style="7" customWidth="1"/>
    <col min="7682" max="7682" width="11.42578125" style="7" customWidth="1"/>
    <col min="7683" max="7683" width="12.140625" style="7" customWidth="1"/>
    <col min="7684" max="7684" width="21.28515625" style="7" customWidth="1"/>
    <col min="7685" max="7685" width="11.5703125" style="7" customWidth="1"/>
    <col min="7686" max="7686" width="9.140625" style="7"/>
    <col min="7687" max="7687" width="5.140625" style="7" customWidth="1"/>
    <col min="7688" max="7688" width="12" style="7" customWidth="1"/>
    <col min="7689" max="7689" width="9.140625" style="7"/>
    <col min="7690" max="7690" width="1.7109375" style="7" customWidth="1"/>
    <col min="7691" max="7691" width="14.140625" style="7" customWidth="1"/>
    <col min="7692" max="7935" width="9.140625" style="7"/>
    <col min="7936" max="7936" width="12.28515625" style="7" customWidth="1"/>
    <col min="7937" max="7937" width="53.5703125" style="7" customWidth="1"/>
    <col min="7938" max="7938" width="11.42578125" style="7" customWidth="1"/>
    <col min="7939" max="7939" width="12.140625" style="7" customWidth="1"/>
    <col min="7940" max="7940" width="21.28515625" style="7" customWidth="1"/>
    <col min="7941" max="7941" width="11.5703125" style="7" customWidth="1"/>
    <col min="7942" max="7942" width="9.140625" style="7"/>
    <col min="7943" max="7943" width="5.140625" style="7" customWidth="1"/>
    <col min="7944" max="7944" width="12" style="7" customWidth="1"/>
    <col min="7945" max="7945" width="9.140625" style="7"/>
    <col min="7946" max="7946" width="1.7109375" style="7" customWidth="1"/>
    <col min="7947" max="7947" width="14.140625" style="7" customWidth="1"/>
    <col min="7948" max="8191" width="9.140625" style="7"/>
    <col min="8192" max="8192" width="12.28515625" style="7" customWidth="1"/>
    <col min="8193" max="8193" width="53.5703125" style="7" customWidth="1"/>
    <col min="8194" max="8194" width="11.42578125" style="7" customWidth="1"/>
    <col min="8195" max="8195" width="12.140625" style="7" customWidth="1"/>
    <col min="8196" max="8196" width="21.28515625" style="7" customWidth="1"/>
    <col min="8197" max="8197" width="11.5703125" style="7" customWidth="1"/>
    <col min="8198" max="8198" width="9.140625" style="7"/>
    <col min="8199" max="8199" width="5.140625" style="7" customWidth="1"/>
    <col min="8200" max="8200" width="12" style="7" customWidth="1"/>
    <col min="8201" max="8201" width="9.140625" style="7"/>
    <col min="8202" max="8202" width="1.7109375" style="7" customWidth="1"/>
    <col min="8203" max="8203" width="14.140625" style="7" customWidth="1"/>
    <col min="8204" max="8447" width="9.140625" style="7"/>
    <col min="8448" max="8448" width="12.28515625" style="7" customWidth="1"/>
    <col min="8449" max="8449" width="53.5703125" style="7" customWidth="1"/>
    <col min="8450" max="8450" width="11.42578125" style="7" customWidth="1"/>
    <col min="8451" max="8451" width="12.140625" style="7" customWidth="1"/>
    <col min="8452" max="8452" width="21.28515625" style="7" customWidth="1"/>
    <col min="8453" max="8453" width="11.5703125" style="7" customWidth="1"/>
    <col min="8454" max="8454" width="9.140625" style="7"/>
    <col min="8455" max="8455" width="5.140625" style="7" customWidth="1"/>
    <col min="8456" max="8456" width="12" style="7" customWidth="1"/>
    <col min="8457" max="8457" width="9.140625" style="7"/>
    <col min="8458" max="8458" width="1.7109375" style="7" customWidth="1"/>
    <col min="8459" max="8459" width="14.140625" style="7" customWidth="1"/>
    <col min="8460" max="8703" width="9.140625" style="7"/>
    <col min="8704" max="8704" width="12.28515625" style="7" customWidth="1"/>
    <col min="8705" max="8705" width="53.5703125" style="7" customWidth="1"/>
    <col min="8706" max="8706" width="11.42578125" style="7" customWidth="1"/>
    <col min="8707" max="8707" width="12.140625" style="7" customWidth="1"/>
    <col min="8708" max="8708" width="21.28515625" style="7" customWidth="1"/>
    <col min="8709" max="8709" width="11.5703125" style="7" customWidth="1"/>
    <col min="8710" max="8710" width="9.140625" style="7"/>
    <col min="8711" max="8711" width="5.140625" style="7" customWidth="1"/>
    <col min="8712" max="8712" width="12" style="7" customWidth="1"/>
    <col min="8713" max="8713" width="9.140625" style="7"/>
    <col min="8714" max="8714" width="1.7109375" style="7" customWidth="1"/>
    <col min="8715" max="8715" width="14.140625" style="7" customWidth="1"/>
    <col min="8716" max="8959" width="9.140625" style="7"/>
    <col min="8960" max="8960" width="12.28515625" style="7" customWidth="1"/>
    <col min="8961" max="8961" width="53.5703125" style="7" customWidth="1"/>
    <col min="8962" max="8962" width="11.42578125" style="7" customWidth="1"/>
    <col min="8963" max="8963" width="12.140625" style="7" customWidth="1"/>
    <col min="8964" max="8964" width="21.28515625" style="7" customWidth="1"/>
    <col min="8965" max="8965" width="11.5703125" style="7" customWidth="1"/>
    <col min="8966" max="8966" width="9.140625" style="7"/>
    <col min="8967" max="8967" width="5.140625" style="7" customWidth="1"/>
    <col min="8968" max="8968" width="12" style="7" customWidth="1"/>
    <col min="8969" max="8969" width="9.140625" style="7"/>
    <col min="8970" max="8970" width="1.7109375" style="7" customWidth="1"/>
    <col min="8971" max="8971" width="14.140625" style="7" customWidth="1"/>
    <col min="8972" max="9215" width="9.140625" style="7"/>
    <col min="9216" max="9216" width="12.28515625" style="7" customWidth="1"/>
    <col min="9217" max="9217" width="53.5703125" style="7" customWidth="1"/>
    <col min="9218" max="9218" width="11.42578125" style="7" customWidth="1"/>
    <col min="9219" max="9219" width="12.140625" style="7" customWidth="1"/>
    <col min="9220" max="9220" width="21.28515625" style="7" customWidth="1"/>
    <col min="9221" max="9221" width="11.5703125" style="7" customWidth="1"/>
    <col min="9222" max="9222" width="9.140625" style="7"/>
    <col min="9223" max="9223" width="5.140625" style="7" customWidth="1"/>
    <col min="9224" max="9224" width="12" style="7" customWidth="1"/>
    <col min="9225" max="9225" width="9.140625" style="7"/>
    <col min="9226" max="9226" width="1.7109375" style="7" customWidth="1"/>
    <col min="9227" max="9227" width="14.140625" style="7" customWidth="1"/>
    <col min="9228" max="9471" width="9.140625" style="7"/>
    <col min="9472" max="9472" width="12.28515625" style="7" customWidth="1"/>
    <col min="9473" max="9473" width="53.5703125" style="7" customWidth="1"/>
    <col min="9474" max="9474" width="11.42578125" style="7" customWidth="1"/>
    <col min="9475" max="9475" width="12.140625" style="7" customWidth="1"/>
    <col min="9476" max="9476" width="21.28515625" style="7" customWidth="1"/>
    <col min="9477" max="9477" width="11.5703125" style="7" customWidth="1"/>
    <col min="9478" max="9478" width="9.140625" style="7"/>
    <col min="9479" max="9479" width="5.140625" style="7" customWidth="1"/>
    <col min="9480" max="9480" width="12" style="7" customWidth="1"/>
    <col min="9481" max="9481" width="9.140625" style="7"/>
    <col min="9482" max="9482" width="1.7109375" style="7" customWidth="1"/>
    <col min="9483" max="9483" width="14.140625" style="7" customWidth="1"/>
    <col min="9484" max="9727" width="9.140625" style="7"/>
    <col min="9728" max="9728" width="12.28515625" style="7" customWidth="1"/>
    <col min="9729" max="9729" width="53.5703125" style="7" customWidth="1"/>
    <col min="9730" max="9730" width="11.42578125" style="7" customWidth="1"/>
    <col min="9731" max="9731" width="12.140625" style="7" customWidth="1"/>
    <col min="9732" max="9732" width="21.28515625" style="7" customWidth="1"/>
    <col min="9733" max="9733" width="11.5703125" style="7" customWidth="1"/>
    <col min="9734" max="9734" width="9.140625" style="7"/>
    <col min="9735" max="9735" width="5.140625" style="7" customWidth="1"/>
    <col min="9736" max="9736" width="12" style="7" customWidth="1"/>
    <col min="9737" max="9737" width="9.140625" style="7"/>
    <col min="9738" max="9738" width="1.7109375" style="7" customWidth="1"/>
    <col min="9739" max="9739" width="14.140625" style="7" customWidth="1"/>
    <col min="9740" max="9983" width="9.140625" style="7"/>
    <col min="9984" max="9984" width="12.28515625" style="7" customWidth="1"/>
    <col min="9985" max="9985" width="53.5703125" style="7" customWidth="1"/>
    <col min="9986" max="9986" width="11.42578125" style="7" customWidth="1"/>
    <col min="9987" max="9987" width="12.140625" style="7" customWidth="1"/>
    <col min="9988" max="9988" width="21.28515625" style="7" customWidth="1"/>
    <col min="9989" max="9989" width="11.5703125" style="7" customWidth="1"/>
    <col min="9990" max="9990" width="9.140625" style="7"/>
    <col min="9991" max="9991" width="5.140625" style="7" customWidth="1"/>
    <col min="9992" max="9992" width="12" style="7" customWidth="1"/>
    <col min="9993" max="9993" width="9.140625" style="7"/>
    <col min="9994" max="9994" width="1.7109375" style="7" customWidth="1"/>
    <col min="9995" max="9995" width="14.140625" style="7" customWidth="1"/>
    <col min="9996" max="10239" width="9.140625" style="7"/>
    <col min="10240" max="10240" width="12.28515625" style="7" customWidth="1"/>
    <col min="10241" max="10241" width="53.5703125" style="7" customWidth="1"/>
    <col min="10242" max="10242" width="11.42578125" style="7" customWidth="1"/>
    <col min="10243" max="10243" width="12.140625" style="7" customWidth="1"/>
    <col min="10244" max="10244" width="21.28515625" style="7" customWidth="1"/>
    <col min="10245" max="10245" width="11.5703125" style="7" customWidth="1"/>
    <col min="10246" max="10246" width="9.140625" style="7"/>
    <col min="10247" max="10247" width="5.140625" style="7" customWidth="1"/>
    <col min="10248" max="10248" width="12" style="7" customWidth="1"/>
    <col min="10249" max="10249" width="9.140625" style="7"/>
    <col min="10250" max="10250" width="1.7109375" style="7" customWidth="1"/>
    <col min="10251" max="10251" width="14.140625" style="7" customWidth="1"/>
    <col min="10252" max="10495" width="9.140625" style="7"/>
    <col min="10496" max="10496" width="12.28515625" style="7" customWidth="1"/>
    <col min="10497" max="10497" width="53.5703125" style="7" customWidth="1"/>
    <col min="10498" max="10498" width="11.42578125" style="7" customWidth="1"/>
    <col min="10499" max="10499" width="12.140625" style="7" customWidth="1"/>
    <col min="10500" max="10500" width="21.28515625" style="7" customWidth="1"/>
    <col min="10501" max="10501" width="11.5703125" style="7" customWidth="1"/>
    <col min="10502" max="10502" width="9.140625" style="7"/>
    <col min="10503" max="10503" width="5.140625" style="7" customWidth="1"/>
    <col min="10504" max="10504" width="12" style="7" customWidth="1"/>
    <col min="10505" max="10505" width="9.140625" style="7"/>
    <col min="10506" max="10506" width="1.7109375" style="7" customWidth="1"/>
    <col min="10507" max="10507" width="14.140625" style="7" customWidth="1"/>
    <col min="10508" max="10751" width="9.140625" style="7"/>
    <col min="10752" max="10752" width="12.28515625" style="7" customWidth="1"/>
    <col min="10753" max="10753" width="53.5703125" style="7" customWidth="1"/>
    <col min="10754" max="10754" width="11.42578125" style="7" customWidth="1"/>
    <col min="10755" max="10755" width="12.140625" style="7" customWidth="1"/>
    <col min="10756" max="10756" width="21.28515625" style="7" customWidth="1"/>
    <col min="10757" max="10757" width="11.5703125" style="7" customWidth="1"/>
    <col min="10758" max="10758" width="9.140625" style="7"/>
    <col min="10759" max="10759" width="5.140625" style="7" customWidth="1"/>
    <col min="10760" max="10760" width="12" style="7" customWidth="1"/>
    <col min="10761" max="10761" width="9.140625" style="7"/>
    <col min="10762" max="10762" width="1.7109375" style="7" customWidth="1"/>
    <col min="10763" max="10763" width="14.140625" style="7" customWidth="1"/>
    <col min="10764" max="11007" width="9.140625" style="7"/>
    <col min="11008" max="11008" width="12.28515625" style="7" customWidth="1"/>
    <col min="11009" max="11009" width="53.5703125" style="7" customWidth="1"/>
    <col min="11010" max="11010" width="11.42578125" style="7" customWidth="1"/>
    <col min="11011" max="11011" width="12.140625" style="7" customWidth="1"/>
    <col min="11012" max="11012" width="21.28515625" style="7" customWidth="1"/>
    <col min="11013" max="11013" width="11.5703125" style="7" customWidth="1"/>
    <col min="11014" max="11014" width="9.140625" style="7"/>
    <col min="11015" max="11015" width="5.140625" style="7" customWidth="1"/>
    <col min="11016" max="11016" width="12" style="7" customWidth="1"/>
    <col min="11017" max="11017" width="9.140625" style="7"/>
    <col min="11018" max="11018" width="1.7109375" style="7" customWidth="1"/>
    <col min="11019" max="11019" width="14.140625" style="7" customWidth="1"/>
    <col min="11020" max="11263" width="9.140625" style="7"/>
    <col min="11264" max="11264" width="12.28515625" style="7" customWidth="1"/>
    <col min="11265" max="11265" width="53.5703125" style="7" customWidth="1"/>
    <col min="11266" max="11266" width="11.42578125" style="7" customWidth="1"/>
    <col min="11267" max="11267" width="12.140625" style="7" customWidth="1"/>
    <col min="11268" max="11268" width="21.28515625" style="7" customWidth="1"/>
    <col min="11269" max="11269" width="11.5703125" style="7" customWidth="1"/>
    <col min="11270" max="11270" width="9.140625" style="7"/>
    <col min="11271" max="11271" width="5.140625" style="7" customWidth="1"/>
    <col min="11272" max="11272" width="12" style="7" customWidth="1"/>
    <col min="11273" max="11273" width="9.140625" style="7"/>
    <col min="11274" max="11274" width="1.7109375" style="7" customWidth="1"/>
    <col min="11275" max="11275" width="14.140625" style="7" customWidth="1"/>
    <col min="11276" max="11519" width="9.140625" style="7"/>
    <col min="11520" max="11520" width="12.28515625" style="7" customWidth="1"/>
    <col min="11521" max="11521" width="53.5703125" style="7" customWidth="1"/>
    <col min="11522" max="11522" width="11.42578125" style="7" customWidth="1"/>
    <col min="11523" max="11523" width="12.140625" style="7" customWidth="1"/>
    <col min="11524" max="11524" width="21.28515625" style="7" customWidth="1"/>
    <col min="11525" max="11525" width="11.5703125" style="7" customWidth="1"/>
    <col min="11526" max="11526" width="9.140625" style="7"/>
    <col min="11527" max="11527" width="5.140625" style="7" customWidth="1"/>
    <col min="11528" max="11528" width="12" style="7" customWidth="1"/>
    <col min="11529" max="11529" width="9.140625" style="7"/>
    <col min="11530" max="11530" width="1.7109375" style="7" customWidth="1"/>
    <col min="11531" max="11531" width="14.140625" style="7" customWidth="1"/>
    <col min="11532" max="11775" width="9.140625" style="7"/>
    <col min="11776" max="11776" width="12.28515625" style="7" customWidth="1"/>
    <col min="11777" max="11777" width="53.5703125" style="7" customWidth="1"/>
    <col min="11778" max="11778" width="11.42578125" style="7" customWidth="1"/>
    <col min="11779" max="11779" width="12.140625" style="7" customWidth="1"/>
    <col min="11780" max="11780" width="21.28515625" style="7" customWidth="1"/>
    <col min="11781" max="11781" width="11.5703125" style="7" customWidth="1"/>
    <col min="11782" max="11782" width="9.140625" style="7"/>
    <col min="11783" max="11783" width="5.140625" style="7" customWidth="1"/>
    <col min="11784" max="11784" width="12" style="7" customWidth="1"/>
    <col min="11785" max="11785" width="9.140625" style="7"/>
    <col min="11786" max="11786" width="1.7109375" style="7" customWidth="1"/>
    <col min="11787" max="11787" width="14.140625" style="7" customWidth="1"/>
    <col min="11788" max="12031" width="9.140625" style="7"/>
    <col min="12032" max="12032" width="12.28515625" style="7" customWidth="1"/>
    <col min="12033" max="12033" width="53.5703125" style="7" customWidth="1"/>
    <col min="12034" max="12034" width="11.42578125" style="7" customWidth="1"/>
    <col min="12035" max="12035" width="12.140625" style="7" customWidth="1"/>
    <col min="12036" max="12036" width="21.28515625" style="7" customWidth="1"/>
    <col min="12037" max="12037" width="11.5703125" style="7" customWidth="1"/>
    <col min="12038" max="12038" width="9.140625" style="7"/>
    <col min="12039" max="12039" width="5.140625" style="7" customWidth="1"/>
    <col min="12040" max="12040" width="12" style="7" customWidth="1"/>
    <col min="12041" max="12041" width="9.140625" style="7"/>
    <col min="12042" max="12042" width="1.7109375" style="7" customWidth="1"/>
    <col min="12043" max="12043" width="14.140625" style="7" customWidth="1"/>
    <col min="12044" max="12287" width="9.140625" style="7"/>
    <col min="12288" max="12288" width="12.28515625" style="7" customWidth="1"/>
    <col min="12289" max="12289" width="53.5703125" style="7" customWidth="1"/>
    <col min="12290" max="12290" width="11.42578125" style="7" customWidth="1"/>
    <col min="12291" max="12291" width="12.140625" style="7" customWidth="1"/>
    <col min="12292" max="12292" width="21.28515625" style="7" customWidth="1"/>
    <col min="12293" max="12293" width="11.5703125" style="7" customWidth="1"/>
    <col min="12294" max="12294" width="9.140625" style="7"/>
    <col min="12295" max="12295" width="5.140625" style="7" customWidth="1"/>
    <col min="12296" max="12296" width="12" style="7" customWidth="1"/>
    <col min="12297" max="12297" width="9.140625" style="7"/>
    <col min="12298" max="12298" width="1.7109375" style="7" customWidth="1"/>
    <col min="12299" max="12299" width="14.140625" style="7" customWidth="1"/>
    <col min="12300" max="12543" width="9.140625" style="7"/>
    <col min="12544" max="12544" width="12.28515625" style="7" customWidth="1"/>
    <col min="12545" max="12545" width="53.5703125" style="7" customWidth="1"/>
    <col min="12546" max="12546" width="11.42578125" style="7" customWidth="1"/>
    <col min="12547" max="12547" width="12.140625" style="7" customWidth="1"/>
    <col min="12548" max="12548" width="21.28515625" style="7" customWidth="1"/>
    <col min="12549" max="12549" width="11.5703125" style="7" customWidth="1"/>
    <col min="12550" max="12550" width="9.140625" style="7"/>
    <col min="12551" max="12551" width="5.140625" style="7" customWidth="1"/>
    <col min="12552" max="12552" width="12" style="7" customWidth="1"/>
    <col min="12553" max="12553" width="9.140625" style="7"/>
    <col min="12554" max="12554" width="1.7109375" style="7" customWidth="1"/>
    <col min="12555" max="12555" width="14.140625" style="7" customWidth="1"/>
    <col min="12556" max="12799" width="9.140625" style="7"/>
    <col min="12800" max="12800" width="12.28515625" style="7" customWidth="1"/>
    <col min="12801" max="12801" width="53.5703125" style="7" customWidth="1"/>
    <col min="12802" max="12802" width="11.42578125" style="7" customWidth="1"/>
    <col min="12803" max="12803" width="12.140625" style="7" customWidth="1"/>
    <col min="12804" max="12804" width="21.28515625" style="7" customWidth="1"/>
    <col min="12805" max="12805" width="11.5703125" style="7" customWidth="1"/>
    <col min="12806" max="12806" width="9.140625" style="7"/>
    <col min="12807" max="12807" width="5.140625" style="7" customWidth="1"/>
    <col min="12808" max="12808" width="12" style="7" customWidth="1"/>
    <col min="12809" max="12809" width="9.140625" style="7"/>
    <col min="12810" max="12810" width="1.7109375" style="7" customWidth="1"/>
    <col min="12811" max="12811" width="14.140625" style="7" customWidth="1"/>
    <col min="12812" max="13055" width="9.140625" style="7"/>
    <col min="13056" max="13056" width="12.28515625" style="7" customWidth="1"/>
    <col min="13057" max="13057" width="53.5703125" style="7" customWidth="1"/>
    <col min="13058" max="13058" width="11.42578125" style="7" customWidth="1"/>
    <col min="13059" max="13059" width="12.140625" style="7" customWidth="1"/>
    <col min="13060" max="13060" width="21.28515625" style="7" customWidth="1"/>
    <col min="13061" max="13061" width="11.5703125" style="7" customWidth="1"/>
    <col min="13062" max="13062" width="9.140625" style="7"/>
    <col min="13063" max="13063" width="5.140625" style="7" customWidth="1"/>
    <col min="13064" max="13064" width="12" style="7" customWidth="1"/>
    <col min="13065" max="13065" width="9.140625" style="7"/>
    <col min="13066" max="13066" width="1.7109375" style="7" customWidth="1"/>
    <col min="13067" max="13067" width="14.140625" style="7" customWidth="1"/>
    <col min="13068" max="13311" width="9.140625" style="7"/>
    <col min="13312" max="13312" width="12.28515625" style="7" customWidth="1"/>
    <col min="13313" max="13313" width="53.5703125" style="7" customWidth="1"/>
    <col min="13314" max="13314" width="11.42578125" style="7" customWidth="1"/>
    <col min="13315" max="13315" width="12.140625" style="7" customWidth="1"/>
    <col min="13316" max="13316" width="21.28515625" style="7" customWidth="1"/>
    <col min="13317" max="13317" width="11.5703125" style="7" customWidth="1"/>
    <col min="13318" max="13318" width="9.140625" style="7"/>
    <col min="13319" max="13319" width="5.140625" style="7" customWidth="1"/>
    <col min="13320" max="13320" width="12" style="7" customWidth="1"/>
    <col min="13321" max="13321" width="9.140625" style="7"/>
    <col min="13322" max="13322" width="1.7109375" style="7" customWidth="1"/>
    <col min="13323" max="13323" width="14.140625" style="7" customWidth="1"/>
    <col min="13324" max="13567" width="9.140625" style="7"/>
    <col min="13568" max="13568" width="12.28515625" style="7" customWidth="1"/>
    <col min="13569" max="13569" width="53.5703125" style="7" customWidth="1"/>
    <col min="13570" max="13570" width="11.42578125" style="7" customWidth="1"/>
    <col min="13571" max="13571" width="12.140625" style="7" customWidth="1"/>
    <col min="13572" max="13572" width="21.28515625" style="7" customWidth="1"/>
    <col min="13573" max="13573" width="11.5703125" style="7" customWidth="1"/>
    <col min="13574" max="13574" width="9.140625" style="7"/>
    <col min="13575" max="13575" width="5.140625" style="7" customWidth="1"/>
    <col min="13576" max="13576" width="12" style="7" customWidth="1"/>
    <col min="13577" max="13577" width="9.140625" style="7"/>
    <col min="13578" max="13578" width="1.7109375" style="7" customWidth="1"/>
    <col min="13579" max="13579" width="14.140625" style="7" customWidth="1"/>
    <col min="13580" max="13823" width="9.140625" style="7"/>
    <col min="13824" max="13824" width="12.28515625" style="7" customWidth="1"/>
    <col min="13825" max="13825" width="53.5703125" style="7" customWidth="1"/>
    <col min="13826" max="13826" width="11.42578125" style="7" customWidth="1"/>
    <col min="13827" max="13827" width="12.140625" style="7" customWidth="1"/>
    <col min="13828" max="13828" width="21.28515625" style="7" customWidth="1"/>
    <col min="13829" max="13829" width="11.5703125" style="7" customWidth="1"/>
    <col min="13830" max="13830" width="9.140625" style="7"/>
    <col min="13831" max="13831" width="5.140625" style="7" customWidth="1"/>
    <col min="13832" max="13832" width="12" style="7" customWidth="1"/>
    <col min="13833" max="13833" width="9.140625" style="7"/>
    <col min="13834" max="13834" width="1.7109375" style="7" customWidth="1"/>
    <col min="13835" max="13835" width="14.140625" style="7" customWidth="1"/>
    <col min="13836" max="14079" width="9.140625" style="7"/>
    <col min="14080" max="14080" width="12.28515625" style="7" customWidth="1"/>
    <col min="14081" max="14081" width="53.5703125" style="7" customWidth="1"/>
    <col min="14082" max="14082" width="11.42578125" style="7" customWidth="1"/>
    <col min="14083" max="14083" width="12.140625" style="7" customWidth="1"/>
    <col min="14084" max="14084" width="21.28515625" style="7" customWidth="1"/>
    <col min="14085" max="14085" width="11.5703125" style="7" customWidth="1"/>
    <col min="14086" max="14086" width="9.140625" style="7"/>
    <col min="14087" max="14087" width="5.140625" style="7" customWidth="1"/>
    <col min="14088" max="14088" width="12" style="7" customWidth="1"/>
    <col min="14089" max="14089" width="9.140625" style="7"/>
    <col min="14090" max="14090" width="1.7109375" style="7" customWidth="1"/>
    <col min="14091" max="14091" width="14.140625" style="7" customWidth="1"/>
    <col min="14092" max="14335" width="9.140625" style="7"/>
    <col min="14336" max="14336" width="12.28515625" style="7" customWidth="1"/>
    <col min="14337" max="14337" width="53.5703125" style="7" customWidth="1"/>
    <col min="14338" max="14338" width="11.42578125" style="7" customWidth="1"/>
    <col min="14339" max="14339" width="12.140625" style="7" customWidth="1"/>
    <col min="14340" max="14340" width="21.28515625" style="7" customWidth="1"/>
    <col min="14341" max="14341" width="11.5703125" style="7" customWidth="1"/>
    <col min="14342" max="14342" width="9.140625" style="7"/>
    <col min="14343" max="14343" width="5.140625" style="7" customWidth="1"/>
    <col min="14344" max="14344" width="12" style="7" customWidth="1"/>
    <col min="14345" max="14345" width="9.140625" style="7"/>
    <col min="14346" max="14346" width="1.7109375" style="7" customWidth="1"/>
    <col min="14347" max="14347" width="14.140625" style="7" customWidth="1"/>
    <col min="14348" max="14591" width="9.140625" style="7"/>
    <col min="14592" max="14592" width="12.28515625" style="7" customWidth="1"/>
    <col min="14593" max="14593" width="53.5703125" style="7" customWidth="1"/>
    <col min="14594" max="14594" width="11.42578125" style="7" customWidth="1"/>
    <col min="14595" max="14595" width="12.140625" style="7" customWidth="1"/>
    <col min="14596" max="14596" width="21.28515625" style="7" customWidth="1"/>
    <col min="14597" max="14597" width="11.5703125" style="7" customWidth="1"/>
    <col min="14598" max="14598" width="9.140625" style="7"/>
    <col min="14599" max="14599" width="5.140625" style="7" customWidth="1"/>
    <col min="14600" max="14600" width="12" style="7" customWidth="1"/>
    <col min="14601" max="14601" width="9.140625" style="7"/>
    <col min="14602" max="14602" width="1.7109375" style="7" customWidth="1"/>
    <col min="14603" max="14603" width="14.140625" style="7" customWidth="1"/>
    <col min="14604" max="14847" width="9.140625" style="7"/>
    <col min="14848" max="14848" width="12.28515625" style="7" customWidth="1"/>
    <col min="14849" max="14849" width="53.5703125" style="7" customWidth="1"/>
    <col min="14850" max="14850" width="11.42578125" style="7" customWidth="1"/>
    <col min="14851" max="14851" width="12.140625" style="7" customWidth="1"/>
    <col min="14852" max="14852" width="21.28515625" style="7" customWidth="1"/>
    <col min="14853" max="14853" width="11.5703125" style="7" customWidth="1"/>
    <col min="14854" max="14854" width="9.140625" style="7"/>
    <col min="14855" max="14855" width="5.140625" style="7" customWidth="1"/>
    <col min="14856" max="14856" width="12" style="7" customWidth="1"/>
    <col min="14857" max="14857" width="9.140625" style="7"/>
    <col min="14858" max="14858" width="1.7109375" style="7" customWidth="1"/>
    <col min="14859" max="14859" width="14.140625" style="7" customWidth="1"/>
    <col min="14860" max="15103" width="9.140625" style="7"/>
    <col min="15104" max="15104" width="12.28515625" style="7" customWidth="1"/>
    <col min="15105" max="15105" width="53.5703125" style="7" customWidth="1"/>
    <col min="15106" max="15106" width="11.42578125" style="7" customWidth="1"/>
    <col min="15107" max="15107" width="12.140625" style="7" customWidth="1"/>
    <col min="15108" max="15108" width="21.28515625" style="7" customWidth="1"/>
    <col min="15109" max="15109" width="11.5703125" style="7" customWidth="1"/>
    <col min="15110" max="15110" width="9.140625" style="7"/>
    <col min="15111" max="15111" width="5.140625" style="7" customWidth="1"/>
    <col min="15112" max="15112" width="12" style="7" customWidth="1"/>
    <col min="15113" max="15113" width="9.140625" style="7"/>
    <col min="15114" max="15114" width="1.7109375" style="7" customWidth="1"/>
    <col min="15115" max="15115" width="14.140625" style="7" customWidth="1"/>
    <col min="15116" max="15359" width="9.140625" style="7"/>
    <col min="15360" max="15360" width="12.28515625" style="7" customWidth="1"/>
    <col min="15361" max="15361" width="53.5703125" style="7" customWidth="1"/>
    <col min="15362" max="15362" width="11.42578125" style="7" customWidth="1"/>
    <col min="15363" max="15363" width="12.140625" style="7" customWidth="1"/>
    <col min="15364" max="15364" width="21.28515625" style="7" customWidth="1"/>
    <col min="15365" max="15365" width="11.5703125" style="7" customWidth="1"/>
    <col min="15366" max="15366" width="9.140625" style="7"/>
    <col min="15367" max="15367" width="5.140625" style="7" customWidth="1"/>
    <col min="15368" max="15368" width="12" style="7" customWidth="1"/>
    <col min="15369" max="15369" width="9.140625" style="7"/>
    <col min="15370" max="15370" width="1.7109375" style="7" customWidth="1"/>
    <col min="15371" max="15371" width="14.140625" style="7" customWidth="1"/>
    <col min="15372" max="15615" width="9.140625" style="7"/>
    <col min="15616" max="15616" width="12.28515625" style="7" customWidth="1"/>
    <col min="15617" max="15617" width="53.5703125" style="7" customWidth="1"/>
    <col min="15618" max="15618" width="11.42578125" style="7" customWidth="1"/>
    <col min="15619" max="15619" width="12.140625" style="7" customWidth="1"/>
    <col min="15620" max="15620" width="21.28515625" style="7" customWidth="1"/>
    <col min="15621" max="15621" width="11.5703125" style="7" customWidth="1"/>
    <col min="15622" max="15622" width="9.140625" style="7"/>
    <col min="15623" max="15623" width="5.140625" style="7" customWidth="1"/>
    <col min="15624" max="15624" width="12" style="7" customWidth="1"/>
    <col min="15625" max="15625" width="9.140625" style="7"/>
    <col min="15626" max="15626" width="1.7109375" style="7" customWidth="1"/>
    <col min="15627" max="15627" width="14.140625" style="7" customWidth="1"/>
    <col min="15628" max="15871" width="9.140625" style="7"/>
    <col min="15872" max="15872" width="12.28515625" style="7" customWidth="1"/>
    <col min="15873" max="15873" width="53.5703125" style="7" customWidth="1"/>
    <col min="15874" max="15874" width="11.42578125" style="7" customWidth="1"/>
    <col min="15875" max="15875" width="12.140625" style="7" customWidth="1"/>
    <col min="15876" max="15876" width="21.28515625" style="7" customWidth="1"/>
    <col min="15877" max="15877" width="11.5703125" style="7" customWidth="1"/>
    <col min="15878" max="15878" width="9.140625" style="7"/>
    <col min="15879" max="15879" width="5.140625" style="7" customWidth="1"/>
    <col min="15880" max="15880" width="12" style="7" customWidth="1"/>
    <col min="15881" max="15881" width="9.140625" style="7"/>
    <col min="15882" max="15882" width="1.7109375" style="7" customWidth="1"/>
    <col min="15883" max="15883" width="14.140625" style="7" customWidth="1"/>
    <col min="15884" max="16127" width="9.140625" style="7"/>
    <col min="16128" max="16128" width="12.28515625" style="7" customWidth="1"/>
    <col min="16129" max="16129" width="53.5703125" style="7" customWidth="1"/>
    <col min="16130" max="16130" width="11.42578125" style="7" customWidth="1"/>
    <col min="16131" max="16131" width="12.140625" style="7" customWidth="1"/>
    <col min="16132" max="16132" width="21.28515625" style="7" customWidth="1"/>
    <col min="16133" max="16133" width="11.5703125" style="7" customWidth="1"/>
    <col min="16134" max="16134" width="9.140625" style="7"/>
    <col min="16135" max="16135" width="5.140625" style="7" customWidth="1"/>
    <col min="16136" max="16136" width="12" style="7" customWidth="1"/>
    <col min="16137" max="16137" width="9.140625" style="7"/>
    <col min="16138" max="16138" width="1.7109375" style="7" customWidth="1"/>
    <col min="16139" max="16139" width="14.140625" style="7" customWidth="1"/>
    <col min="16140" max="16384" width="9.140625" style="7"/>
  </cols>
  <sheetData>
    <row r="1" spans="1:12" ht="58.5" customHeight="1" x14ac:dyDescent="0.3">
      <c r="A1" s="12"/>
      <c r="B1" s="12"/>
      <c r="C1" s="12"/>
      <c r="D1" s="12"/>
      <c r="E1" s="12"/>
      <c r="F1" s="12"/>
      <c r="G1" s="12"/>
      <c r="H1" s="12"/>
      <c r="I1" s="12"/>
      <c r="J1" s="12"/>
      <c r="K1" s="41"/>
      <c r="L1" s="41"/>
    </row>
    <row r="2" spans="1:12" ht="15" customHeight="1" x14ac:dyDescent="0.2"/>
    <row r="3" spans="1:12" ht="26.25" customHeight="1" thickBot="1" x14ac:dyDescent="0.25">
      <c r="A3" s="4" t="s">
        <v>0</v>
      </c>
      <c r="B3" s="31">
        <f>'Validator Notes'!B4</f>
        <v>0</v>
      </c>
      <c r="J3" s="32"/>
      <c r="K3" s="32"/>
      <c r="L3" s="32"/>
    </row>
    <row r="4" spans="1:12" ht="24.75" customHeight="1" thickBot="1" x14ac:dyDescent="0.25">
      <c r="A4" s="4" t="s">
        <v>1</v>
      </c>
      <c r="B4" s="175">
        <f>'Validator Notes'!B5</f>
        <v>0</v>
      </c>
    </row>
    <row r="5" spans="1:12" ht="25.5" customHeight="1" thickBot="1" x14ac:dyDescent="0.25">
      <c r="A5" s="4" t="s">
        <v>2</v>
      </c>
      <c r="B5" s="33" t="str">
        <f>'Validator Notes'!B6</f>
        <v>Aengstrom</v>
      </c>
    </row>
    <row r="6" spans="1:12" ht="15" customHeight="1" thickBot="1" x14ac:dyDescent="0.25"/>
    <row r="7" spans="1:12" ht="15" customHeight="1" x14ac:dyDescent="0.2">
      <c r="A7" s="68"/>
      <c r="B7" s="69"/>
      <c r="C7" s="300" t="s">
        <v>3</v>
      </c>
      <c r="D7" s="300"/>
      <c r="E7" s="70" t="s">
        <v>4</v>
      </c>
      <c r="F7" s="300" t="s">
        <v>5</v>
      </c>
      <c r="G7" s="300"/>
      <c r="H7" s="300"/>
      <c r="I7" s="300"/>
      <c r="J7" s="300"/>
      <c r="K7" s="70"/>
      <c r="L7" s="71" t="s">
        <v>6</v>
      </c>
    </row>
    <row r="8" spans="1:12" ht="15" customHeight="1" x14ac:dyDescent="0.2">
      <c r="A8" s="94" t="s">
        <v>7</v>
      </c>
      <c r="B8" s="51" t="s">
        <v>8</v>
      </c>
      <c r="C8" s="72" t="s">
        <v>86</v>
      </c>
      <c r="D8" s="72" t="s">
        <v>85</v>
      </c>
      <c r="E8" s="72" t="s">
        <v>9</v>
      </c>
      <c r="F8" s="72" t="s">
        <v>6</v>
      </c>
      <c r="G8" s="72" t="s">
        <v>10</v>
      </c>
      <c r="H8" s="73" t="s">
        <v>11</v>
      </c>
      <c r="I8" s="72" t="s">
        <v>6</v>
      </c>
      <c r="J8" s="72" t="s">
        <v>10</v>
      </c>
      <c r="K8" s="72"/>
      <c r="L8" s="74" t="s">
        <v>12</v>
      </c>
    </row>
    <row r="9" spans="1:12" ht="33" customHeight="1" x14ac:dyDescent="0.2">
      <c r="A9" s="47"/>
      <c r="B9" s="45"/>
      <c r="C9" s="46"/>
      <c r="D9" s="46"/>
      <c r="E9" s="45"/>
      <c r="F9" s="48"/>
      <c r="G9" s="49"/>
      <c r="H9" s="50"/>
      <c r="I9" s="48"/>
      <c r="J9" s="49"/>
      <c r="K9" s="50"/>
      <c r="L9" s="48"/>
    </row>
    <row r="10" spans="1:12" ht="33" customHeight="1" x14ac:dyDescent="0.2">
      <c r="A10" s="47"/>
      <c r="B10" s="45"/>
      <c r="C10" s="46"/>
      <c r="D10" s="46"/>
      <c r="E10" s="45"/>
      <c r="F10" s="48"/>
      <c r="G10" s="49"/>
      <c r="H10" s="50"/>
      <c r="I10" s="48"/>
      <c r="J10" s="49"/>
      <c r="K10" s="50"/>
      <c r="L10" s="48"/>
    </row>
    <row r="11" spans="1:12" ht="33" customHeight="1" x14ac:dyDescent="0.2">
      <c r="A11" s="47"/>
      <c r="B11" s="45"/>
      <c r="C11" s="46"/>
      <c r="D11" s="46"/>
      <c r="E11" s="45"/>
      <c r="F11" s="48"/>
      <c r="G11" s="49"/>
      <c r="H11" s="50"/>
      <c r="I11" s="48"/>
      <c r="J11" s="49"/>
      <c r="K11" s="50"/>
      <c r="L11" s="48"/>
    </row>
    <row r="12" spans="1:12" ht="33" customHeight="1" x14ac:dyDescent="0.2">
      <c r="A12" s="47"/>
      <c r="B12" s="45"/>
      <c r="C12" s="46"/>
      <c r="D12" s="46"/>
      <c r="E12" s="45"/>
      <c r="F12" s="48"/>
      <c r="G12" s="49"/>
      <c r="H12" s="50"/>
      <c r="I12" s="48"/>
      <c r="J12" s="49"/>
      <c r="K12" s="50"/>
      <c r="L12" s="48"/>
    </row>
    <row r="13" spans="1:12" ht="33" customHeight="1" x14ac:dyDescent="0.2">
      <c r="A13" s="47"/>
      <c r="B13" s="45"/>
      <c r="C13" s="46"/>
      <c r="D13" s="46"/>
      <c r="E13" s="45"/>
      <c r="F13" s="48"/>
      <c r="G13" s="49"/>
      <c r="H13" s="50"/>
      <c r="I13" s="48"/>
      <c r="J13" s="49"/>
      <c r="K13" s="50"/>
      <c r="L13" s="48"/>
    </row>
    <row r="14" spans="1:12" ht="33" customHeight="1" x14ac:dyDescent="0.2">
      <c r="A14" s="47"/>
      <c r="B14" s="45"/>
      <c r="C14" s="46"/>
      <c r="D14" s="46"/>
      <c r="E14" s="45"/>
      <c r="F14" s="48"/>
      <c r="G14" s="49"/>
      <c r="H14" s="50"/>
      <c r="I14" s="48"/>
      <c r="J14" s="49"/>
      <c r="K14" s="50"/>
      <c r="L14" s="48"/>
    </row>
    <row r="15" spans="1:12" ht="33" customHeight="1" x14ac:dyDescent="0.2">
      <c r="A15" s="47"/>
      <c r="B15" s="45"/>
      <c r="C15" s="46"/>
      <c r="D15" s="46"/>
      <c r="E15" s="45"/>
      <c r="F15" s="48"/>
      <c r="G15" s="49"/>
      <c r="H15" s="50"/>
      <c r="I15" s="48"/>
      <c r="J15" s="49"/>
      <c r="K15" s="50"/>
      <c r="L15" s="48"/>
    </row>
    <row r="16" spans="1:12" ht="33" customHeight="1" x14ac:dyDescent="0.2">
      <c r="A16" s="47"/>
      <c r="B16" s="45"/>
      <c r="C16" s="46"/>
      <c r="D16" s="46"/>
      <c r="E16" s="45"/>
      <c r="F16" s="48"/>
      <c r="G16" s="49"/>
      <c r="H16" s="50"/>
      <c r="I16" s="48"/>
      <c r="J16" s="49"/>
      <c r="K16" s="50"/>
      <c r="L16" s="48"/>
    </row>
    <row r="17" spans="1:12" ht="33" customHeight="1" x14ac:dyDescent="0.2">
      <c r="A17" s="47"/>
      <c r="B17" s="45"/>
      <c r="C17" s="46"/>
      <c r="D17" s="46"/>
      <c r="E17" s="45"/>
      <c r="F17" s="48"/>
      <c r="G17" s="49"/>
      <c r="H17" s="50"/>
      <c r="I17" s="48"/>
      <c r="J17" s="49"/>
      <c r="K17" s="50"/>
      <c r="L17" s="48"/>
    </row>
    <row r="18" spans="1:12" ht="33" customHeight="1" x14ac:dyDescent="0.2">
      <c r="A18" s="47"/>
      <c r="B18" s="45"/>
      <c r="C18" s="46"/>
      <c r="D18" s="46"/>
      <c r="E18" s="45"/>
      <c r="F18" s="48"/>
      <c r="G18" s="49"/>
      <c r="H18" s="50"/>
      <c r="I18" s="48"/>
      <c r="J18" s="49"/>
      <c r="K18" s="50"/>
      <c r="L18" s="48"/>
    </row>
    <row r="19" spans="1:12" ht="33" customHeight="1" x14ac:dyDescent="0.2">
      <c r="A19" s="47"/>
      <c r="B19" s="45"/>
      <c r="C19" s="46"/>
      <c r="D19" s="46"/>
      <c r="E19" s="45"/>
      <c r="F19" s="48"/>
      <c r="G19" s="127"/>
      <c r="H19" s="50"/>
      <c r="I19" s="48"/>
      <c r="J19" s="49"/>
      <c r="K19" s="50"/>
      <c r="L19" s="48"/>
    </row>
    <row r="20" spans="1:12" ht="33" customHeight="1" x14ac:dyDescent="0.2">
      <c r="A20" s="47"/>
      <c r="B20" s="45"/>
      <c r="C20" s="46"/>
      <c r="D20" s="46"/>
      <c r="E20" s="45"/>
      <c r="F20" s="48"/>
      <c r="G20" s="49"/>
      <c r="H20" s="50"/>
      <c r="I20" s="48"/>
      <c r="J20" s="49"/>
      <c r="K20" s="50"/>
      <c r="L20" s="48"/>
    </row>
    <row r="21" spans="1:12" ht="33" customHeight="1" x14ac:dyDescent="0.2">
      <c r="A21" s="47"/>
      <c r="B21" s="45"/>
      <c r="C21" s="46"/>
      <c r="D21" s="46"/>
      <c r="E21" s="45"/>
      <c r="F21" s="48"/>
      <c r="G21" s="127"/>
      <c r="H21" s="50"/>
      <c r="I21" s="48"/>
      <c r="J21" s="49"/>
      <c r="K21" s="50"/>
      <c r="L21" s="48"/>
    </row>
    <row r="22" spans="1:12" ht="33" customHeight="1" x14ac:dyDescent="0.2">
      <c r="A22" s="47"/>
      <c r="B22" s="45"/>
      <c r="C22" s="46"/>
      <c r="D22" s="46"/>
      <c r="E22" s="45"/>
      <c r="F22" s="48"/>
      <c r="G22" s="127"/>
      <c r="H22" s="50"/>
      <c r="I22" s="48"/>
      <c r="J22" s="49"/>
      <c r="K22" s="50"/>
      <c r="L22" s="48"/>
    </row>
    <row r="23" spans="1:12" ht="33" customHeight="1" x14ac:dyDescent="0.2">
      <c r="A23" s="47"/>
      <c r="B23" s="45"/>
      <c r="C23" s="46"/>
      <c r="D23" s="46"/>
      <c r="E23" s="45"/>
      <c r="F23" s="48"/>
      <c r="G23" s="127"/>
      <c r="H23" s="50"/>
      <c r="I23" s="48"/>
      <c r="J23" s="49"/>
      <c r="K23" s="50"/>
      <c r="L23" s="48"/>
    </row>
    <row r="24" spans="1:12" ht="33" customHeight="1" x14ac:dyDescent="0.2">
      <c r="A24" s="47"/>
      <c r="B24" s="45"/>
      <c r="C24" s="46"/>
      <c r="D24" s="46"/>
      <c r="E24" s="45"/>
      <c r="F24" s="48"/>
      <c r="G24" s="127"/>
      <c r="H24" s="50"/>
      <c r="I24" s="48"/>
      <c r="J24" s="49"/>
      <c r="K24" s="50"/>
      <c r="L24" s="48"/>
    </row>
    <row r="25" spans="1:12" ht="33" customHeight="1" x14ac:dyDescent="0.2">
      <c r="A25" s="47"/>
      <c r="B25" s="45"/>
      <c r="C25" s="46"/>
      <c r="D25" s="46"/>
      <c r="E25" s="45"/>
      <c r="F25" s="48"/>
      <c r="G25" s="127"/>
      <c r="H25" s="50"/>
      <c r="I25" s="48"/>
      <c r="J25" s="49"/>
      <c r="K25" s="50"/>
      <c r="L25" s="48"/>
    </row>
    <row r="26" spans="1:12" ht="33" customHeight="1" x14ac:dyDescent="0.2">
      <c r="A26" s="47"/>
      <c r="B26" s="45"/>
      <c r="C26" s="46"/>
      <c r="D26" s="46"/>
      <c r="E26" s="45"/>
      <c r="F26" s="48"/>
      <c r="G26" s="127"/>
      <c r="H26" s="50"/>
      <c r="I26" s="48"/>
      <c r="J26" s="49"/>
      <c r="K26" s="50"/>
      <c r="L26" s="48"/>
    </row>
    <row r="27" spans="1:12" ht="33" customHeight="1" x14ac:dyDescent="0.2">
      <c r="A27" s="47"/>
      <c r="B27" s="45"/>
      <c r="C27" s="46"/>
      <c r="D27" s="46"/>
      <c r="E27" s="45"/>
      <c r="F27" s="48"/>
      <c r="G27" s="127"/>
      <c r="H27" s="50"/>
      <c r="I27" s="48"/>
      <c r="J27" s="49"/>
      <c r="K27" s="50"/>
      <c r="L27" s="48"/>
    </row>
    <row r="28" spans="1:12" ht="33" customHeight="1" x14ac:dyDescent="0.2">
      <c r="A28" s="47"/>
      <c r="B28" s="45"/>
      <c r="C28" s="46"/>
      <c r="D28" s="46"/>
      <c r="E28" s="45"/>
      <c r="F28" s="48"/>
      <c r="G28" s="127"/>
      <c r="H28" s="50"/>
      <c r="I28" s="48"/>
      <c r="J28" s="49"/>
      <c r="K28" s="50"/>
      <c r="L28" s="48"/>
    </row>
    <row r="29" spans="1:12" ht="33" customHeight="1" x14ac:dyDescent="0.2">
      <c r="A29" s="47"/>
      <c r="B29" s="45"/>
      <c r="C29" s="46"/>
      <c r="D29" s="46"/>
      <c r="E29" s="45"/>
      <c r="F29" s="48"/>
      <c r="G29" s="127"/>
      <c r="H29" s="50"/>
      <c r="I29" s="48"/>
      <c r="J29" s="49"/>
      <c r="K29" s="50"/>
      <c r="L29" s="48"/>
    </row>
    <row r="30" spans="1:12" ht="33" customHeight="1" thickBot="1" x14ac:dyDescent="0.25">
      <c r="A30" s="47"/>
      <c r="B30" s="45"/>
      <c r="C30" s="46"/>
      <c r="D30" s="46"/>
      <c r="E30" s="45"/>
      <c r="F30" s="48"/>
      <c r="G30" s="127"/>
      <c r="H30" s="50"/>
      <c r="I30" s="48"/>
      <c r="J30" s="49"/>
      <c r="K30" s="50"/>
      <c r="L30" s="48"/>
    </row>
    <row r="31" spans="1:12" ht="15" customHeight="1" x14ac:dyDescent="0.2">
      <c r="A31" s="68"/>
      <c r="B31" s="69"/>
      <c r="C31" s="300" t="s">
        <v>3</v>
      </c>
      <c r="D31" s="300"/>
      <c r="E31" s="70" t="s">
        <v>4</v>
      </c>
      <c r="F31" s="300" t="s">
        <v>5</v>
      </c>
      <c r="G31" s="300"/>
      <c r="H31" s="300"/>
      <c r="I31" s="300"/>
      <c r="J31" s="300"/>
      <c r="K31" s="70"/>
      <c r="L31" s="71" t="s">
        <v>6</v>
      </c>
    </row>
    <row r="32" spans="1:12" ht="15" customHeight="1" x14ac:dyDescent="0.2">
      <c r="A32" s="94" t="s">
        <v>7</v>
      </c>
      <c r="B32" s="51" t="s">
        <v>8</v>
      </c>
      <c r="C32" s="72" t="s">
        <v>86</v>
      </c>
      <c r="D32" s="72" t="s">
        <v>85</v>
      </c>
      <c r="E32" s="72" t="s">
        <v>9</v>
      </c>
      <c r="F32" s="72" t="s">
        <v>6</v>
      </c>
      <c r="G32" s="72" t="s">
        <v>10</v>
      </c>
      <c r="H32" s="73" t="s">
        <v>11</v>
      </c>
      <c r="I32" s="72" t="s">
        <v>6</v>
      </c>
      <c r="J32" s="72" t="s">
        <v>10</v>
      </c>
      <c r="K32" s="72"/>
      <c r="L32" s="74" t="s">
        <v>12</v>
      </c>
    </row>
    <row r="33" spans="1:12" ht="33" customHeight="1" x14ac:dyDescent="0.2">
      <c r="A33" s="47"/>
      <c r="B33" s="45"/>
      <c r="C33" s="46"/>
      <c r="D33" s="46"/>
      <c r="E33" s="45"/>
      <c r="F33" s="48"/>
      <c r="G33" s="49"/>
      <c r="H33" s="50"/>
      <c r="I33" s="48"/>
      <c r="J33" s="49"/>
      <c r="K33" s="50"/>
      <c r="L33" s="48"/>
    </row>
    <row r="34" spans="1:12" ht="33" customHeight="1" x14ac:dyDescent="0.2">
      <c r="A34" s="47"/>
      <c r="B34" s="45"/>
      <c r="C34" s="46"/>
      <c r="D34" s="46"/>
      <c r="E34" s="45"/>
      <c r="F34" s="48"/>
      <c r="G34" s="127"/>
      <c r="H34" s="50"/>
      <c r="I34" s="48"/>
      <c r="J34" s="49"/>
      <c r="K34" s="50"/>
      <c r="L34" s="48"/>
    </row>
    <row r="35" spans="1:12" ht="33" customHeight="1" x14ac:dyDescent="0.2">
      <c r="A35" s="47"/>
      <c r="B35" s="45"/>
      <c r="C35" s="46"/>
      <c r="D35" s="46"/>
      <c r="E35" s="45"/>
      <c r="F35" s="48"/>
      <c r="G35" s="49"/>
      <c r="H35" s="50"/>
      <c r="I35" s="48"/>
      <c r="J35" s="49"/>
      <c r="K35" s="50"/>
      <c r="L35" s="48"/>
    </row>
    <row r="36" spans="1:12" ht="33" customHeight="1" x14ac:dyDescent="0.2">
      <c r="A36" s="47"/>
      <c r="B36" s="45"/>
      <c r="C36" s="46"/>
      <c r="D36" s="46"/>
      <c r="E36" s="45"/>
      <c r="F36" s="48"/>
      <c r="G36" s="49"/>
      <c r="H36" s="50"/>
      <c r="I36" s="48"/>
      <c r="J36" s="49"/>
      <c r="K36" s="50"/>
      <c r="L36" s="48"/>
    </row>
    <row r="37" spans="1:12" ht="33" customHeight="1" x14ac:dyDescent="0.2">
      <c r="A37" s="47"/>
      <c r="B37" s="45"/>
      <c r="C37" s="46"/>
      <c r="D37" s="46"/>
      <c r="E37" s="45"/>
      <c r="F37" s="48"/>
      <c r="G37" s="49"/>
      <c r="H37" s="50"/>
      <c r="I37" s="48"/>
      <c r="J37" s="49"/>
      <c r="K37" s="50"/>
      <c r="L37" s="48"/>
    </row>
    <row r="38" spans="1:12" ht="33" customHeight="1" x14ac:dyDescent="0.2">
      <c r="A38" s="47"/>
      <c r="B38" s="45"/>
      <c r="C38" s="46"/>
      <c r="D38" s="46"/>
      <c r="E38" s="45"/>
      <c r="F38" s="48"/>
      <c r="G38" s="49"/>
      <c r="H38" s="50"/>
      <c r="I38" s="48"/>
      <c r="J38" s="49"/>
      <c r="K38" s="50"/>
      <c r="L38" s="48"/>
    </row>
    <row r="39" spans="1:12" ht="33" customHeight="1" x14ac:dyDescent="0.2">
      <c r="A39" s="47"/>
      <c r="B39" s="45"/>
      <c r="C39" s="46"/>
      <c r="D39" s="46"/>
      <c r="E39" s="45"/>
      <c r="F39" s="48"/>
      <c r="G39" s="49"/>
      <c r="H39" s="50"/>
      <c r="I39" s="48"/>
      <c r="J39" s="49"/>
      <c r="K39" s="50"/>
      <c r="L39" s="48"/>
    </row>
    <row r="40" spans="1:12" ht="33" customHeight="1" x14ac:dyDescent="0.2">
      <c r="A40" s="47"/>
      <c r="B40" s="45"/>
      <c r="C40" s="46"/>
      <c r="D40" s="46"/>
      <c r="E40" s="45"/>
      <c r="F40" s="48"/>
      <c r="G40" s="49"/>
      <c r="H40" s="50"/>
      <c r="I40" s="48"/>
      <c r="J40" s="49"/>
      <c r="K40" s="50"/>
      <c r="L40" s="48"/>
    </row>
    <row r="41" spans="1:12" ht="33" customHeight="1" x14ac:dyDescent="0.2">
      <c r="A41" s="47"/>
      <c r="B41" s="45"/>
      <c r="C41" s="46"/>
      <c r="D41" s="46"/>
      <c r="E41" s="45"/>
      <c r="F41" s="48"/>
      <c r="G41" s="49"/>
      <c r="H41" s="50"/>
      <c r="I41" s="48"/>
      <c r="J41" s="49"/>
      <c r="K41" s="50"/>
      <c r="L41" s="48"/>
    </row>
    <row r="42" spans="1:12" ht="33" customHeight="1" x14ac:dyDescent="0.2">
      <c r="A42" s="47"/>
      <c r="B42" s="45"/>
      <c r="C42" s="46"/>
      <c r="D42" s="46"/>
      <c r="E42" s="45"/>
      <c r="F42" s="48"/>
      <c r="G42" s="49"/>
      <c r="H42" s="50"/>
      <c r="I42" s="48"/>
      <c r="J42" s="49"/>
      <c r="K42" s="50"/>
      <c r="L42" s="48"/>
    </row>
    <row r="43" spans="1:12" ht="33" customHeight="1" x14ac:dyDescent="0.2">
      <c r="A43" s="47"/>
      <c r="B43" s="45"/>
      <c r="C43" s="46"/>
      <c r="D43" s="46"/>
      <c r="E43" s="45"/>
      <c r="F43" s="48"/>
      <c r="G43" s="49"/>
      <c r="H43" s="50"/>
      <c r="I43" s="48"/>
      <c r="J43" s="49"/>
      <c r="K43" s="50"/>
      <c r="L43" s="48"/>
    </row>
    <row r="44" spans="1:12" ht="33" customHeight="1" x14ac:dyDescent="0.2">
      <c r="A44" s="47"/>
      <c r="B44" s="45"/>
      <c r="C44" s="46"/>
      <c r="D44" s="46"/>
      <c r="E44" s="45"/>
      <c r="F44" s="48"/>
      <c r="G44" s="49"/>
      <c r="H44" s="50"/>
      <c r="I44" s="48"/>
      <c r="J44" s="49"/>
      <c r="K44" s="50"/>
      <c r="L44" s="48"/>
    </row>
    <row r="45" spans="1:12" ht="33" customHeight="1" x14ac:dyDescent="0.2">
      <c r="A45" s="47"/>
      <c r="B45" s="45"/>
      <c r="C45" s="46"/>
      <c r="D45" s="46"/>
      <c r="E45" s="45"/>
      <c r="F45" s="48"/>
      <c r="G45" s="49"/>
      <c r="H45" s="50"/>
      <c r="I45" s="48"/>
      <c r="J45" s="49"/>
      <c r="K45" s="50"/>
      <c r="L45" s="48"/>
    </row>
    <row r="46" spans="1:12" ht="33" customHeight="1" x14ac:dyDescent="0.2">
      <c r="A46" s="47"/>
      <c r="B46" s="45"/>
      <c r="C46" s="46"/>
      <c r="D46" s="46"/>
      <c r="E46" s="45"/>
      <c r="F46" s="48"/>
      <c r="G46" s="49"/>
      <c r="H46" s="50"/>
      <c r="I46" s="48"/>
      <c r="J46" s="49"/>
      <c r="K46" s="50"/>
      <c r="L46" s="48"/>
    </row>
    <row r="47" spans="1:12" ht="33" customHeight="1" x14ac:dyDescent="0.2">
      <c r="A47" s="47"/>
      <c r="B47" s="45"/>
      <c r="C47" s="46"/>
      <c r="D47" s="46"/>
      <c r="E47" s="45"/>
      <c r="F47" s="48"/>
      <c r="G47" s="49"/>
      <c r="H47" s="50"/>
      <c r="I47" s="48"/>
      <c r="J47" s="49"/>
      <c r="K47" s="50"/>
      <c r="L47" s="48"/>
    </row>
    <row r="48" spans="1:12" ht="33" customHeight="1" x14ac:dyDescent="0.2">
      <c r="A48" s="47"/>
      <c r="B48" s="45"/>
      <c r="C48" s="46"/>
      <c r="D48" s="46"/>
      <c r="E48" s="45"/>
      <c r="F48" s="48"/>
      <c r="G48" s="49"/>
      <c r="H48" s="50"/>
      <c r="I48" s="48"/>
      <c r="J48" s="49"/>
      <c r="K48" s="50"/>
      <c r="L48" s="48"/>
    </row>
    <row r="49" spans="1:12" ht="33" customHeight="1" x14ac:dyDescent="0.2">
      <c r="A49" s="47"/>
      <c r="B49" s="45"/>
      <c r="C49" s="46"/>
      <c r="D49" s="46"/>
      <c r="E49" s="45"/>
      <c r="F49" s="48"/>
      <c r="G49" s="49"/>
      <c r="H49" s="50"/>
      <c r="I49" s="48"/>
      <c r="J49" s="49"/>
      <c r="K49" s="50"/>
      <c r="L49" s="48"/>
    </row>
    <row r="50" spans="1:12" ht="33" customHeight="1" x14ac:dyDescent="0.2">
      <c r="A50" s="47"/>
      <c r="B50" s="45"/>
      <c r="C50" s="46"/>
      <c r="D50" s="46"/>
      <c r="E50" s="45"/>
      <c r="F50" s="48"/>
      <c r="G50" s="49"/>
      <c r="H50" s="50"/>
      <c r="I50" s="48"/>
      <c r="J50" s="49"/>
      <c r="K50" s="50"/>
      <c r="L50" s="48"/>
    </row>
    <row r="51" spans="1:12" ht="33" customHeight="1" x14ac:dyDescent="0.2">
      <c r="A51" s="47"/>
      <c r="B51" s="45"/>
      <c r="C51" s="46"/>
      <c r="D51" s="46"/>
      <c r="E51" s="45"/>
      <c r="F51" s="48"/>
      <c r="G51" s="49"/>
      <c r="H51" s="50"/>
      <c r="I51" s="48"/>
      <c r="J51" s="49"/>
      <c r="K51" s="50"/>
      <c r="L51" s="48"/>
    </row>
    <row r="52" spans="1:12" ht="33" customHeight="1" x14ac:dyDescent="0.2">
      <c r="A52" s="47"/>
      <c r="B52" s="45"/>
      <c r="C52" s="46"/>
      <c r="D52" s="46"/>
      <c r="E52" s="45"/>
      <c r="F52" s="48"/>
      <c r="G52" s="49"/>
      <c r="H52" s="50"/>
      <c r="I52" s="48"/>
      <c r="J52" s="49"/>
      <c r="K52" s="50"/>
      <c r="L52" s="48"/>
    </row>
    <row r="53" spans="1:12" ht="33" customHeight="1" x14ac:dyDescent="0.2">
      <c r="A53" s="47"/>
      <c r="B53" s="45"/>
      <c r="C53" s="46"/>
      <c r="D53" s="46"/>
      <c r="E53" s="45"/>
      <c r="F53" s="48"/>
      <c r="G53" s="49"/>
      <c r="H53" s="50"/>
      <c r="I53" s="48"/>
      <c r="J53" s="49"/>
      <c r="K53" s="50"/>
      <c r="L53" s="48"/>
    </row>
    <row r="54" spans="1:12" ht="33" customHeight="1" x14ac:dyDescent="0.2">
      <c r="A54" s="47"/>
      <c r="B54" s="45"/>
      <c r="C54" s="46"/>
      <c r="D54" s="46"/>
      <c r="E54" s="45"/>
      <c r="F54" s="48"/>
      <c r="G54" s="49"/>
      <c r="H54" s="50"/>
      <c r="I54" s="48"/>
      <c r="J54" s="49"/>
      <c r="K54" s="50"/>
      <c r="L54" s="48"/>
    </row>
    <row r="55" spans="1:12" ht="33" customHeight="1" x14ac:dyDescent="0.2">
      <c r="A55" s="47"/>
      <c r="B55" s="45"/>
      <c r="C55" s="46"/>
      <c r="D55" s="46"/>
      <c r="E55" s="45"/>
      <c r="F55" s="48"/>
      <c r="G55" s="49"/>
      <c r="H55" s="50"/>
      <c r="I55" s="48"/>
      <c r="J55" s="49"/>
      <c r="K55" s="50"/>
      <c r="L55" s="48"/>
    </row>
    <row r="56" spans="1:12" ht="33" customHeight="1" x14ac:dyDescent="0.2">
      <c r="A56" s="47"/>
      <c r="B56" s="45"/>
      <c r="C56" s="46"/>
      <c r="D56" s="46"/>
      <c r="E56" s="45"/>
      <c r="F56" s="48"/>
      <c r="G56" s="49"/>
      <c r="H56" s="50"/>
      <c r="I56" s="48"/>
      <c r="J56" s="49"/>
      <c r="K56" s="50"/>
      <c r="L56" s="48"/>
    </row>
    <row r="57" spans="1:12" ht="33" customHeight="1" x14ac:dyDescent="0.2">
      <c r="A57" s="47"/>
      <c r="B57" s="45"/>
      <c r="C57" s="46"/>
      <c r="D57" s="46"/>
      <c r="E57" s="45"/>
      <c r="F57" s="48"/>
      <c r="G57" s="49"/>
      <c r="H57" s="50"/>
      <c r="I57" s="48"/>
      <c r="J57" s="49"/>
      <c r="K57" s="50"/>
      <c r="L57" s="48"/>
    </row>
    <row r="58" spans="1:12" ht="33" customHeight="1" x14ac:dyDescent="0.2">
      <c r="A58" s="47"/>
      <c r="B58" s="45"/>
      <c r="C58" s="46"/>
      <c r="D58" s="46"/>
      <c r="E58" s="45"/>
      <c r="F58" s="48"/>
      <c r="G58" s="49"/>
      <c r="H58" s="50"/>
      <c r="I58" s="48"/>
      <c r="J58" s="49"/>
      <c r="K58" s="50"/>
      <c r="L58" s="48"/>
    </row>
    <row r="59" spans="1:12" ht="33" customHeight="1" thickBot="1" x14ac:dyDescent="0.25">
      <c r="A59" s="47"/>
      <c r="B59" s="45"/>
      <c r="C59" s="46"/>
      <c r="D59" s="46"/>
      <c r="E59" s="45"/>
      <c r="F59" s="48"/>
      <c r="G59" s="49"/>
      <c r="H59" s="50"/>
      <c r="I59" s="48"/>
      <c r="J59" s="49"/>
      <c r="K59" s="50"/>
      <c r="L59" s="48"/>
    </row>
    <row r="60" spans="1:12" ht="15" customHeight="1" x14ac:dyDescent="0.2">
      <c r="A60" s="68"/>
      <c r="B60" s="69"/>
      <c r="C60" s="300" t="s">
        <v>3</v>
      </c>
      <c r="D60" s="300"/>
      <c r="E60" s="70" t="s">
        <v>4</v>
      </c>
      <c r="F60" s="300" t="s">
        <v>5</v>
      </c>
      <c r="G60" s="300"/>
      <c r="H60" s="300"/>
      <c r="I60" s="300"/>
      <c r="J60" s="300"/>
      <c r="K60" s="70"/>
      <c r="L60" s="71" t="s">
        <v>6</v>
      </c>
    </row>
    <row r="61" spans="1:12" ht="15" customHeight="1" x14ac:dyDescent="0.2">
      <c r="A61" s="94" t="s">
        <v>7</v>
      </c>
      <c r="B61" s="51" t="s">
        <v>8</v>
      </c>
      <c r="C61" s="72" t="s">
        <v>86</v>
      </c>
      <c r="D61" s="72" t="s">
        <v>85</v>
      </c>
      <c r="E61" s="72" t="s">
        <v>9</v>
      </c>
      <c r="F61" s="72" t="s">
        <v>6</v>
      </c>
      <c r="G61" s="72" t="s">
        <v>10</v>
      </c>
      <c r="H61" s="73" t="s">
        <v>11</v>
      </c>
      <c r="I61" s="72" t="s">
        <v>6</v>
      </c>
      <c r="J61" s="72" t="s">
        <v>10</v>
      </c>
      <c r="K61" s="72"/>
      <c r="L61" s="74" t="s">
        <v>12</v>
      </c>
    </row>
    <row r="62" spans="1:12" ht="33" customHeight="1" x14ac:dyDescent="0.2">
      <c r="A62" s="47"/>
      <c r="B62" s="45"/>
      <c r="C62" s="46"/>
      <c r="D62" s="46"/>
      <c r="E62" s="45"/>
      <c r="F62" s="48"/>
      <c r="G62" s="49"/>
      <c r="H62" s="50"/>
      <c r="I62" s="48"/>
      <c r="J62" s="49"/>
      <c r="K62" s="50"/>
      <c r="L62" s="48"/>
    </row>
    <row r="63" spans="1:12" ht="33" customHeight="1" x14ac:dyDescent="0.2">
      <c r="A63" s="47"/>
      <c r="B63" s="45"/>
      <c r="C63" s="46"/>
      <c r="D63" s="46"/>
      <c r="E63" s="45"/>
      <c r="F63" s="48"/>
      <c r="G63" s="49"/>
      <c r="H63" s="50"/>
      <c r="I63" s="48"/>
      <c r="J63" s="49"/>
      <c r="K63" s="50"/>
      <c r="L63" s="48"/>
    </row>
    <row r="64" spans="1:12" ht="33" customHeight="1" x14ac:dyDescent="0.2">
      <c r="A64" s="47"/>
      <c r="B64" s="45"/>
      <c r="C64" s="46"/>
      <c r="D64" s="46"/>
      <c r="E64" s="45"/>
      <c r="F64" s="48"/>
      <c r="G64" s="49"/>
      <c r="H64" s="50"/>
      <c r="I64" s="48"/>
      <c r="J64" s="49"/>
      <c r="K64" s="50"/>
      <c r="L64" s="48"/>
    </row>
    <row r="65" spans="1:12" ht="33" customHeight="1" x14ac:dyDescent="0.2">
      <c r="A65" s="47"/>
      <c r="B65" s="45"/>
      <c r="C65" s="46"/>
      <c r="D65" s="46"/>
      <c r="E65" s="45"/>
      <c r="F65" s="48"/>
      <c r="G65" s="49"/>
      <c r="H65" s="50"/>
      <c r="I65" s="48"/>
      <c r="J65" s="49"/>
      <c r="K65" s="50"/>
      <c r="L65" s="48"/>
    </row>
    <row r="66" spans="1:12" ht="33" customHeight="1" x14ac:dyDescent="0.2">
      <c r="A66" s="47"/>
      <c r="B66" s="45"/>
      <c r="C66" s="46"/>
      <c r="D66" s="46"/>
      <c r="E66" s="45"/>
      <c r="F66" s="48"/>
      <c r="G66" s="49"/>
      <c r="H66" s="50"/>
      <c r="I66" s="48"/>
      <c r="J66" s="49"/>
      <c r="K66" s="50"/>
      <c r="L66" s="48"/>
    </row>
    <row r="67" spans="1:12" ht="33" customHeight="1" x14ac:dyDescent="0.2">
      <c r="A67" s="47"/>
      <c r="B67" s="45"/>
      <c r="C67" s="46"/>
      <c r="D67" s="46"/>
      <c r="E67" s="45"/>
      <c r="F67" s="48"/>
      <c r="G67" s="49"/>
      <c r="H67" s="50"/>
      <c r="I67" s="48"/>
      <c r="J67" s="49"/>
      <c r="K67" s="50"/>
      <c r="L67" s="48"/>
    </row>
    <row r="68" spans="1:12" ht="33" customHeight="1" x14ac:dyDescent="0.2">
      <c r="A68" s="47"/>
      <c r="B68" s="45"/>
      <c r="C68" s="46"/>
      <c r="D68" s="46"/>
      <c r="E68" s="45"/>
      <c r="F68" s="48"/>
      <c r="G68" s="49"/>
      <c r="H68" s="50"/>
      <c r="I68" s="48"/>
      <c r="J68" s="49"/>
      <c r="K68" s="50"/>
      <c r="L68" s="48"/>
    </row>
    <row r="69" spans="1:12" ht="33" customHeight="1" x14ac:dyDescent="0.2">
      <c r="A69" s="47"/>
      <c r="B69" s="45"/>
      <c r="C69" s="46"/>
      <c r="D69" s="46"/>
      <c r="E69" s="45"/>
      <c r="F69" s="48"/>
      <c r="G69" s="49"/>
      <c r="H69" s="50"/>
      <c r="I69" s="48"/>
      <c r="J69" s="49"/>
      <c r="K69" s="50"/>
      <c r="L69" s="48"/>
    </row>
    <row r="70" spans="1:12" ht="33" customHeight="1" x14ac:dyDescent="0.2">
      <c r="A70" s="47"/>
      <c r="B70" s="45"/>
      <c r="C70" s="46"/>
      <c r="D70" s="46"/>
      <c r="E70" s="45"/>
      <c r="F70" s="48"/>
      <c r="G70" s="49"/>
      <c r="H70" s="50"/>
      <c r="I70" s="48"/>
      <c r="J70" s="49"/>
      <c r="K70" s="50"/>
      <c r="L70" s="48"/>
    </row>
    <row r="71" spans="1:12" ht="33" customHeight="1" x14ac:dyDescent="0.2">
      <c r="A71" s="47"/>
      <c r="B71" s="45"/>
      <c r="C71" s="46"/>
      <c r="D71" s="46"/>
      <c r="E71" s="45"/>
      <c r="F71" s="48"/>
      <c r="G71" s="49"/>
      <c r="H71" s="50"/>
      <c r="I71" s="48"/>
      <c r="J71" s="49"/>
      <c r="K71" s="50"/>
      <c r="L71" s="48"/>
    </row>
    <row r="72" spans="1:12" ht="33" customHeight="1" x14ac:dyDescent="0.2">
      <c r="A72" s="47"/>
      <c r="B72" s="45"/>
      <c r="C72" s="46"/>
      <c r="D72" s="46"/>
      <c r="E72" s="45"/>
      <c r="F72" s="48"/>
      <c r="G72" s="49"/>
      <c r="H72" s="50"/>
      <c r="I72" s="48"/>
      <c r="J72" s="49"/>
      <c r="K72" s="50"/>
      <c r="L72" s="48"/>
    </row>
    <row r="73" spans="1:12" ht="33" customHeight="1" x14ac:dyDescent="0.2">
      <c r="A73" s="47"/>
      <c r="B73" s="45"/>
      <c r="C73" s="46"/>
      <c r="D73" s="46"/>
      <c r="E73" s="45"/>
      <c r="F73" s="48"/>
      <c r="G73" s="49"/>
      <c r="H73" s="50"/>
      <c r="I73" s="48"/>
      <c r="J73" s="49"/>
      <c r="K73" s="50"/>
      <c r="L73" s="48"/>
    </row>
    <row r="74" spans="1:12" ht="33" customHeight="1" x14ac:dyDescent="0.2">
      <c r="A74" s="47"/>
      <c r="B74" s="45"/>
      <c r="C74" s="46"/>
      <c r="D74" s="46"/>
      <c r="E74" s="45"/>
      <c r="F74" s="48"/>
      <c r="G74" s="49"/>
      <c r="H74" s="50"/>
      <c r="I74" s="48"/>
      <c r="J74" s="49"/>
      <c r="K74" s="50"/>
      <c r="L74" s="48"/>
    </row>
    <row r="75" spans="1:12" ht="33" customHeight="1" x14ac:dyDescent="0.2">
      <c r="A75" s="47"/>
      <c r="B75" s="45"/>
      <c r="C75" s="46"/>
      <c r="D75" s="46"/>
      <c r="E75" s="45"/>
      <c r="F75" s="48"/>
      <c r="G75" s="49"/>
      <c r="H75" s="50"/>
      <c r="I75" s="48"/>
      <c r="J75" s="49"/>
      <c r="K75" s="50"/>
      <c r="L75" s="48"/>
    </row>
    <row r="76" spans="1:12" ht="33" customHeight="1" x14ac:dyDescent="0.2">
      <c r="A76" s="47"/>
      <c r="B76" s="45"/>
      <c r="C76" s="46"/>
      <c r="D76" s="46"/>
      <c r="E76" s="45"/>
      <c r="F76" s="48"/>
      <c r="G76" s="49"/>
      <c r="H76" s="50"/>
      <c r="I76" s="48"/>
      <c r="J76" s="49"/>
      <c r="K76" s="50"/>
      <c r="L76" s="48"/>
    </row>
    <row r="77" spans="1:12" ht="33" customHeight="1" x14ac:dyDescent="0.2">
      <c r="A77" s="47"/>
      <c r="B77" s="45"/>
      <c r="C77" s="46"/>
      <c r="D77" s="46"/>
      <c r="E77" s="45"/>
      <c r="F77" s="48"/>
      <c r="G77" s="49"/>
      <c r="H77" s="50"/>
      <c r="I77" s="48"/>
      <c r="J77" s="49"/>
      <c r="K77" s="50"/>
      <c r="L77" s="48"/>
    </row>
    <row r="78" spans="1:12" ht="33" customHeight="1" x14ac:dyDescent="0.2">
      <c r="A78" s="47"/>
      <c r="B78" s="45"/>
      <c r="C78" s="46"/>
      <c r="D78" s="46"/>
      <c r="E78" s="45"/>
      <c r="F78" s="48"/>
      <c r="G78" s="49"/>
      <c r="H78" s="50"/>
      <c r="I78" s="48"/>
      <c r="J78" s="49"/>
      <c r="K78" s="50"/>
      <c r="L78" s="48"/>
    </row>
    <row r="79" spans="1:12" ht="33" customHeight="1" x14ac:dyDescent="0.2">
      <c r="A79" s="47"/>
      <c r="B79" s="45"/>
      <c r="C79" s="46"/>
      <c r="D79" s="46"/>
      <c r="E79" s="45"/>
      <c r="F79" s="48"/>
      <c r="G79" s="49"/>
      <c r="H79" s="50"/>
      <c r="I79" s="48"/>
      <c r="J79" s="49"/>
      <c r="K79" s="50"/>
      <c r="L79" s="48"/>
    </row>
    <row r="80" spans="1:12" ht="33" customHeight="1" x14ac:dyDescent="0.2">
      <c r="A80" s="47"/>
      <c r="B80" s="45"/>
      <c r="C80" s="46"/>
      <c r="D80" s="46"/>
      <c r="E80" s="45"/>
      <c r="F80" s="48"/>
      <c r="G80" s="49"/>
      <c r="H80" s="50"/>
      <c r="I80" s="48"/>
      <c r="J80" s="49"/>
      <c r="K80" s="50"/>
      <c r="L80" s="48"/>
    </row>
    <row r="81" spans="1:29" ht="33" customHeight="1" x14ac:dyDescent="0.2">
      <c r="A81" s="47"/>
      <c r="B81" s="45"/>
      <c r="C81" s="46"/>
      <c r="D81" s="46"/>
      <c r="E81" s="45"/>
      <c r="F81" s="48"/>
      <c r="G81" s="49"/>
      <c r="H81" s="50"/>
      <c r="I81" s="48"/>
      <c r="J81" s="49"/>
      <c r="K81" s="50"/>
      <c r="L81" s="48"/>
    </row>
    <row r="82" spans="1:29" ht="33" customHeight="1" x14ac:dyDescent="0.2">
      <c r="A82" s="47"/>
      <c r="B82" s="45"/>
      <c r="C82" s="46"/>
      <c r="D82" s="46"/>
      <c r="E82" s="45"/>
      <c r="F82" s="48"/>
      <c r="G82" s="49"/>
      <c r="H82" s="50"/>
      <c r="I82" s="48"/>
      <c r="J82" s="49"/>
      <c r="K82" s="50"/>
      <c r="L82" s="48"/>
    </row>
    <row r="83" spans="1:29" ht="33" customHeight="1" x14ac:dyDescent="0.2">
      <c r="A83" s="47"/>
      <c r="B83" s="45"/>
      <c r="C83" s="46"/>
      <c r="D83" s="46"/>
      <c r="E83" s="45"/>
      <c r="F83" s="48"/>
      <c r="G83" s="49"/>
      <c r="H83" s="50"/>
      <c r="I83" s="48"/>
      <c r="J83" s="49"/>
      <c r="K83" s="50"/>
      <c r="L83" s="48"/>
    </row>
    <row r="84" spans="1:29" ht="33" customHeight="1" x14ac:dyDescent="0.2">
      <c r="A84" s="47"/>
      <c r="B84" s="45"/>
      <c r="C84" s="46"/>
      <c r="D84" s="46"/>
      <c r="E84" s="45"/>
      <c r="F84" s="48"/>
      <c r="G84" s="49"/>
      <c r="H84" s="50"/>
      <c r="I84" s="48"/>
      <c r="J84" s="49"/>
      <c r="K84" s="50"/>
      <c r="L84" s="48"/>
    </row>
    <row r="85" spans="1:29" ht="33" customHeight="1" x14ac:dyDescent="0.2">
      <c r="A85" s="47"/>
      <c r="B85" s="45"/>
      <c r="C85" s="46"/>
      <c r="D85" s="46"/>
      <c r="E85" s="45"/>
      <c r="F85" s="48"/>
      <c r="G85" s="49"/>
      <c r="H85" s="50"/>
      <c r="I85" s="48"/>
      <c r="J85" s="49"/>
      <c r="K85" s="50"/>
      <c r="L85" s="48"/>
    </row>
    <row r="86" spans="1:29" ht="33" customHeight="1" x14ac:dyDescent="0.2">
      <c r="A86" s="47"/>
      <c r="B86" s="45"/>
      <c r="C86" s="46"/>
      <c r="D86" s="46"/>
      <c r="E86" s="45"/>
      <c r="F86" s="48"/>
      <c r="G86" s="49"/>
      <c r="H86" s="50"/>
      <c r="I86" s="48"/>
      <c r="J86" s="49"/>
      <c r="K86" s="50"/>
      <c r="L86" s="48"/>
    </row>
    <row r="87" spans="1:29" ht="33" customHeight="1" x14ac:dyDescent="0.2">
      <c r="A87" s="47"/>
      <c r="B87" s="45"/>
      <c r="C87" s="46"/>
      <c r="D87" s="46"/>
      <c r="E87" s="45"/>
      <c r="F87" s="48"/>
      <c r="G87" s="49"/>
      <c r="H87" s="50"/>
      <c r="I87" s="48"/>
      <c r="J87" s="49"/>
      <c r="K87" s="50"/>
      <c r="L87" s="48"/>
    </row>
    <row r="88" spans="1:29" ht="33" customHeight="1" x14ac:dyDescent="0.2">
      <c r="A88" s="47"/>
      <c r="B88" s="45"/>
      <c r="C88" s="46"/>
      <c r="D88" s="46"/>
      <c r="E88" s="45"/>
      <c r="F88" s="48"/>
      <c r="G88" s="49"/>
      <c r="H88" s="50"/>
      <c r="I88" s="48"/>
      <c r="J88" s="49"/>
      <c r="K88" s="50"/>
      <c r="L88" s="48"/>
    </row>
    <row r="89" spans="1:29" x14ac:dyDescent="0.2">
      <c r="AC89" s="7" t="s">
        <v>97</v>
      </c>
    </row>
  </sheetData>
  <mergeCells count="6">
    <mergeCell ref="C60:D60"/>
    <mergeCell ref="F60:J60"/>
    <mergeCell ref="C7:D7"/>
    <mergeCell ref="F7:J7"/>
    <mergeCell ref="C31:D31"/>
    <mergeCell ref="F31:J31"/>
  </mergeCells>
  <pageMargins left="0.61" right="0.37" top="0.62" bottom="0.79" header="0.27" footer="0.39"/>
  <pageSetup scale="57" fitToHeight="0" orientation="landscape" horizontalDpi="360" verticalDpi="360" r:id="rId1"/>
  <headerFooter alignWithMargins="0"/>
  <rowBreaks count="2" manualBreakCount="2">
    <brk id="30" max="11" man="1"/>
    <brk id="59" max="11"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DE80E-5FEF-40B7-8E16-FB9208F88018}">
  <sheetPr>
    <tabColor indexed="42"/>
    <pageSetUpPr fitToPage="1"/>
  </sheetPr>
  <dimension ref="A1:BH193"/>
  <sheetViews>
    <sheetView view="pageBreakPreview" topLeftCell="C21" zoomScaleNormal="80" zoomScaleSheetLayoutView="100" workbookViewId="0">
      <selection activeCell="AC4" sqref="AC4"/>
    </sheetView>
  </sheetViews>
  <sheetFormatPr defaultRowHeight="15.75" x14ac:dyDescent="0.25"/>
  <cols>
    <col min="1" max="2" width="4.7109375" style="30" customWidth="1"/>
    <col min="3" max="3" width="18.7109375" style="10" bestFit="1" customWidth="1"/>
    <col min="4" max="4" width="2" style="7" customWidth="1"/>
    <col min="5" max="53" width="4.28515625" style="7" customWidth="1"/>
    <col min="54" max="54" width="4.7109375" style="7" customWidth="1"/>
    <col min="55" max="55" width="4.7109375" style="120" customWidth="1"/>
    <col min="56" max="59" width="4.7109375" style="30" customWidth="1"/>
    <col min="60" max="60" width="7.5703125" style="30" customWidth="1"/>
    <col min="61" max="124" width="4.7109375" style="7" customWidth="1"/>
    <col min="125" max="256" width="9.140625" style="7"/>
    <col min="257" max="257" width="15.7109375" style="7" customWidth="1"/>
    <col min="258" max="258" width="2" style="7" customWidth="1"/>
    <col min="259" max="307" width="3.7109375" style="7" customWidth="1"/>
    <col min="308" max="380" width="4.7109375" style="7" customWidth="1"/>
    <col min="381" max="512" width="9.140625" style="7"/>
    <col min="513" max="513" width="15.7109375" style="7" customWidth="1"/>
    <col min="514" max="514" width="2" style="7" customWidth="1"/>
    <col min="515" max="563" width="3.7109375" style="7" customWidth="1"/>
    <col min="564" max="636" width="4.7109375" style="7" customWidth="1"/>
    <col min="637" max="768" width="9.140625" style="7"/>
    <col min="769" max="769" width="15.7109375" style="7" customWidth="1"/>
    <col min="770" max="770" width="2" style="7" customWidth="1"/>
    <col min="771" max="819" width="3.7109375" style="7" customWidth="1"/>
    <col min="820" max="892" width="4.7109375" style="7" customWidth="1"/>
    <col min="893" max="1024" width="9.140625" style="7"/>
    <col min="1025" max="1025" width="15.7109375" style="7" customWidth="1"/>
    <col min="1026" max="1026" width="2" style="7" customWidth="1"/>
    <col min="1027" max="1075" width="3.7109375" style="7" customWidth="1"/>
    <col min="1076" max="1148" width="4.7109375" style="7" customWidth="1"/>
    <col min="1149" max="1280" width="9.140625" style="7"/>
    <col min="1281" max="1281" width="15.7109375" style="7" customWidth="1"/>
    <col min="1282" max="1282" width="2" style="7" customWidth="1"/>
    <col min="1283" max="1331" width="3.7109375" style="7" customWidth="1"/>
    <col min="1332" max="1404" width="4.7109375" style="7" customWidth="1"/>
    <col min="1405" max="1536" width="9.140625" style="7"/>
    <col min="1537" max="1537" width="15.7109375" style="7" customWidth="1"/>
    <col min="1538" max="1538" width="2" style="7" customWidth="1"/>
    <col min="1539" max="1587" width="3.7109375" style="7" customWidth="1"/>
    <col min="1588" max="1660" width="4.7109375" style="7" customWidth="1"/>
    <col min="1661" max="1792" width="9.140625" style="7"/>
    <col min="1793" max="1793" width="15.7109375" style="7" customWidth="1"/>
    <col min="1794" max="1794" width="2" style="7" customWidth="1"/>
    <col min="1795" max="1843" width="3.7109375" style="7" customWidth="1"/>
    <col min="1844" max="1916" width="4.7109375" style="7" customWidth="1"/>
    <col min="1917" max="2048" width="9.140625" style="7"/>
    <col min="2049" max="2049" width="15.7109375" style="7" customWidth="1"/>
    <col min="2050" max="2050" width="2" style="7" customWidth="1"/>
    <col min="2051" max="2099" width="3.7109375" style="7" customWidth="1"/>
    <col min="2100" max="2172" width="4.7109375" style="7" customWidth="1"/>
    <col min="2173" max="2304" width="9.140625" style="7"/>
    <col min="2305" max="2305" width="15.7109375" style="7" customWidth="1"/>
    <col min="2306" max="2306" width="2" style="7" customWidth="1"/>
    <col min="2307" max="2355" width="3.7109375" style="7" customWidth="1"/>
    <col min="2356" max="2428" width="4.7109375" style="7" customWidth="1"/>
    <col min="2429" max="2560" width="9.140625" style="7"/>
    <col min="2561" max="2561" width="15.7109375" style="7" customWidth="1"/>
    <col min="2562" max="2562" width="2" style="7" customWidth="1"/>
    <col min="2563" max="2611" width="3.7109375" style="7" customWidth="1"/>
    <col min="2612" max="2684" width="4.7109375" style="7" customWidth="1"/>
    <col min="2685" max="2816" width="9.140625" style="7"/>
    <col min="2817" max="2817" width="15.7109375" style="7" customWidth="1"/>
    <col min="2818" max="2818" width="2" style="7" customWidth="1"/>
    <col min="2819" max="2867" width="3.7109375" style="7" customWidth="1"/>
    <col min="2868" max="2940" width="4.7109375" style="7" customWidth="1"/>
    <col min="2941" max="3072" width="9.140625" style="7"/>
    <col min="3073" max="3073" width="15.7109375" style="7" customWidth="1"/>
    <col min="3074" max="3074" width="2" style="7" customWidth="1"/>
    <col min="3075" max="3123" width="3.7109375" style="7" customWidth="1"/>
    <col min="3124" max="3196" width="4.7109375" style="7" customWidth="1"/>
    <col min="3197" max="3328" width="9.140625" style="7"/>
    <col min="3329" max="3329" width="15.7109375" style="7" customWidth="1"/>
    <col min="3330" max="3330" width="2" style="7" customWidth="1"/>
    <col min="3331" max="3379" width="3.7109375" style="7" customWidth="1"/>
    <col min="3380" max="3452" width="4.7109375" style="7" customWidth="1"/>
    <col min="3453" max="3584" width="9.140625" style="7"/>
    <col min="3585" max="3585" width="15.7109375" style="7" customWidth="1"/>
    <col min="3586" max="3586" width="2" style="7" customWidth="1"/>
    <col min="3587" max="3635" width="3.7109375" style="7" customWidth="1"/>
    <col min="3636" max="3708" width="4.7109375" style="7" customWidth="1"/>
    <col min="3709" max="3840" width="9.140625" style="7"/>
    <col min="3841" max="3841" width="15.7109375" style="7" customWidth="1"/>
    <col min="3842" max="3842" width="2" style="7" customWidth="1"/>
    <col min="3843" max="3891" width="3.7109375" style="7" customWidth="1"/>
    <col min="3892" max="3964" width="4.7109375" style="7" customWidth="1"/>
    <col min="3965" max="4096" width="9.140625" style="7"/>
    <col min="4097" max="4097" width="15.7109375" style="7" customWidth="1"/>
    <col min="4098" max="4098" width="2" style="7" customWidth="1"/>
    <col min="4099" max="4147" width="3.7109375" style="7" customWidth="1"/>
    <col min="4148" max="4220" width="4.7109375" style="7" customWidth="1"/>
    <col min="4221" max="4352" width="9.140625" style="7"/>
    <col min="4353" max="4353" width="15.7109375" style="7" customWidth="1"/>
    <col min="4354" max="4354" width="2" style="7" customWidth="1"/>
    <col min="4355" max="4403" width="3.7109375" style="7" customWidth="1"/>
    <col min="4404" max="4476" width="4.7109375" style="7" customWidth="1"/>
    <col min="4477" max="4608" width="9.140625" style="7"/>
    <col min="4609" max="4609" width="15.7109375" style="7" customWidth="1"/>
    <col min="4610" max="4610" width="2" style="7" customWidth="1"/>
    <col min="4611" max="4659" width="3.7109375" style="7" customWidth="1"/>
    <col min="4660" max="4732" width="4.7109375" style="7" customWidth="1"/>
    <col min="4733" max="4864" width="9.140625" style="7"/>
    <col min="4865" max="4865" width="15.7109375" style="7" customWidth="1"/>
    <col min="4866" max="4866" width="2" style="7" customWidth="1"/>
    <col min="4867" max="4915" width="3.7109375" style="7" customWidth="1"/>
    <col min="4916" max="4988" width="4.7109375" style="7" customWidth="1"/>
    <col min="4989" max="5120" width="9.140625" style="7"/>
    <col min="5121" max="5121" width="15.7109375" style="7" customWidth="1"/>
    <col min="5122" max="5122" width="2" style="7" customWidth="1"/>
    <col min="5123" max="5171" width="3.7109375" style="7" customWidth="1"/>
    <col min="5172" max="5244" width="4.7109375" style="7" customWidth="1"/>
    <col min="5245" max="5376" width="9.140625" style="7"/>
    <col min="5377" max="5377" width="15.7109375" style="7" customWidth="1"/>
    <col min="5378" max="5378" width="2" style="7" customWidth="1"/>
    <col min="5379" max="5427" width="3.7109375" style="7" customWidth="1"/>
    <col min="5428" max="5500" width="4.7109375" style="7" customWidth="1"/>
    <col min="5501" max="5632" width="9.140625" style="7"/>
    <col min="5633" max="5633" width="15.7109375" style="7" customWidth="1"/>
    <col min="5634" max="5634" width="2" style="7" customWidth="1"/>
    <col min="5635" max="5683" width="3.7109375" style="7" customWidth="1"/>
    <col min="5684" max="5756" width="4.7109375" style="7" customWidth="1"/>
    <col min="5757" max="5888" width="9.140625" style="7"/>
    <col min="5889" max="5889" width="15.7109375" style="7" customWidth="1"/>
    <col min="5890" max="5890" width="2" style="7" customWidth="1"/>
    <col min="5891" max="5939" width="3.7109375" style="7" customWidth="1"/>
    <col min="5940" max="6012" width="4.7109375" style="7" customWidth="1"/>
    <col min="6013" max="6144" width="9.140625" style="7"/>
    <col min="6145" max="6145" width="15.7109375" style="7" customWidth="1"/>
    <col min="6146" max="6146" width="2" style="7" customWidth="1"/>
    <col min="6147" max="6195" width="3.7109375" style="7" customWidth="1"/>
    <col min="6196" max="6268" width="4.7109375" style="7" customWidth="1"/>
    <col min="6269" max="6400" width="9.140625" style="7"/>
    <col min="6401" max="6401" width="15.7109375" style="7" customWidth="1"/>
    <col min="6402" max="6402" width="2" style="7" customWidth="1"/>
    <col min="6403" max="6451" width="3.7109375" style="7" customWidth="1"/>
    <col min="6452" max="6524" width="4.7109375" style="7" customWidth="1"/>
    <col min="6525" max="6656" width="9.140625" style="7"/>
    <col min="6657" max="6657" width="15.7109375" style="7" customWidth="1"/>
    <col min="6658" max="6658" width="2" style="7" customWidth="1"/>
    <col min="6659" max="6707" width="3.7109375" style="7" customWidth="1"/>
    <col min="6708" max="6780" width="4.7109375" style="7" customWidth="1"/>
    <col min="6781" max="6912" width="9.140625" style="7"/>
    <col min="6913" max="6913" width="15.7109375" style="7" customWidth="1"/>
    <col min="6914" max="6914" width="2" style="7" customWidth="1"/>
    <col min="6915" max="6963" width="3.7109375" style="7" customWidth="1"/>
    <col min="6964" max="7036" width="4.7109375" style="7" customWidth="1"/>
    <col min="7037" max="7168" width="9.140625" style="7"/>
    <col min="7169" max="7169" width="15.7109375" style="7" customWidth="1"/>
    <col min="7170" max="7170" width="2" style="7" customWidth="1"/>
    <col min="7171" max="7219" width="3.7109375" style="7" customWidth="1"/>
    <col min="7220" max="7292" width="4.7109375" style="7" customWidth="1"/>
    <col min="7293" max="7424" width="9.140625" style="7"/>
    <col min="7425" max="7425" width="15.7109375" style="7" customWidth="1"/>
    <col min="7426" max="7426" width="2" style="7" customWidth="1"/>
    <col min="7427" max="7475" width="3.7109375" style="7" customWidth="1"/>
    <col min="7476" max="7548" width="4.7109375" style="7" customWidth="1"/>
    <col min="7549" max="7680" width="9.140625" style="7"/>
    <col min="7681" max="7681" width="15.7109375" style="7" customWidth="1"/>
    <col min="7682" max="7682" width="2" style="7" customWidth="1"/>
    <col min="7683" max="7731" width="3.7109375" style="7" customWidth="1"/>
    <col min="7732" max="7804" width="4.7109375" style="7" customWidth="1"/>
    <col min="7805" max="7936" width="9.140625" style="7"/>
    <col min="7937" max="7937" width="15.7109375" style="7" customWidth="1"/>
    <col min="7938" max="7938" width="2" style="7" customWidth="1"/>
    <col min="7939" max="7987" width="3.7109375" style="7" customWidth="1"/>
    <col min="7988" max="8060" width="4.7109375" style="7" customWidth="1"/>
    <col min="8061" max="8192" width="9.140625" style="7"/>
    <col min="8193" max="8193" width="15.7109375" style="7" customWidth="1"/>
    <col min="8194" max="8194" width="2" style="7" customWidth="1"/>
    <col min="8195" max="8243" width="3.7109375" style="7" customWidth="1"/>
    <col min="8244" max="8316" width="4.7109375" style="7" customWidth="1"/>
    <col min="8317" max="8448" width="9.140625" style="7"/>
    <col min="8449" max="8449" width="15.7109375" style="7" customWidth="1"/>
    <col min="8450" max="8450" width="2" style="7" customWidth="1"/>
    <col min="8451" max="8499" width="3.7109375" style="7" customWidth="1"/>
    <col min="8500" max="8572" width="4.7109375" style="7" customWidth="1"/>
    <col min="8573" max="8704" width="9.140625" style="7"/>
    <col min="8705" max="8705" width="15.7109375" style="7" customWidth="1"/>
    <col min="8706" max="8706" width="2" style="7" customWidth="1"/>
    <col min="8707" max="8755" width="3.7109375" style="7" customWidth="1"/>
    <col min="8756" max="8828" width="4.7109375" style="7" customWidth="1"/>
    <col min="8829" max="8960" width="9.140625" style="7"/>
    <col min="8961" max="8961" width="15.7109375" style="7" customWidth="1"/>
    <col min="8962" max="8962" width="2" style="7" customWidth="1"/>
    <col min="8963" max="9011" width="3.7109375" style="7" customWidth="1"/>
    <col min="9012" max="9084" width="4.7109375" style="7" customWidth="1"/>
    <col min="9085" max="9216" width="9.140625" style="7"/>
    <col min="9217" max="9217" width="15.7109375" style="7" customWidth="1"/>
    <col min="9218" max="9218" width="2" style="7" customWidth="1"/>
    <col min="9219" max="9267" width="3.7109375" style="7" customWidth="1"/>
    <col min="9268" max="9340" width="4.7109375" style="7" customWidth="1"/>
    <col min="9341" max="9472" width="9.140625" style="7"/>
    <col min="9473" max="9473" width="15.7109375" style="7" customWidth="1"/>
    <col min="9474" max="9474" width="2" style="7" customWidth="1"/>
    <col min="9475" max="9523" width="3.7109375" style="7" customWidth="1"/>
    <col min="9524" max="9596" width="4.7109375" style="7" customWidth="1"/>
    <col min="9597" max="9728" width="9.140625" style="7"/>
    <col min="9729" max="9729" width="15.7109375" style="7" customWidth="1"/>
    <col min="9730" max="9730" width="2" style="7" customWidth="1"/>
    <col min="9731" max="9779" width="3.7109375" style="7" customWidth="1"/>
    <col min="9780" max="9852" width="4.7109375" style="7" customWidth="1"/>
    <col min="9853" max="9984" width="9.140625" style="7"/>
    <col min="9985" max="9985" width="15.7109375" style="7" customWidth="1"/>
    <col min="9986" max="9986" width="2" style="7" customWidth="1"/>
    <col min="9987" max="10035" width="3.7109375" style="7" customWidth="1"/>
    <col min="10036" max="10108" width="4.7109375" style="7" customWidth="1"/>
    <col min="10109" max="10240" width="9.140625" style="7"/>
    <col min="10241" max="10241" width="15.7109375" style="7" customWidth="1"/>
    <col min="10242" max="10242" width="2" style="7" customWidth="1"/>
    <col min="10243" max="10291" width="3.7109375" style="7" customWidth="1"/>
    <col min="10292" max="10364" width="4.7109375" style="7" customWidth="1"/>
    <col min="10365" max="10496" width="9.140625" style="7"/>
    <col min="10497" max="10497" width="15.7109375" style="7" customWidth="1"/>
    <col min="10498" max="10498" width="2" style="7" customWidth="1"/>
    <col min="10499" max="10547" width="3.7109375" style="7" customWidth="1"/>
    <col min="10548" max="10620" width="4.7109375" style="7" customWidth="1"/>
    <col min="10621" max="10752" width="9.140625" style="7"/>
    <col min="10753" max="10753" width="15.7109375" style="7" customWidth="1"/>
    <col min="10754" max="10754" width="2" style="7" customWidth="1"/>
    <col min="10755" max="10803" width="3.7109375" style="7" customWidth="1"/>
    <col min="10804" max="10876" width="4.7109375" style="7" customWidth="1"/>
    <col min="10877" max="11008" width="9.140625" style="7"/>
    <col min="11009" max="11009" width="15.7109375" style="7" customWidth="1"/>
    <col min="11010" max="11010" width="2" style="7" customWidth="1"/>
    <col min="11011" max="11059" width="3.7109375" style="7" customWidth="1"/>
    <col min="11060" max="11132" width="4.7109375" style="7" customWidth="1"/>
    <col min="11133" max="11264" width="9.140625" style="7"/>
    <col min="11265" max="11265" width="15.7109375" style="7" customWidth="1"/>
    <col min="11266" max="11266" width="2" style="7" customWidth="1"/>
    <col min="11267" max="11315" width="3.7109375" style="7" customWidth="1"/>
    <col min="11316" max="11388" width="4.7109375" style="7" customWidth="1"/>
    <col min="11389" max="11520" width="9.140625" style="7"/>
    <col min="11521" max="11521" width="15.7109375" style="7" customWidth="1"/>
    <col min="11522" max="11522" width="2" style="7" customWidth="1"/>
    <col min="11523" max="11571" width="3.7109375" style="7" customWidth="1"/>
    <col min="11572" max="11644" width="4.7109375" style="7" customWidth="1"/>
    <col min="11645" max="11776" width="9.140625" style="7"/>
    <col min="11777" max="11777" width="15.7109375" style="7" customWidth="1"/>
    <col min="11778" max="11778" width="2" style="7" customWidth="1"/>
    <col min="11779" max="11827" width="3.7109375" style="7" customWidth="1"/>
    <col min="11828" max="11900" width="4.7109375" style="7" customWidth="1"/>
    <col min="11901" max="12032" width="9.140625" style="7"/>
    <col min="12033" max="12033" width="15.7109375" style="7" customWidth="1"/>
    <col min="12034" max="12034" width="2" style="7" customWidth="1"/>
    <col min="12035" max="12083" width="3.7109375" style="7" customWidth="1"/>
    <col min="12084" max="12156" width="4.7109375" style="7" customWidth="1"/>
    <col min="12157" max="12288" width="9.140625" style="7"/>
    <col min="12289" max="12289" width="15.7109375" style="7" customWidth="1"/>
    <col min="12290" max="12290" width="2" style="7" customWidth="1"/>
    <col min="12291" max="12339" width="3.7109375" style="7" customWidth="1"/>
    <col min="12340" max="12412" width="4.7109375" style="7" customWidth="1"/>
    <col min="12413" max="12544" width="9.140625" style="7"/>
    <col min="12545" max="12545" width="15.7109375" style="7" customWidth="1"/>
    <col min="12546" max="12546" width="2" style="7" customWidth="1"/>
    <col min="12547" max="12595" width="3.7109375" style="7" customWidth="1"/>
    <col min="12596" max="12668" width="4.7109375" style="7" customWidth="1"/>
    <col min="12669" max="12800" width="9.140625" style="7"/>
    <col min="12801" max="12801" width="15.7109375" style="7" customWidth="1"/>
    <col min="12802" max="12802" width="2" style="7" customWidth="1"/>
    <col min="12803" max="12851" width="3.7109375" style="7" customWidth="1"/>
    <col min="12852" max="12924" width="4.7109375" style="7" customWidth="1"/>
    <col min="12925" max="13056" width="9.140625" style="7"/>
    <col min="13057" max="13057" width="15.7109375" style="7" customWidth="1"/>
    <col min="13058" max="13058" width="2" style="7" customWidth="1"/>
    <col min="13059" max="13107" width="3.7109375" style="7" customWidth="1"/>
    <col min="13108" max="13180" width="4.7109375" style="7" customWidth="1"/>
    <col min="13181" max="13312" width="9.140625" style="7"/>
    <col min="13313" max="13313" width="15.7109375" style="7" customWidth="1"/>
    <col min="13314" max="13314" width="2" style="7" customWidth="1"/>
    <col min="13315" max="13363" width="3.7109375" style="7" customWidth="1"/>
    <col min="13364" max="13436" width="4.7109375" style="7" customWidth="1"/>
    <col min="13437" max="13568" width="9.140625" style="7"/>
    <col min="13569" max="13569" width="15.7109375" style="7" customWidth="1"/>
    <col min="13570" max="13570" width="2" style="7" customWidth="1"/>
    <col min="13571" max="13619" width="3.7109375" style="7" customWidth="1"/>
    <col min="13620" max="13692" width="4.7109375" style="7" customWidth="1"/>
    <col min="13693" max="13824" width="9.140625" style="7"/>
    <col min="13825" max="13825" width="15.7109375" style="7" customWidth="1"/>
    <col min="13826" max="13826" width="2" style="7" customWidth="1"/>
    <col min="13827" max="13875" width="3.7109375" style="7" customWidth="1"/>
    <col min="13876" max="13948" width="4.7109375" style="7" customWidth="1"/>
    <col min="13949" max="14080" width="9.140625" style="7"/>
    <col min="14081" max="14081" width="15.7109375" style="7" customWidth="1"/>
    <col min="14082" max="14082" width="2" style="7" customWidth="1"/>
    <col min="14083" max="14131" width="3.7109375" style="7" customWidth="1"/>
    <col min="14132" max="14204" width="4.7109375" style="7" customWidth="1"/>
    <col min="14205" max="14336" width="9.140625" style="7"/>
    <col min="14337" max="14337" width="15.7109375" style="7" customWidth="1"/>
    <col min="14338" max="14338" width="2" style="7" customWidth="1"/>
    <col min="14339" max="14387" width="3.7109375" style="7" customWidth="1"/>
    <col min="14388" max="14460" width="4.7109375" style="7" customWidth="1"/>
    <col min="14461" max="14592" width="9.140625" style="7"/>
    <col min="14593" max="14593" width="15.7109375" style="7" customWidth="1"/>
    <col min="14594" max="14594" width="2" style="7" customWidth="1"/>
    <col min="14595" max="14643" width="3.7109375" style="7" customWidth="1"/>
    <col min="14644" max="14716" width="4.7109375" style="7" customWidth="1"/>
    <col min="14717" max="14848" width="9.140625" style="7"/>
    <col min="14849" max="14849" width="15.7109375" style="7" customWidth="1"/>
    <col min="14850" max="14850" width="2" style="7" customWidth="1"/>
    <col min="14851" max="14899" width="3.7109375" style="7" customWidth="1"/>
    <col min="14900" max="14972" width="4.7109375" style="7" customWidth="1"/>
    <col min="14973" max="15104" width="9.140625" style="7"/>
    <col min="15105" max="15105" width="15.7109375" style="7" customWidth="1"/>
    <col min="15106" max="15106" width="2" style="7" customWidth="1"/>
    <col min="15107" max="15155" width="3.7109375" style="7" customWidth="1"/>
    <col min="15156" max="15228" width="4.7109375" style="7" customWidth="1"/>
    <col min="15229" max="15360" width="9.140625" style="7"/>
    <col min="15361" max="15361" width="15.7109375" style="7" customWidth="1"/>
    <col min="15362" max="15362" width="2" style="7" customWidth="1"/>
    <col min="15363" max="15411" width="3.7109375" style="7" customWidth="1"/>
    <col min="15412" max="15484" width="4.7109375" style="7" customWidth="1"/>
    <col min="15485" max="15616" width="9.140625" style="7"/>
    <col min="15617" max="15617" width="15.7109375" style="7" customWidth="1"/>
    <col min="15618" max="15618" width="2" style="7" customWidth="1"/>
    <col min="15619" max="15667" width="3.7109375" style="7" customWidth="1"/>
    <col min="15668" max="15740" width="4.7109375" style="7" customWidth="1"/>
    <col min="15741" max="15872" width="9.140625" style="7"/>
    <col min="15873" max="15873" width="15.7109375" style="7" customWidth="1"/>
    <col min="15874" max="15874" width="2" style="7" customWidth="1"/>
    <col min="15875" max="15923" width="3.7109375" style="7" customWidth="1"/>
    <col min="15924" max="15996" width="4.7109375" style="7" customWidth="1"/>
    <col min="15997" max="16128" width="9.140625" style="7"/>
    <col min="16129" max="16129" width="15.7109375" style="7" customWidth="1"/>
    <col min="16130" max="16130" width="2" style="7" customWidth="1"/>
    <col min="16131" max="16179" width="3.7109375" style="7" customWidth="1"/>
    <col min="16180" max="16252" width="4.7109375" style="7" customWidth="1"/>
    <col min="16253" max="16384" width="9.140625" style="7"/>
  </cols>
  <sheetData>
    <row r="1" spans="1:60" x14ac:dyDescent="0.25">
      <c r="A1" s="11"/>
      <c r="B1" s="11"/>
      <c r="BB1" s="8"/>
      <c r="BC1" s="113"/>
      <c r="BD1" s="11"/>
      <c r="BE1" s="11"/>
      <c r="BF1" s="11"/>
      <c r="BG1" s="11"/>
      <c r="BH1" s="11"/>
    </row>
    <row r="2" spans="1:60" ht="16.5" thickBot="1" x14ac:dyDescent="0.3">
      <c r="A2" s="11"/>
      <c r="B2" s="11"/>
      <c r="C2" s="303" t="s">
        <v>13</v>
      </c>
      <c r="D2" s="303"/>
      <c r="E2" s="303"/>
      <c r="F2" s="303"/>
      <c r="G2" s="303"/>
      <c r="H2" s="303"/>
      <c r="I2" s="303"/>
      <c r="J2" s="303"/>
      <c r="N2" s="9" t="s">
        <v>14</v>
      </c>
      <c r="O2" s="10"/>
      <c r="P2" s="302">
        <f>'Validator Notes'!B4</f>
        <v>0</v>
      </c>
      <c r="Q2" s="302"/>
      <c r="R2" s="302"/>
      <c r="S2" s="302"/>
      <c r="T2" s="302"/>
      <c r="U2" s="302"/>
      <c r="V2" s="9" t="s">
        <v>15</v>
      </c>
      <c r="W2" s="10"/>
      <c r="X2" s="10"/>
      <c r="Y2" s="10"/>
      <c r="Z2" s="315">
        <f>'Validator Notes'!B5</f>
        <v>0</v>
      </c>
      <c r="AA2" s="302"/>
      <c r="AB2" s="302"/>
      <c r="AC2" s="302"/>
      <c r="AD2" s="302"/>
      <c r="AE2" s="302"/>
      <c r="AZ2" s="7" t="s">
        <v>16</v>
      </c>
      <c r="BA2" s="7">
        <v>1</v>
      </c>
      <c r="BB2" s="8"/>
      <c r="BC2" s="113"/>
      <c r="BD2" s="11"/>
      <c r="BE2" s="11"/>
      <c r="BF2" s="11"/>
      <c r="BG2" s="11"/>
      <c r="BH2" s="11"/>
    </row>
    <row r="3" spans="1:60" x14ac:dyDescent="0.25">
      <c r="A3" s="11"/>
      <c r="B3" s="11"/>
      <c r="C3" s="303"/>
      <c r="D3" s="303"/>
      <c r="E3" s="303"/>
      <c r="F3" s="303"/>
      <c r="G3" s="303"/>
      <c r="H3" s="303"/>
      <c r="I3" s="303"/>
      <c r="J3" s="303"/>
      <c r="N3" s="9"/>
      <c r="V3" s="9"/>
      <c r="BB3" s="8"/>
      <c r="BC3" s="113"/>
      <c r="BD3" s="11"/>
      <c r="BE3" s="11"/>
      <c r="BF3" s="11"/>
      <c r="BG3" s="11"/>
      <c r="BH3" s="11"/>
    </row>
    <row r="4" spans="1:60" s="12" customFormat="1" ht="18.75" x14ac:dyDescent="0.3">
      <c r="A4" s="26"/>
      <c r="B4" s="26"/>
      <c r="E4" s="13">
        <v>1</v>
      </c>
      <c r="F4" s="14"/>
      <c r="G4" s="14"/>
      <c r="H4" s="14"/>
      <c r="I4" s="14"/>
      <c r="J4" s="14"/>
      <c r="K4" s="14"/>
      <c r="L4" s="14"/>
      <c r="M4" s="14"/>
      <c r="N4" s="14"/>
      <c r="O4" s="14"/>
      <c r="P4" s="14"/>
      <c r="Q4" s="14"/>
      <c r="R4" s="14"/>
      <c r="S4" s="14"/>
      <c r="T4" s="14"/>
      <c r="U4" s="14"/>
      <c r="V4" s="14"/>
      <c r="W4" s="14"/>
      <c r="X4" s="14"/>
      <c r="Y4" s="14"/>
      <c r="Z4" s="14"/>
      <c r="AA4" s="14"/>
      <c r="AB4" s="14"/>
      <c r="AD4" s="13">
        <v>2</v>
      </c>
      <c r="AE4" s="13"/>
      <c r="AF4" s="13"/>
      <c r="AG4" s="13"/>
      <c r="AH4" s="13"/>
      <c r="AI4" s="13"/>
      <c r="AJ4" s="13"/>
      <c r="AK4" s="13"/>
      <c r="AL4" s="13"/>
      <c r="AM4" s="13"/>
      <c r="AN4" s="13"/>
      <c r="AO4" s="13"/>
      <c r="AP4" s="13"/>
      <c r="AQ4" s="13"/>
      <c r="AR4" s="13"/>
      <c r="AS4" s="13"/>
      <c r="AT4" s="13"/>
      <c r="AU4" s="13"/>
      <c r="AV4" s="13"/>
      <c r="AW4" s="13"/>
      <c r="AX4" s="13"/>
      <c r="AY4" s="13"/>
      <c r="AZ4" s="13"/>
      <c r="BA4" s="13"/>
      <c r="BB4" s="15"/>
      <c r="BC4" s="114"/>
      <c r="BD4" s="313" t="s">
        <v>59</v>
      </c>
      <c r="BE4" s="313"/>
      <c r="BF4" s="313"/>
      <c r="BG4" s="313"/>
      <c r="BH4" s="313"/>
    </row>
    <row r="5" spans="1:60" s="16" customFormat="1" ht="15" customHeight="1" x14ac:dyDescent="0.25">
      <c r="A5" s="27"/>
      <c r="B5" s="27"/>
      <c r="E5" s="36">
        <v>0</v>
      </c>
      <c r="F5" s="36">
        <v>1</v>
      </c>
      <c r="G5" s="36">
        <v>2</v>
      </c>
      <c r="H5" s="36">
        <v>3</v>
      </c>
      <c r="I5" s="36">
        <v>4</v>
      </c>
      <c r="J5" s="36">
        <v>5</v>
      </c>
      <c r="K5" s="36">
        <v>6</v>
      </c>
      <c r="L5" s="36">
        <v>7</v>
      </c>
      <c r="M5" s="36">
        <v>8</v>
      </c>
      <c r="N5" s="36">
        <v>9</v>
      </c>
      <c r="O5" s="36">
        <v>10</v>
      </c>
      <c r="P5" s="36">
        <v>11</v>
      </c>
      <c r="Q5" s="36">
        <v>12</v>
      </c>
      <c r="R5" s="36">
        <v>13</v>
      </c>
      <c r="S5" s="36">
        <v>14</v>
      </c>
      <c r="T5" s="36">
        <v>15</v>
      </c>
      <c r="U5" s="36">
        <v>16</v>
      </c>
      <c r="V5" s="36">
        <v>17</v>
      </c>
      <c r="W5" s="36">
        <v>18</v>
      </c>
      <c r="X5" s="36">
        <v>19</v>
      </c>
      <c r="Y5" s="36">
        <v>20</v>
      </c>
      <c r="Z5" s="36">
        <v>21</v>
      </c>
      <c r="AA5" s="36">
        <v>22</v>
      </c>
      <c r="AB5" s="36">
        <v>23</v>
      </c>
      <c r="AD5" s="36">
        <v>0</v>
      </c>
      <c r="AE5" s="36">
        <v>1</v>
      </c>
      <c r="AF5" s="36">
        <v>2</v>
      </c>
      <c r="AG5" s="36">
        <v>3</v>
      </c>
      <c r="AH5" s="36">
        <v>4</v>
      </c>
      <c r="AI5" s="36">
        <v>5</v>
      </c>
      <c r="AJ5" s="36">
        <v>6</v>
      </c>
      <c r="AK5" s="36">
        <v>7</v>
      </c>
      <c r="AL5" s="36">
        <v>8</v>
      </c>
      <c r="AM5" s="36">
        <v>9</v>
      </c>
      <c r="AN5" s="36">
        <v>10</v>
      </c>
      <c r="AO5" s="36">
        <v>11</v>
      </c>
      <c r="AP5" s="36">
        <v>12</v>
      </c>
      <c r="AQ5" s="36">
        <v>13</v>
      </c>
      <c r="AR5" s="36">
        <v>14</v>
      </c>
      <c r="AS5" s="36">
        <v>15</v>
      </c>
      <c r="AT5" s="36">
        <v>16</v>
      </c>
      <c r="AU5" s="36">
        <v>17</v>
      </c>
      <c r="AV5" s="36">
        <v>18</v>
      </c>
      <c r="AW5" s="36">
        <v>19</v>
      </c>
      <c r="AX5" s="36">
        <v>20</v>
      </c>
      <c r="AY5" s="36">
        <v>21</v>
      </c>
      <c r="AZ5" s="36">
        <v>22</v>
      </c>
      <c r="BA5" s="36">
        <v>23</v>
      </c>
      <c r="BB5" s="17"/>
      <c r="BC5" s="25"/>
      <c r="BD5" s="314" t="s">
        <v>60</v>
      </c>
      <c r="BE5" s="314"/>
      <c r="BF5" s="314"/>
      <c r="BG5" s="314"/>
      <c r="BH5" s="314"/>
    </row>
    <row r="6" spans="1:60" s="18" customFormat="1" ht="15" customHeight="1" x14ac:dyDescent="0.25">
      <c r="A6" s="28"/>
      <c r="B6" s="28"/>
      <c r="E6" s="37" t="s">
        <v>17</v>
      </c>
      <c r="F6" s="37" t="s">
        <v>18</v>
      </c>
      <c r="G6" s="37" t="s">
        <v>19</v>
      </c>
      <c r="H6" s="37" t="s">
        <v>20</v>
      </c>
      <c r="I6" s="37" t="s">
        <v>21</v>
      </c>
      <c r="J6" s="37" t="s">
        <v>22</v>
      </c>
      <c r="K6" s="37" t="s">
        <v>23</v>
      </c>
      <c r="L6" s="37" t="s">
        <v>24</v>
      </c>
      <c r="M6" s="37" t="s">
        <v>25</v>
      </c>
      <c r="N6" s="37" t="s">
        <v>26</v>
      </c>
      <c r="O6" s="37" t="s">
        <v>27</v>
      </c>
      <c r="P6" s="37" t="s">
        <v>28</v>
      </c>
      <c r="Q6" s="37" t="s">
        <v>29</v>
      </c>
      <c r="R6" s="37" t="s">
        <v>30</v>
      </c>
      <c r="S6" s="37" t="s">
        <v>31</v>
      </c>
      <c r="T6" s="37" t="s">
        <v>32</v>
      </c>
      <c r="U6" s="37" t="s">
        <v>33</v>
      </c>
      <c r="V6" s="37" t="s">
        <v>34</v>
      </c>
      <c r="W6" s="37" t="s">
        <v>35</v>
      </c>
      <c r="X6" s="37" t="s">
        <v>36</v>
      </c>
      <c r="Y6" s="37" t="s">
        <v>37</v>
      </c>
      <c r="Z6" s="37" t="s">
        <v>38</v>
      </c>
      <c r="AA6" s="37" t="s">
        <v>39</v>
      </c>
      <c r="AB6" s="37" t="s">
        <v>40</v>
      </c>
      <c r="AD6" s="37" t="s">
        <v>17</v>
      </c>
      <c r="AE6" s="37" t="s">
        <v>18</v>
      </c>
      <c r="AF6" s="37" t="s">
        <v>19</v>
      </c>
      <c r="AG6" s="37" t="s">
        <v>20</v>
      </c>
      <c r="AH6" s="37" t="s">
        <v>21</v>
      </c>
      <c r="AI6" s="37" t="s">
        <v>22</v>
      </c>
      <c r="AJ6" s="37" t="s">
        <v>23</v>
      </c>
      <c r="AK6" s="37" t="s">
        <v>24</v>
      </c>
      <c r="AL6" s="37" t="s">
        <v>25</v>
      </c>
      <c r="AM6" s="37" t="s">
        <v>26</v>
      </c>
      <c r="AN6" s="37" t="s">
        <v>27</v>
      </c>
      <c r="AO6" s="37" t="s">
        <v>28</v>
      </c>
      <c r="AP6" s="37" t="s">
        <v>29</v>
      </c>
      <c r="AQ6" s="37" t="s">
        <v>30</v>
      </c>
      <c r="AR6" s="37" t="s">
        <v>31</v>
      </c>
      <c r="AS6" s="37" t="s">
        <v>32</v>
      </c>
      <c r="AT6" s="37" t="s">
        <v>33</v>
      </c>
      <c r="AU6" s="37" t="s">
        <v>34</v>
      </c>
      <c r="AV6" s="37" t="s">
        <v>35</v>
      </c>
      <c r="AW6" s="37" t="s">
        <v>36</v>
      </c>
      <c r="AX6" s="37" t="s">
        <v>37</v>
      </c>
      <c r="AY6" s="37" t="s">
        <v>38</v>
      </c>
      <c r="AZ6" s="37" t="s">
        <v>39</v>
      </c>
      <c r="BA6" s="37" t="s">
        <v>40</v>
      </c>
      <c r="BB6" s="19"/>
      <c r="BC6" s="109"/>
      <c r="BD6" s="305" t="s">
        <v>61</v>
      </c>
      <c r="BE6" s="305"/>
      <c r="BF6" s="305"/>
      <c r="BG6" s="305"/>
      <c r="BH6" s="305"/>
    </row>
    <row r="7" spans="1:60" x14ac:dyDescent="0.25">
      <c r="A7" s="64"/>
      <c r="B7" s="11"/>
      <c r="C7" s="20" t="s">
        <v>41</v>
      </c>
      <c r="E7" s="122"/>
      <c r="F7" s="122"/>
      <c r="G7" s="122"/>
      <c r="H7" s="122"/>
      <c r="I7" s="122"/>
      <c r="J7" s="122"/>
      <c r="K7" s="122"/>
      <c r="L7" s="122"/>
      <c r="M7" s="122"/>
      <c r="N7" s="122"/>
      <c r="O7" s="122"/>
      <c r="P7" s="122"/>
      <c r="Q7" s="122"/>
      <c r="R7" s="122"/>
      <c r="S7" s="122"/>
      <c r="T7" s="122"/>
      <c r="U7" s="122"/>
      <c r="V7" s="122"/>
      <c r="W7" s="122"/>
      <c r="X7" s="122"/>
      <c r="Y7" s="122"/>
      <c r="Z7" s="122"/>
      <c r="AA7" s="122"/>
      <c r="AB7" s="122"/>
      <c r="AC7" s="39"/>
      <c r="AD7" s="122"/>
      <c r="AE7" s="122"/>
      <c r="AF7" s="122"/>
      <c r="AG7" s="122"/>
      <c r="AH7" s="122"/>
      <c r="AI7" s="122"/>
      <c r="AJ7" s="122"/>
      <c r="AK7" s="122"/>
      <c r="AL7" s="122"/>
      <c r="AM7" s="122"/>
      <c r="AN7" s="122"/>
      <c r="AO7" s="122"/>
      <c r="AP7" s="122"/>
      <c r="AQ7" s="122"/>
      <c r="AR7" s="122"/>
      <c r="AS7" s="122"/>
      <c r="AT7" s="122"/>
      <c r="AU7" s="122"/>
      <c r="AV7" s="122"/>
      <c r="AW7" s="122"/>
      <c r="AX7" s="122"/>
      <c r="AY7" s="122"/>
      <c r="AZ7" s="122"/>
      <c r="BA7" s="122"/>
      <c r="BB7" s="8"/>
      <c r="BC7" s="110"/>
      <c r="BD7" s="305" t="s">
        <v>62</v>
      </c>
      <c r="BE7" s="305"/>
      <c r="BF7" s="305"/>
      <c r="BG7" s="305"/>
      <c r="BH7" s="305"/>
    </row>
    <row r="8" spans="1:60" x14ac:dyDescent="0.25">
      <c r="A8" s="64"/>
      <c r="B8" s="11"/>
      <c r="C8" s="20" t="s">
        <v>42</v>
      </c>
      <c r="E8" s="122"/>
      <c r="F8" s="122"/>
      <c r="G8" s="122"/>
      <c r="H8" s="122"/>
      <c r="I8" s="122"/>
      <c r="J8" s="122"/>
      <c r="K8" s="122"/>
      <c r="L8" s="122"/>
      <c r="M8" s="122"/>
      <c r="N8" s="122"/>
      <c r="O8" s="122"/>
      <c r="P8" s="122"/>
      <c r="Q8" s="122"/>
      <c r="R8" s="122"/>
      <c r="S8" s="122"/>
      <c r="T8" s="122"/>
      <c r="U8" s="122"/>
      <c r="V8" s="122"/>
      <c r="W8" s="122"/>
      <c r="X8" s="122"/>
      <c r="Y8" s="122"/>
      <c r="Z8" s="122"/>
      <c r="AA8" s="122"/>
      <c r="AB8" s="122"/>
      <c r="AC8" s="39"/>
      <c r="AD8" s="122"/>
      <c r="AE8" s="122"/>
      <c r="AF8" s="122"/>
      <c r="AG8" s="122"/>
      <c r="AH8" s="122"/>
      <c r="AI8" s="122"/>
      <c r="AJ8" s="122"/>
      <c r="AK8" s="122"/>
      <c r="AL8" s="122"/>
      <c r="AM8" s="122"/>
      <c r="AN8" s="122"/>
      <c r="AO8" s="122"/>
      <c r="AP8" s="122"/>
      <c r="AQ8" s="122"/>
      <c r="AR8" s="122"/>
      <c r="AS8" s="122"/>
      <c r="AT8" s="122"/>
      <c r="AU8" s="122"/>
      <c r="AV8" s="122"/>
      <c r="AW8" s="122"/>
      <c r="AX8" s="122"/>
      <c r="AY8" s="122"/>
      <c r="AZ8" s="122"/>
      <c r="BA8" s="122"/>
      <c r="BB8" s="8"/>
      <c r="BC8" s="111"/>
      <c r="BD8" s="306" t="s">
        <v>120</v>
      </c>
      <c r="BE8" s="307"/>
      <c r="BF8" s="307"/>
      <c r="BG8" s="307"/>
      <c r="BH8" s="308"/>
    </row>
    <row r="9" spans="1:60" x14ac:dyDescent="0.25">
      <c r="A9" s="64"/>
      <c r="B9" s="11"/>
      <c r="C9" s="20" t="s">
        <v>43</v>
      </c>
      <c r="E9" s="122"/>
      <c r="F9" s="122"/>
      <c r="G9" s="122"/>
      <c r="H9" s="122"/>
      <c r="I9" s="122"/>
      <c r="J9" s="122"/>
      <c r="K9" s="122"/>
      <c r="L9" s="122"/>
      <c r="M9" s="122"/>
      <c r="N9" s="122"/>
      <c r="O9" s="122"/>
      <c r="P9" s="122"/>
      <c r="Q9" s="122"/>
      <c r="R9" s="122"/>
      <c r="S9" s="122"/>
      <c r="T9" s="122"/>
      <c r="U9" s="122"/>
      <c r="V9" s="122"/>
      <c r="W9" s="122"/>
      <c r="X9" s="122"/>
      <c r="Y9" s="122"/>
      <c r="Z9" s="122"/>
      <c r="AA9" s="122"/>
      <c r="AB9" s="122"/>
      <c r="AC9" s="39"/>
      <c r="AD9" s="122"/>
      <c r="AE9" s="122"/>
      <c r="AF9" s="122"/>
      <c r="AG9" s="122"/>
      <c r="AH9" s="122"/>
      <c r="AI9" s="122"/>
      <c r="AJ9" s="122"/>
      <c r="AK9" s="122"/>
      <c r="AL9" s="122"/>
      <c r="AM9" s="122"/>
      <c r="AN9" s="122"/>
      <c r="AO9" s="122"/>
      <c r="AP9" s="122"/>
      <c r="AQ9" s="122"/>
      <c r="AR9" s="122"/>
      <c r="AS9" s="122"/>
      <c r="AT9" s="122"/>
      <c r="AU9" s="122"/>
      <c r="AV9" s="122"/>
      <c r="AW9" s="122"/>
      <c r="AX9" s="122"/>
      <c r="AY9" s="122"/>
      <c r="AZ9" s="122"/>
      <c r="BA9" s="122"/>
      <c r="BB9" s="8"/>
      <c r="BC9" s="115"/>
      <c r="BD9" s="305" t="s">
        <v>63</v>
      </c>
      <c r="BE9" s="305"/>
      <c r="BF9" s="305"/>
      <c r="BG9" s="305"/>
      <c r="BH9" s="305"/>
    </row>
    <row r="10" spans="1:60" x14ac:dyDescent="0.25">
      <c r="A10" s="64"/>
      <c r="B10" s="11"/>
      <c r="C10" s="20" t="s">
        <v>44</v>
      </c>
      <c r="E10" s="122"/>
      <c r="F10" s="122"/>
      <c r="G10" s="122"/>
      <c r="H10" s="122"/>
      <c r="I10" s="122"/>
      <c r="J10" s="122"/>
      <c r="K10" s="122"/>
      <c r="L10" s="122"/>
      <c r="M10" s="122"/>
      <c r="N10" s="122"/>
      <c r="O10" s="122"/>
      <c r="P10" s="122"/>
      <c r="Q10" s="122"/>
      <c r="R10" s="122"/>
      <c r="S10" s="122"/>
      <c r="T10" s="122"/>
      <c r="U10" s="122"/>
      <c r="V10" s="122"/>
      <c r="W10" s="122"/>
      <c r="X10" s="122"/>
      <c r="Y10" s="122"/>
      <c r="Z10" s="122"/>
      <c r="AA10" s="122"/>
      <c r="AB10" s="122"/>
      <c r="AC10" s="39"/>
      <c r="AD10" s="122"/>
      <c r="AE10" s="122"/>
      <c r="AF10" s="122"/>
      <c r="AG10" s="122"/>
      <c r="AH10" s="122"/>
      <c r="AI10" s="122"/>
      <c r="AJ10" s="122"/>
      <c r="AK10" s="122"/>
      <c r="AL10" s="122"/>
      <c r="AM10" s="122"/>
      <c r="AN10" s="122"/>
      <c r="AO10" s="122"/>
      <c r="AP10" s="122"/>
      <c r="AQ10" s="122"/>
      <c r="AR10" s="122"/>
      <c r="AS10" s="122"/>
      <c r="AT10" s="122"/>
      <c r="AU10" s="122"/>
      <c r="AV10" s="122"/>
      <c r="AW10" s="122"/>
      <c r="AX10" s="122"/>
      <c r="AY10" s="122"/>
      <c r="AZ10" s="122"/>
      <c r="BA10" s="122"/>
      <c r="BB10" s="8"/>
      <c r="BC10" s="112"/>
      <c r="BD10" s="305" t="s">
        <v>64</v>
      </c>
      <c r="BE10" s="305"/>
      <c r="BF10" s="305"/>
      <c r="BG10" s="305"/>
      <c r="BH10" s="305"/>
    </row>
    <row r="11" spans="1:60" x14ac:dyDescent="0.25">
      <c r="A11" s="64"/>
      <c r="B11" s="11"/>
      <c r="C11" s="20" t="s">
        <v>45</v>
      </c>
      <c r="E11" s="122"/>
      <c r="F11" s="122"/>
      <c r="G11" s="122"/>
      <c r="H11" s="122"/>
      <c r="I11" s="122"/>
      <c r="J11" s="122"/>
      <c r="K11" s="122"/>
      <c r="L11" s="122"/>
      <c r="M11" s="122"/>
      <c r="N11" s="122"/>
      <c r="O11" s="122"/>
      <c r="P11" s="122"/>
      <c r="Q11" s="122"/>
      <c r="R11" s="122"/>
      <c r="S11" s="122"/>
      <c r="T11" s="122"/>
      <c r="U11" s="122"/>
      <c r="V11" s="122"/>
      <c r="W11" s="122"/>
      <c r="X11" s="122"/>
      <c r="Y11" s="122"/>
      <c r="Z11" s="122"/>
      <c r="AA11" s="122"/>
      <c r="AB11" s="122"/>
      <c r="AC11" s="39"/>
      <c r="AD11" s="122"/>
      <c r="AE11" s="122"/>
      <c r="AF11" s="122"/>
      <c r="AG11" s="122"/>
      <c r="AH11" s="122"/>
      <c r="AI11" s="122"/>
      <c r="AJ11" s="122"/>
      <c r="AK11" s="122"/>
      <c r="AL11" s="122"/>
      <c r="AM11" s="122"/>
      <c r="AN11" s="122"/>
      <c r="AO11" s="122"/>
      <c r="AP11" s="122"/>
      <c r="AQ11" s="122"/>
      <c r="AR11" s="122"/>
      <c r="AS11" s="122"/>
      <c r="AT11" s="122"/>
      <c r="AU11" s="122"/>
      <c r="AV11" s="122"/>
      <c r="AW11" s="122"/>
      <c r="AX11" s="122"/>
      <c r="AY11" s="122"/>
      <c r="AZ11" s="122"/>
      <c r="BA11" s="122"/>
      <c r="BB11" s="8"/>
      <c r="BC11" s="116"/>
      <c r="BD11" s="301" t="s">
        <v>81</v>
      </c>
      <c r="BE11" s="301"/>
      <c r="BF11" s="301"/>
      <c r="BG11" s="301"/>
      <c r="BH11" s="301"/>
    </row>
    <row r="12" spans="1:60" x14ac:dyDescent="0.25">
      <c r="A12" s="64"/>
      <c r="B12" s="11"/>
      <c r="C12" s="20" t="s">
        <v>46</v>
      </c>
      <c r="E12" s="122"/>
      <c r="F12" s="122"/>
      <c r="G12" s="122"/>
      <c r="H12" s="122"/>
      <c r="I12" s="122"/>
      <c r="J12" s="122"/>
      <c r="K12" s="122"/>
      <c r="L12" s="122"/>
      <c r="M12" s="122"/>
      <c r="N12" s="122"/>
      <c r="O12" s="122"/>
      <c r="P12" s="122"/>
      <c r="Q12" s="122"/>
      <c r="R12" s="122"/>
      <c r="S12" s="122"/>
      <c r="T12" s="122"/>
      <c r="U12" s="122"/>
      <c r="V12" s="122"/>
      <c r="W12" s="122"/>
      <c r="X12" s="122"/>
      <c r="Y12" s="122"/>
      <c r="Z12" s="122"/>
      <c r="AA12" s="122"/>
      <c r="AB12" s="122"/>
      <c r="AC12" s="39"/>
      <c r="AD12" s="122"/>
      <c r="AE12" s="122"/>
      <c r="AF12" s="122"/>
      <c r="AG12" s="122"/>
      <c r="AH12" s="122"/>
      <c r="AI12" s="122"/>
      <c r="AJ12" s="122"/>
      <c r="AK12" s="122"/>
      <c r="AL12" s="122"/>
      <c r="AM12" s="122"/>
      <c r="AN12" s="122"/>
      <c r="AO12" s="122"/>
      <c r="AP12" s="122"/>
      <c r="AQ12" s="122"/>
      <c r="AR12" s="122"/>
      <c r="AS12" s="122"/>
      <c r="AT12" s="122"/>
      <c r="AU12" s="122"/>
      <c r="AV12" s="122"/>
      <c r="AW12" s="122"/>
      <c r="AX12" s="122"/>
      <c r="AY12" s="122"/>
      <c r="AZ12" s="122"/>
      <c r="BA12" s="122"/>
      <c r="BB12" s="8"/>
      <c r="BC12" s="93" t="s">
        <v>77</v>
      </c>
      <c r="BD12" s="301" t="s">
        <v>76</v>
      </c>
      <c r="BE12" s="301"/>
      <c r="BF12" s="301"/>
      <c r="BG12" s="301"/>
      <c r="BH12" s="301"/>
    </row>
    <row r="13" spans="1:60" ht="44.25" customHeight="1" x14ac:dyDescent="0.25">
      <c r="A13" s="64"/>
      <c r="B13" s="11"/>
      <c r="C13" s="21" t="s">
        <v>65</v>
      </c>
      <c r="E13" s="304"/>
      <c r="F13" s="304"/>
      <c r="G13" s="304"/>
      <c r="H13" s="304"/>
      <c r="I13" s="304"/>
      <c r="J13" s="304"/>
      <c r="K13" s="304"/>
      <c r="L13" s="304"/>
      <c r="M13" s="304"/>
      <c r="N13" s="304"/>
      <c r="O13" s="304"/>
      <c r="P13" s="304"/>
      <c r="Q13" s="304"/>
      <c r="R13" s="304"/>
      <c r="S13" s="304"/>
      <c r="T13" s="304"/>
      <c r="U13" s="304"/>
      <c r="V13" s="304"/>
      <c r="W13" s="304"/>
      <c r="X13" s="304"/>
      <c r="Y13" s="304"/>
      <c r="Z13" s="304"/>
      <c r="AA13" s="304"/>
      <c r="AB13" s="304"/>
      <c r="AC13" s="29"/>
      <c r="AD13" s="304"/>
      <c r="AE13" s="304"/>
      <c r="AF13" s="304"/>
      <c r="AG13" s="304"/>
      <c r="AH13" s="304"/>
      <c r="AI13" s="304"/>
      <c r="AJ13" s="304"/>
      <c r="AK13" s="304"/>
      <c r="AL13" s="304"/>
      <c r="AM13" s="304"/>
      <c r="AN13" s="304"/>
      <c r="AO13" s="304"/>
      <c r="AP13" s="304"/>
      <c r="AQ13" s="304"/>
      <c r="AR13" s="304"/>
      <c r="AS13" s="304"/>
      <c r="AT13" s="304"/>
      <c r="AU13" s="304"/>
      <c r="AV13" s="304"/>
      <c r="AW13" s="304"/>
      <c r="AX13" s="304"/>
      <c r="AY13" s="304"/>
      <c r="AZ13" s="304"/>
      <c r="BA13" s="304"/>
      <c r="BB13" s="8"/>
      <c r="BC13" s="117" t="s">
        <v>82</v>
      </c>
      <c r="BD13" s="301" t="s">
        <v>83</v>
      </c>
      <c r="BE13" s="301"/>
      <c r="BF13" s="301"/>
      <c r="BG13" s="301"/>
      <c r="BH13" s="301"/>
    </row>
    <row r="14" spans="1:60" ht="43.5" customHeight="1" x14ac:dyDescent="0.25">
      <c r="A14" s="64"/>
      <c r="B14" s="11"/>
      <c r="C14" s="21" t="s">
        <v>47</v>
      </c>
      <c r="E14" s="309"/>
      <c r="F14" s="310"/>
      <c r="G14" s="310"/>
      <c r="H14" s="310"/>
      <c r="I14" s="310"/>
      <c r="J14" s="310"/>
      <c r="K14" s="310"/>
      <c r="L14" s="310"/>
      <c r="M14" s="310"/>
      <c r="N14" s="310"/>
      <c r="O14" s="310"/>
      <c r="P14" s="311"/>
      <c r="Q14" s="312"/>
      <c r="R14" s="310"/>
      <c r="S14" s="310"/>
      <c r="T14" s="310"/>
      <c r="U14" s="310"/>
      <c r="V14" s="310"/>
      <c r="W14" s="310"/>
      <c r="X14" s="310"/>
      <c r="Y14" s="310"/>
      <c r="Z14" s="310"/>
      <c r="AA14" s="310"/>
      <c r="AB14" s="310"/>
      <c r="AC14" s="29"/>
      <c r="AD14" s="309"/>
      <c r="AE14" s="310"/>
      <c r="AF14" s="310"/>
      <c r="AG14" s="310"/>
      <c r="AH14" s="310"/>
      <c r="AI14" s="310"/>
      <c r="AJ14" s="310"/>
      <c r="AK14" s="310"/>
      <c r="AL14" s="310"/>
      <c r="AM14" s="310"/>
      <c r="AN14" s="310"/>
      <c r="AO14" s="311"/>
      <c r="AP14" s="312"/>
      <c r="AQ14" s="310"/>
      <c r="AR14" s="310"/>
      <c r="AS14" s="310"/>
      <c r="AT14" s="310"/>
      <c r="AU14" s="310"/>
      <c r="AV14" s="310"/>
      <c r="AW14" s="310"/>
      <c r="AX14" s="310"/>
      <c r="AY14" s="310"/>
      <c r="AZ14" s="310"/>
      <c r="BA14" s="310"/>
      <c r="BB14" s="8"/>
      <c r="BC14" s="118"/>
      <c r="BD14" s="306" t="s">
        <v>119</v>
      </c>
      <c r="BE14" s="307"/>
      <c r="BF14" s="307"/>
      <c r="BG14" s="307"/>
      <c r="BH14" s="308"/>
    </row>
    <row r="15" spans="1:60" s="12" customFormat="1" ht="18.75" x14ac:dyDescent="0.3">
      <c r="A15" s="65"/>
      <c r="B15" s="26"/>
      <c r="E15" s="13">
        <v>3</v>
      </c>
      <c r="F15" s="13"/>
      <c r="G15" s="13"/>
      <c r="H15" s="13"/>
      <c r="I15" s="13"/>
      <c r="J15" s="13"/>
      <c r="K15" s="13"/>
      <c r="L15" s="13"/>
      <c r="M15" s="13"/>
      <c r="N15" s="13"/>
      <c r="O15" s="13"/>
      <c r="P15" s="13"/>
      <c r="Q15" s="13"/>
      <c r="R15" s="13"/>
      <c r="S15" s="13"/>
      <c r="T15" s="13"/>
      <c r="U15" s="13"/>
      <c r="V15" s="13"/>
      <c r="W15" s="13"/>
      <c r="X15" s="13"/>
      <c r="Y15" s="13"/>
      <c r="Z15" s="13"/>
      <c r="AA15" s="13"/>
      <c r="AB15" s="13"/>
      <c r="AD15" s="13">
        <v>4</v>
      </c>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5"/>
      <c r="BC15" s="119"/>
      <c r="BD15" s="301" t="s">
        <v>121</v>
      </c>
      <c r="BE15" s="301"/>
      <c r="BF15" s="301"/>
      <c r="BG15" s="301"/>
      <c r="BH15" s="301"/>
    </row>
    <row r="16" spans="1:60" s="24" customFormat="1" x14ac:dyDescent="0.25">
      <c r="A16" s="64"/>
      <c r="B16" s="11"/>
      <c r="C16" s="22"/>
      <c r="D16" s="22"/>
      <c r="E16" s="36">
        <v>0</v>
      </c>
      <c r="F16" s="36">
        <v>1</v>
      </c>
      <c r="G16" s="36">
        <v>2</v>
      </c>
      <c r="H16" s="36">
        <v>3</v>
      </c>
      <c r="I16" s="36">
        <v>4</v>
      </c>
      <c r="J16" s="36">
        <v>5</v>
      </c>
      <c r="K16" s="36">
        <v>6</v>
      </c>
      <c r="L16" s="36">
        <v>7</v>
      </c>
      <c r="M16" s="36">
        <v>8</v>
      </c>
      <c r="N16" s="36">
        <v>9</v>
      </c>
      <c r="O16" s="36">
        <v>10</v>
      </c>
      <c r="P16" s="36">
        <v>11</v>
      </c>
      <c r="Q16" s="36">
        <v>12</v>
      </c>
      <c r="R16" s="36">
        <v>13</v>
      </c>
      <c r="S16" s="36">
        <v>14</v>
      </c>
      <c r="T16" s="36">
        <v>15</v>
      </c>
      <c r="U16" s="36">
        <v>16</v>
      </c>
      <c r="V16" s="36">
        <v>17</v>
      </c>
      <c r="W16" s="36">
        <v>18</v>
      </c>
      <c r="X16" s="36">
        <v>19</v>
      </c>
      <c r="Y16" s="36">
        <v>20</v>
      </c>
      <c r="Z16" s="36">
        <v>21</v>
      </c>
      <c r="AA16" s="36">
        <v>22</v>
      </c>
      <c r="AB16" s="36">
        <v>23</v>
      </c>
      <c r="AC16" s="22"/>
      <c r="AD16" s="36">
        <v>0</v>
      </c>
      <c r="AE16" s="36">
        <v>1</v>
      </c>
      <c r="AF16" s="36">
        <v>2</v>
      </c>
      <c r="AG16" s="36">
        <v>3</v>
      </c>
      <c r="AH16" s="36">
        <v>4</v>
      </c>
      <c r="AI16" s="36">
        <v>5</v>
      </c>
      <c r="AJ16" s="36">
        <v>6</v>
      </c>
      <c r="AK16" s="36">
        <v>7</v>
      </c>
      <c r="AL16" s="36">
        <v>8</v>
      </c>
      <c r="AM16" s="36">
        <v>9</v>
      </c>
      <c r="AN16" s="36">
        <v>10</v>
      </c>
      <c r="AO16" s="36">
        <v>11</v>
      </c>
      <c r="AP16" s="36">
        <v>12</v>
      </c>
      <c r="AQ16" s="36">
        <v>13</v>
      </c>
      <c r="AR16" s="36">
        <v>14</v>
      </c>
      <c r="AS16" s="36">
        <v>15</v>
      </c>
      <c r="AT16" s="36">
        <v>16</v>
      </c>
      <c r="AU16" s="36">
        <v>17</v>
      </c>
      <c r="AV16" s="36">
        <v>18</v>
      </c>
      <c r="AW16" s="36">
        <v>19</v>
      </c>
      <c r="AX16" s="36">
        <v>20</v>
      </c>
      <c r="AY16" s="36">
        <v>21</v>
      </c>
      <c r="AZ16" s="36">
        <v>22</v>
      </c>
      <c r="BA16" s="36">
        <v>23</v>
      </c>
      <c r="BB16" s="23"/>
      <c r="BC16" s="117" t="s">
        <v>123</v>
      </c>
      <c r="BD16" s="301" t="s">
        <v>124</v>
      </c>
      <c r="BE16" s="301"/>
      <c r="BF16" s="301"/>
      <c r="BG16" s="301"/>
      <c r="BH16" s="301"/>
    </row>
    <row r="17" spans="1:60" s="24" customFormat="1" ht="15" customHeight="1" x14ac:dyDescent="0.25">
      <c r="A17" s="64"/>
      <c r="B17" s="11"/>
      <c r="C17" s="22"/>
      <c r="D17" s="22"/>
      <c r="E17" s="37" t="s">
        <v>17</v>
      </c>
      <c r="F17" s="37" t="s">
        <v>18</v>
      </c>
      <c r="G17" s="37" t="s">
        <v>19</v>
      </c>
      <c r="H17" s="37" t="s">
        <v>20</v>
      </c>
      <c r="I17" s="37" t="s">
        <v>21</v>
      </c>
      <c r="J17" s="37" t="s">
        <v>22</v>
      </c>
      <c r="K17" s="37" t="s">
        <v>23</v>
      </c>
      <c r="L17" s="37" t="s">
        <v>24</v>
      </c>
      <c r="M17" s="37" t="s">
        <v>25</v>
      </c>
      <c r="N17" s="37" t="s">
        <v>26</v>
      </c>
      <c r="O17" s="37" t="s">
        <v>27</v>
      </c>
      <c r="P17" s="37" t="s">
        <v>28</v>
      </c>
      <c r="Q17" s="37" t="s">
        <v>29</v>
      </c>
      <c r="R17" s="37" t="s">
        <v>30</v>
      </c>
      <c r="S17" s="37" t="s">
        <v>31</v>
      </c>
      <c r="T17" s="37" t="s">
        <v>32</v>
      </c>
      <c r="U17" s="37" t="s">
        <v>33</v>
      </c>
      <c r="V17" s="37" t="s">
        <v>34</v>
      </c>
      <c r="W17" s="37" t="s">
        <v>35</v>
      </c>
      <c r="X17" s="37" t="s">
        <v>36</v>
      </c>
      <c r="Y17" s="37" t="s">
        <v>37</v>
      </c>
      <c r="Z17" s="37" t="s">
        <v>38</v>
      </c>
      <c r="AA17" s="37" t="s">
        <v>39</v>
      </c>
      <c r="AB17" s="37" t="s">
        <v>40</v>
      </c>
      <c r="AC17" s="22"/>
      <c r="AD17" s="37" t="s">
        <v>17</v>
      </c>
      <c r="AE17" s="37" t="s">
        <v>18</v>
      </c>
      <c r="AF17" s="37" t="s">
        <v>19</v>
      </c>
      <c r="AG17" s="37" t="s">
        <v>20</v>
      </c>
      <c r="AH17" s="37" t="s">
        <v>21</v>
      </c>
      <c r="AI17" s="37" t="s">
        <v>22</v>
      </c>
      <c r="AJ17" s="37" t="s">
        <v>23</v>
      </c>
      <c r="AK17" s="37" t="s">
        <v>24</v>
      </c>
      <c r="AL17" s="37" t="s">
        <v>25</v>
      </c>
      <c r="AM17" s="37" t="s">
        <v>26</v>
      </c>
      <c r="AN17" s="37" t="s">
        <v>27</v>
      </c>
      <c r="AO17" s="37" t="s">
        <v>28</v>
      </c>
      <c r="AP17" s="37" t="s">
        <v>29</v>
      </c>
      <c r="AQ17" s="37" t="s">
        <v>30</v>
      </c>
      <c r="AR17" s="37" t="s">
        <v>31</v>
      </c>
      <c r="AS17" s="37" t="s">
        <v>32</v>
      </c>
      <c r="AT17" s="37" t="s">
        <v>33</v>
      </c>
      <c r="AU17" s="37" t="s">
        <v>34</v>
      </c>
      <c r="AV17" s="37" t="s">
        <v>35</v>
      </c>
      <c r="AW17" s="37" t="s">
        <v>36</v>
      </c>
      <c r="AX17" s="37" t="s">
        <v>37</v>
      </c>
      <c r="AY17" s="37" t="s">
        <v>38</v>
      </c>
      <c r="AZ17" s="37" t="s">
        <v>39</v>
      </c>
      <c r="BA17" s="37" t="s">
        <v>40</v>
      </c>
      <c r="BB17" s="23"/>
      <c r="BC17" s="120"/>
    </row>
    <row r="18" spans="1:60" ht="15.75" customHeight="1" x14ac:dyDescent="0.25">
      <c r="A18" s="64"/>
      <c r="B18" s="11"/>
      <c r="C18" s="20" t="s">
        <v>41</v>
      </c>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c r="AC18" s="38"/>
      <c r="AD18" s="122"/>
      <c r="AE18" s="122"/>
      <c r="AF18" s="122"/>
      <c r="AG18" s="122"/>
      <c r="AH18" s="122"/>
      <c r="AI18" s="122"/>
      <c r="AJ18" s="122"/>
      <c r="AK18" s="122"/>
      <c r="AL18" s="122"/>
      <c r="AM18" s="122"/>
      <c r="AN18" s="122"/>
      <c r="AO18" s="122"/>
      <c r="AP18" s="122"/>
      <c r="AQ18" s="122"/>
      <c r="AR18" s="122"/>
      <c r="AS18" s="122"/>
      <c r="AT18" s="122"/>
      <c r="AU18" s="122"/>
      <c r="AV18" s="122"/>
      <c r="AW18" s="122"/>
      <c r="AX18" s="122"/>
      <c r="AY18" s="122"/>
      <c r="AZ18" s="122"/>
      <c r="BA18" s="122"/>
      <c r="BB18" s="8"/>
      <c r="BC18" s="59"/>
      <c r="BD18" s="7"/>
      <c r="BE18" s="7"/>
      <c r="BF18" s="7"/>
      <c r="BG18" s="7"/>
      <c r="BH18" s="7"/>
    </row>
    <row r="19" spans="1:60" x14ac:dyDescent="0.25">
      <c r="A19" s="64"/>
      <c r="B19" s="11"/>
      <c r="C19" s="20" t="s">
        <v>42</v>
      </c>
      <c r="E19" s="122"/>
      <c r="F19" s="122"/>
      <c r="G19" s="122"/>
      <c r="H19" s="122"/>
      <c r="I19" s="122"/>
      <c r="J19" s="122"/>
      <c r="K19" s="122"/>
      <c r="L19" s="122"/>
      <c r="M19" s="122"/>
      <c r="N19" s="122"/>
      <c r="O19" s="122"/>
      <c r="P19" s="122"/>
      <c r="Q19" s="122"/>
      <c r="R19" s="122"/>
      <c r="S19" s="122"/>
      <c r="T19" s="122"/>
      <c r="U19" s="122"/>
      <c r="V19" s="122"/>
      <c r="W19" s="122"/>
      <c r="X19" s="122"/>
      <c r="Y19" s="122"/>
      <c r="Z19" s="122"/>
      <c r="AA19" s="122"/>
      <c r="AB19" s="122"/>
      <c r="AC19" s="38"/>
      <c r="AD19" s="122"/>
      <c r="AE19" s="122"/>
      <c r="AF19" s="122"/>
      <c r="AG19" s="122"/>
      <c r="AH19" s="122"/>
      <c r="AI19" s="122"/>
      <c r="AJ19" s="122"/>
      <c r="AK19" s="122"/>
      <c r="AL19" s="122"/>
      <c r="AM19" s="122"/>
      <c r="AN19" s="122"/>
      <c r="AO19" s="122"/>
      <c r="AP19" s="122"/>
      <c r="AQ19" s="122"/>
      <c r="AR19" s="122"/>
      <c r="AS19" s="122"/>
      <c r="AT19" s="122"/>
      <c r="AU19" s="122"/>
      <c r="AV19" s="122"/>
      <c r="AW19" s="122"/>
      <c r="AX19" s="122"/>
      <c r="AY19" s="122"/>
      <c r="AZ19" s="122"/>
      <c r="BA19" s="122"/>
      <c r="BB19" s="8"/>
      <c r="BC19" s="59"/>
      <c r="BD19" s="7"/>
      <c r="BE19" s="7"/>
      <c r="BF19" s="7"/>
      <c r="BG19" s="7"/>
      <c r="BH19" s="7"/>
    </row>
    <row r="20" spans="1:60" x14ac:dyDescent="0.25">
      <c r="A20" s="64"/>
      <c r="B20" s="11"/>
      <c r="C20" s="20" t="s">
        <v>43</v>
      </c>
      <c r="E20" s="122"/>
      <c r="F20" s="122"/>
      <c r="G20" s="122"/>
      <c r="H20" s="122"/>
      <c r="I20" s="122"/>
      <c r="J20" s="122"/>
      <c r="K20" s="122"/>
      <c r="L20" s="122"/>
      <c r="M20" s="122"/>
      <c r="N20" s="122"/>
      <c r="O20" s="122"/>
      <c r="P20" s="122"/>
      <c r="Q20" s="122"/>
      <c r="R20" s="122"/>
      <c r="S20" s="122"/>
      <c r="T20" s="122"/>
      <c r="U20" s="122"/>
      <c r="V20" s="122"/>
      <c r="W20" s="122"/>
      <c r="X20" s="122"/>
      <c r="Y20" s="122"/>
      <c r="Z20" s="122"/>
      <c r="AA20" s="122"/>
      <c r="AB20" s="122"/>
      <c r="AC20" s="38"/>
      <c r="AD20" s="122"/>
      <c r="AE20" s="122"/>
      <c r="AF20" s="122"/>
      <c r="AG20" s="122"/>
      <c r="AH20" s="122"/>
      <c r="AI20" s="122"/>
      <c r="AJ20" s="122"/>
      <c r="AK20" s="122"/>
      <c r="AL20" s="122"/>
      <c r="AM20" s="122"/>
      <c r="AN20" s="122"/>
      <c r="AO20" s="122"/>
      <c r="AP20" s="122"/>
      <c r="AQ20" s="122"/>
      <c r="AR20" s="122"/>
      <c r="AS20" s="122"/>
      <c r="AT20" s="122"/>
      <c r="AU20" s="122"/>
      <c r="AV20" s="122"/>
      <c r="AW20" s="122"/>
      <c r="AX20" s="122"/>
      <c r="AY20" s="122"/>
      <c r="AZ20" s="122"/>
      <c r="BA20" s="122"/>
      <c r="BB20" s="8"/>
      <c r="BC20" s="59"/>
      <c r="BD20" s="7"/>
      <c r="BE20" s="7"/>
      <c r="BF20" s="7"/>
      <c r="BG20" s="7"/>
      <c r="BH20" s="7"/>
    </row>
    <row r="21" spans="1:60" x14ac:dyDescent="0.25">
      <c r="A21" s="64"/>
      <c r="B21" s="11"/>
      <c r="C21" s="20" t="s">
        <v>44</v>
      </c>
      <c r="E21" s="122"/>
      <c r="F21" s="122"/>
      <c r="G21" s="122"/>
      <c r="H21" s="122"/>
      <c r="I21" s="122"/>
      <c r="J21" s="122"/>
      <c r="K21" s="122"/>
      <c r="L21" s="122"/>
      <c r="M21" s="122"/>
      <c r="N21" s="122"/>
      <c r="O21" s="122"/>
      <c r="P21" s="122"/>
      <c r="Q21" s="122"/>
      <c r="R21" s="122"/>
      <c r="S21" s="122"/>
      <c r="T21" s="122"/>
      <c r="U21" s="122"/>
      <c r="V21" s="122"/>
      <c r="W21" s="122"/>
      <c r="X21" s="122"/>
      <c r="Y21" s="122"/>
      <c r="Z21" s="122"/>
      <c r="AA21" s="122"/>
      <c r="AB21" s="122"/>
      <c r="AC21" s="38"/>
      <c r="AD21" s="122"/>
      <c r="AE21" s="122"/>
      <c r="AF21" s="122"/>
      <c r="AG21" s="122"/>
      <c r="AH21" s="122"/>
      <c r="AI21" s="122"/>
      <c r="AJ21" s="122"/>
      <c r="AK21" s="122"/>
      <c r="AL21" s="122"/>
      <c r="AM21" s="122"/>
      <c r="AN21" s="122"/>
      <c r="AO21" s="122"/>
      <c r="AP21" s="122"/>
      <c r="AQ21" s="122"/>
      <c r="AR21" s="122"/>
      <c r="AS21" s="122"/>
      <c r="AT21" s="122"/>
      <c r="AU21" s="122"/>
      <c r="AV21" s="122"/>
      <c r="AW21" s="122"/>
      <c r="AX21" s="122"/>
      <c r="AY21" s="122"/>
      <c r="AZ21" s="122"/>
      <c r="BA21" s="122"/>
      <c r="BB21" s="8"/>
      <c r="BC21" s="59"/>
      <c r="BD21" s="7"/>
      <c r="BE21" s="7"/>
      <c r="BF21" s="7"/>
      <c r="BG21" s="7"/>
      <c r="BH21" s="7"/>
    </row>
    <row r="22" spans="1:60" x14ac:dyDescent="0.25">
      <c r="A22" s="64"/>
      <c r="B22" s="11"/>
      <c r="C22" s="20" t="s">
        <v>45</v>
      </c>
      <c r="E22" s="122"/>
      <c r="F22" s="122"/>
      <c r="G22" s="122"/>
      <c r="H22" s="122"/>
      <c r="I22" s="122"/>
      <c r="J22" s="122"/>
      <c r="K22" s="122"/>
      <c r="L22" s="122"/>
      <c r="M22" s="122"/>
      <c r="N22" s="122"/>
      <c r="O22" s="122"/>
      <c r="P22" s="122"/>
      <c r="Q22" s="122"/>
      <c r="R22" s="122"/>
      <c r="S22" s="122"/>
      <c r="T22" s="122"/>
      <c r="U22" s="122"/>
      <c r="V22" s="122"/>
      <c r="W22" s="122"/>
      <c r="X22" s="122"/>
      <c r="Y22" s="122"/>
      <c r="Z22" s="122"/>
      <c r="AA22" s="122"/>
      <c r="AB22" s="122"/>
      <c r="AC22" s="38"/>
      <c r="AD22" s="122"/>
      <c r="AE22" s="122"/>
      <c r="AF22" s="122"/>
      <c r="AG22" s="122"/>
      <c r="AH22" s="122"/>
      <c r="AI22" s="122"/>
      <c r="AJ22" s="122"/>
      <c r="AK22" s="122"/>
      <c r="AL22" s="122"/>
      <c r="AM22" s="122"/>
      <c r="AN22" s="122"/>
      <c r="AO22" s="122"/>
      <c r="AP22" s="122"/>
      <c r="AQ22" s="122"/>
      <c r="AR22" s="122"/>
      <c r="AS22" s="122"/>
      <c r="AT22" s="122"/>
      <c r="AU22" s="122"/>
      <c r="AV22" s="122"/>
      <c r="AW22" s="122"/>
      <c r="AX22" s="122"/>
      <c r="AY22" s="122"/>
      <c r="AZ22" s="122"/>
      <c r="BA22" s="122"/>
      <c r="BB22" s="8"/>
      <c r="BC22" s="59"/>
      <c r="BD22" s="7"/>
      <c r="BE22" s="7"/>
      <c r="BF22" s="7"/>
      <c r="BG22" s="7"/>
      <c r="BH22" s="7"/>
    </row>
    <row r="23" spans="1:60" x14ac:dyDescent="0.25">
      <c r="A23" s="64"/>
      <c r="B23" s="11"/>
      <c r="C23" s="20" t="s">
        <v>46</v>
      </c>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38"/>
      <c r="AD23" s="122"/>
      <c r="AE23" s="122"/>
      <c r="AF23" s="122"/>
      <c r="AG23" s="122"/>
      <c r="AH23" s="122"/>
      <c r="AI23" s="122"/>
      <c r="AJ23" s="122"/>
      <c r="AK23" s="122"/>
      <c r="AL23" s="122"/>
      <c r="AM23" s="122"/>
      <c r="AN23" s="122"/>
      <c r="AO23" s="122"/>
      <c r="AP23" s="122"/>
      <c r="AQ23" s="122"/>
      <c r="AR23" s="122"/>
      <c r="AS23" s="122"/>
      <c r="AT23" s="122"/>
      <c r="AU23" s="122"/>
      <c r="AV23" s="122"/>
      <c r="AW23" s="122"/>
      <c r="AX23" s="122"/>
      <c r="AY23" s="122"/>
      <c r="AZ23" s="122"/>
      <c r="BA23" s="122"/>
      <c r="BB23" s="8"/>
      <c r="BC23" s="59"/>
      <c r="BD23" s="7"/>
      <c r="BE23" s="7"/>
      <c r="BF23" s="7"/>
      <c r="BG23" s="7"/>
      <c r="BH23" s="7"/>
    </row>
    <row r="24" spans="1:60" ht="48" customHeight="1" x14ac:dyDescent="0.25">
      <c r="A24" s="64"/>
      <c r="B24" s="11"/>
      <c r="C24" s="21" t="s">
        <v>65</v>
      </c>
      <c r="E24" s="304"/>
      <c r="F24" s="304"/>
      <c r="G24" s="304"/>
      <c r="H24" s="304"/>
      <c r="I24" s="304"/>
      <c r="J24" s="304"/>
      <c r="K24" s="304"/>
      <c r="L24" s="304"/>
      <c r="M24" s="304"/>
      <c r="N24" s="304"/>
      <c r="O24" s="304"/>
      <c r="P24" s="304"/>
      <c r="Q24" s="304"/>
      <c r="R24" s="304"/>
      <c r="S24" s="304"/>
      <c r="T24" s="304"/>
      <c r="U24" s="304"/>
      <c r="V24" s="304"/>
      <c r="W24" s="304"/>
      <c r="X24" s="304"/>
      <c r="Y24" s="304"/>
      <c r="Z24" s="304"/>
      <c r="AA24" s="304"/>
      <c r="AB24" s="304"/>
      <c r="AC24" s="29"/>
      <c r="AD24" s="304"/>
      <c r="AE24" s="304"/>
      <c r="AF24" s="304"/>
      <c r="AG24" s="304"/>
      <c r="AH24" s="304"/>
      <c r="AI24" s="304"/>
      <c r="AJ24" s="304"/>
      <c r="AK24" s="304"/>
      <c r="AL24" s="304"/>
      <c r="AM24" s="304"/>
      <c r="AN24" s="304"/>
      <c r="AO24" s="304"/>
      <c r="AP24" s="304"/>
      <c r="AQ24" s="304"/>
      <c r="AR24" s="304"/>
      <c r="AS24" s="304"/>
      <c r="AT24" s="304"/>
      <c r="AU24" s="304"/>
      <c r="AV24" s="304"/>
      <c r="AW24" s="304"/>
      <c r="AX24" s="304"/>
      <c r="AY24" s="304"/>
      <c r="AZ24" s="304"/>
      <c r="BA24" s="304"/>
      <c r="BB24" s="8"/>
      <c r="BC24" s="113"/>
      <c r="BD24" s="11"/>
      <c r="BE24" s="11"/>
      <c r="BF24" s="11"/>
      <c r="BG24" s="11"/>
      <c r="BH24" s="11"/>
    </row>
    <row r="25" spans="1:60" ht="43.5" customHeight="1" x14ac:dyDescent="0.25">
      <c r="A25" s="64"/>
      <c r="B25" s="11"/>
      <c r="C25" s="21" t="s">
        <v>47</v>
      </c>
      <c r="E25" s="309"/>
      <c r="F25" s="310"/>
      <c r="G25" s="310"/>
      <c r="H25" s="310"/>
      <c r="I25" s="310"/>
      <c r="J25" s="310"/>
      <c r="K25" s="310"/>
      <c r="L25" s="310"/>
      <c r="M25" s="310"/>
      <c r="N25" s="310"/>
      <c r="O25" s="310"/>
      <c r="P25" s="311"/>
      <c r="Q25" s="312"/>
      <c r="R25" s="310"/>
      <c r="S25" s="310"/>
      <c r="T25" s="310"/>
      <c r="U25" s="310"/>
      <c r="V25" s="310"/>
      <c r="W25" s="310"/>
      <c r="X25" s="310"/>
      <c r="Y25" s="310"/>
      <c r="Z25" s="310"/>
      <c r="AA25" s="310"/>
      <c r="AB25" s="310"/>
      <c r="AC25" s="29"/>
      <c r="AD25" s="309"/>
      <c r="AE25" s="310"/>
      <c r="AF25" s="310"/>
      <c r="AG25" s="310"/>
      <c r="AH25" s="310"/>
      <c r="AI25" s="310"/>
      <c r="AJ25" s="310"/>
      <c r="AK25" s="310"/>
      <c r="AL25" s="310"/>
      <c r="AM25" s="310"/>
      <c r="AN25" s="310"/>
      <c r="AO25" s="311"/>
      <c r="AP25" s="312"/>
      <c r="AQ25" s="310"/>
      <c r="AR25" s="310"/>
      <c r="AS25" s="310"/>
      <c r="AT25" s="310"/>
      <c r="AU25" s="310"/>
      <c r="AV25" s="310"/>
      <c r="AW25" s="310"/>
      <c r="AX25" s="310"/>
      <c r="AY25" s="310"/>
      <c r="AZ25" s="310"/>
      <c r="BA25" s="310"/>
      <c r="BB25" s="8"/>
      <c r="BC25" s="113"/>
      <c r="BD25" s="11"/>
      <c r="BE25" s="11"/>
      <c r="BF25" s="11"/>
      <c r="BG25" s="11"/>
      <c r="BH25" s="11"/>
    </row>
    <row r="26" spans="1:60" s="12" customFormat="1" ht="18.75" x14ac:dyDescent="0.3">
      <c r="A26" s="65"/>
      <c r="B26" s="26"/>
      <c r="E26" s="13">
        <v>5</v>
      </c>
      <c r="F26" s="13"/>
      <c r="G26" s="13"/>
      <c r="H26" s="13"/>
      <c r="I26" s="13"/>
      <c r="J26" s="13"/>
      <c r="K26" s="13"/>
      <c r="L26" s="13"/>
      <c r="M26" s="13"/>
      <c r="N26" s="13"/>
      <c r="O26" s="13"/>
      <c r="P26" s="13"/>
      <c r="Q26" s="13"/>
      <c r="R26" s="13"/>
      <c r="S26" s="13"/>
      <c r="T26" s="13"/>
      <c r="U26" s="13"/>
      <c r="V26" s="13"/>
      <c r="W26" s="13"/>
      <c r="X26" s="13"/>
      <c r="Y26" s="13"/>
      <c r="Z26" s="13"/>
      <c r="AA26" s="13"/>
      <c r="AB26" s="13"/>
      <c r="AD26" s="13">
        <v>6</v>
      </c>
      <c r="AE26" s="13"/>
      <c r="AF26" s="13"/>
      <c r="AG26" s="13"/>
      <c r="AH26" s="13"/>
      <c r="AI26" s="13"/>
      <c r="AJ26" s="13"/>
      <c r="AK26" s="13"/>
      <c r="AL26" s="13"/>
      <c r="AM26" s="13"/>
      <c r="AN26" s="13"/>
      <c r="AO26" s="13"/>
      <c r="AP26" s="13"/>
      <c r="AQ26" s="13"/>
      <c r="AR26" s="13"/>
      <c r="AS26" s="13"/>
      <c r="AT26" s="13"/>
      <c r="AU26" s="13"/>
      <c r="AV26" s="13"/>
      <c r="AW26" s="13"/>
      <c r="AX26" s="13"/>
      <c r="AY26" s="13"/>
      <c r="AZ26" s="13"/>
      <c r="BA26" s="13"/>
      <c r="BB26" s="15"/>
      <c r="BC26" s="121"/>
      <c r="BD26" s="26"/>
      <c r="BE26" s="26"/>
      <c r="BF26" s="26"/>
      <c r="BG26" s="26"/>
      <c r="BH26" s="26"/>
    </row>
    <row r="27" spans="1:60" s="24" customFormat="1" x14ac:dyDescent="0.25">
      <c r="A27" s="64"/>
      <c r="B27" s="11"/>
      <c r="C27" s="22"/>
      <c r="D27" s="22"/>
      <c r="E27" s="36">
        <v>0</v>
      </c>
      <c r="F27" s="36">
        <v>1</v>
      </c>
      <c r="G27" s="36">
        <v>2</v>
      </c>
      <c r="H27" s="36">
        <v>3</v>
      </c>
      <c r="I27" s="36">
        <v>4</v>
      </c>
      <c r="J27" s="36">
        <v>5</v>
      </c>
      <c r="K27" s="36">
        <v>6</v>
      </c>
      <c r="L27" s="36">
        <v>7</v>
      </c>
      <c r="M27" s="36">
        <v>8</v>
      </c>
      <c r="N27" s="36">
        <v>9</v>
      </c>
      <c r="O27" s="36">
        <v>10</v>
      </c>
      <c r="P27" s="36">
        <v>11</v>
      </c>
      <c r="Q27" s="36">
        <v>12</v>
      </c>
      <c r="R27" s="36">
        <v>13</v>
      </c>
      <c r="S27" s="36">
        <v>14</v>
      </c>
      <c r="T27" s="36">
        <v>15</v>
      </c>
      <c r="U27" s="36">
        <v>16</v>
      </c>
      <c r="V27" s="36">
        <v>17</v>
      </c>
      <c r="W27" s="36">
        <v>18</v>
      </c>
      <c r="X27" s="36">
        <v>19</v>
      </c>
      <c r="Y27" s="36">
        <v>20</v>
      </c>
      <c r="Z27" s="36">
        <v>21</v>
      </c>
      <c r="AA27" s="36">
        <v>22</v>
      </c>
      <c r="AB27" s="36">
        <v>23</v>
      </c>
      <c r="AC27" s="22"/>
      <c r="AD27" s="36">
        <v>0</v>
      </c>
      <c r="AE27" s="36">
        <v>1</v>
      </c>
      <c r="AF27" s="36">
        <v>2</v>
      </c>
      <c r="AG27" s="36">
        <v>3</v>
      </c>
      <c r="AH27" s="36">
        <v>4</v>
      </c>
      <c r="AI27" s="36">
        <v>5</v>
      </c>
      <c r="AJ27" s="36">
        <v>6</v>
      </c>
      <c r="AK27" s="36">
        <v>7</v>
      </c>
      <c r="AL27" s="36">
        <v>8</v>
      </c>
      <c r="AM27" s="36">
        <v>9</v>
      </c>
      <c r="AN27" s="36">
        <v>10</v>
      </c>
      <c r="AO27" s="36">
        <v>11</v>
      </c>
      <c r="AP27" s="36">
        <v>12</v>
      </c>
      <c r="AQ27" s="36">
        <v>13</v>
      </c>
      <c r="AR27" s="36">
        <v>14</v>
      </c>
      <c r="AS27" s="36">
        <v>15</v>
      </c>
      <c r="AT27" s="36">
        <v>16</v>
      </c>
      <c r="AU27" s="36">
        <v>17</v>
      </c>
      <c r="AV27" s="36">
        <v>18</v>
      </c>
      <c r="AW27" s="36">
        <v>19</v>
      </c>
      <c r="AX27" s="36">
        <v>20</v>
      </c>
      <c r="AY27" s="36">
        <v>21</v>
      </c>
      <c r="AZ27" s="36">
        <v>22</v>
      </c>
      <c r="BA27" s="36">
        <v>23</v>
      </c>
      <c r="BB27" s="23"/>
      <c r="BC27" s="113"/>
      <c r="BD27" s="11"/>
      <c r="BE27" s="11"/>
      <c r="BF27" s="11"/>
      <c r="BG27" s="11"/>
      <c r="BH27" s="11"/>
    </row>
    <row r="28" spans="1:60" s="24" customFormat="1" ht="15" customHeight="1" x14ac:dyDescent="0.25">
      <c r="A28" s="64"/>
      <c r="B28" s="11"/>
      <c r="C28" s="22"/>
      <c r="D28" s="22"/>
      <c r="E28" s="37" t="s">
        <v>17</v>
      </c>
      <c r="F28" s="37" t="s">
        <v>18</v>
      </c>
      <c r="G28" s="37" t="s">
        <v>19</v>
      </c>
      <c r="H28" s="37" t="s">
        <v>20</v>
      </c>
      <c r="I28" s="37" t="s">
        <v>21</v>
      </c>
      <c r="J28" s="37" t="s">
        <v>22</v>
      </c>
      <c r="K28" s="37" t="s">
        <v>23</v>
      </c>
      <c r="L28" s="37" t="s">
        <v>24</v>
      </c>
      <c r="M28" s="37" t="s">
        <v>25</v>
      </c>
      <c r="N28" s="37" t="s">
        <v>26</v>
      </c>
      <c r="O28" s="37" t="s">
        <v>27</v>
      </c>
      <c r="P28" s="37" t="s">
        <v>28</v>
      </c>
      <c r="Q28" s="37" t="s">
        <v>29</v>
      </c>
      <c r="R28" s="37" t="s">
        <v>30</v>
      </c>
      <c r="S28" s="37" t="s">
        <v>31</v>
      </c>
      <c r="T28" s="37" t="s">
        <v>32</v>
      </c>
      <c r="U28" s="37" t="s">
        <v>33</v>
      </c>
      <c r="V28" s="37" t="s">
        <v>34</v>
      </c>
      <c r="W28" s="37" t="s">
        <v>35</v>
      </c>
      <c r="X28" s="37" t="s">
        <v>36</v>
      </c>
      <c r="Y28" s="37" t="s">
        <v>37</v>
      </c>
      <c r="Z28" s="37" t="s">
        <v>38</v>
      </c>
      <c r="AA28" s="37" t="s">
        <v>39</v>
      </c>
      <c r="AB28" s="37" t="s">
        <v>40</v>
      </c>
      <c r="AC28" s="22"/>
      <c r="AD28" s="37" t="s">
        <v>17</v>
      </c>
      <c r="AE28" s="37" t="s">
        <v>18</v>
      </c>
      <c r="AF28" s="37" t="s">
        <v>19</v>
      </c>
      <c r="AG28" s="37" t="s">
        <v>20</v>
      </c>
      <c r="AH28" s="37" t="s">
        <v>21</v>
      </c>
      <c r="AI28" s="37" t="s">
        <v>22</v>
      </c>
      <c r="AJ28" s="37" t="s">
        <v>23</v>
      </c>
      <c r="AK28" s="37" t="s">
        <v>24</v>
      </c>
      <c r="AL28" s="37" t="s">
        <v>25</v>
      </c>
      <c r="AM28" s="37" t="s">
        <v>26</v>
      </c>
      <c r="AN28" s="37" t="s">
        <v>27</v>
      </c>
      <c r="AO28" s="37" t="s">
        <v>28</v>
      </c>
      <c r="AP28" s="37" t="s">
        <v>29</v>
      </c>
      <c r="AQ28" s="37" t="s">
        <v>30</v>
      </c>
      <c r="AR28" s="37" t="s">
        <v>31</v>
      </c>
      <c r="AS28" s="37" t="s">
        <v>32</v>
      </c>
      <c r="AT28" s="37" t="s">
        <v>33</v>
      </c>
      <c r="AU28" s="37" t="s">
        <v>34</v>
      </c>
      <c r="AV28" s="37" t="s">
        <v>35</v>
      </c>
      <c r="AW28" s="37" t="s">
        <v>36</v>
      </c>
      <c r="AX28" s="37" t="s">
        <v>37</v>
      </c>
      <c r="AY28" s="37" t="s">
        <v>38</v>
      </c>
      <c r="AZ28" s="37" t="s">
        <v>39</v>
      </c>
      <c r="BA28" s="37" t="s">
        <v>40</v>
      </c>
      <c r="BB28" s="23"/>
      <c r="BC28" s="113"/>
      <c r="BD28" s="11"/>
      <c r="BE28" s="11"/>
      <c r="BF28" s="11"/>
      <c r="BG28" s="11"/>
      <c r="BH28" s="11"/>
    </row>
    <row r="29" spans="1:60" x14ac:dyDescent="0.25">
      <c r="A29" s="64"/>
      <c r="B29" s="11"/>
      <c r="C29" s="20" t="s">
        <v>41</v>
      </c>
      <c r="E29" s="122"/>
      <c r="F29" s="122"/>
      <c r="G29" s="122"/>
      <c r="H29" s="122"/>
      <c r="I29" s="122"/>
      <c r="J29" s="122"/>
      <c r="K29" s="122"/>
      <c r="L29" s="122"/>
      <c r="M29" s="122"/>
      <c r="N29" s="122"/>
      <c r="O29" s="122"/>
      <c r="P29" s="122"/>
      <c r="Q29" s="122"/>
      <c r="R29" s="122"/>
      <c r="S29" s="122"/>
      <c r="T29" s="122"/>
      <c r="U29" s="122"/>
      <c r="V29" s="122"/>
      <c r="W29" s="122"/>
      <c r="X29" s="122"/>
      <c r="Y29" s="122"/>
      <c r="Z29" s="122"/>
      <c r="AA29" s="122"/>
      <c r="AB29" s="122"/>
      <c r="AC29" s="38"/>
      <c r="AD29" s="122"/>
      <c r="AE29" s="122"/>
      <c r="AF29" s="122"/>
      <c r="AG29" s="122"/>
      <c r="AH29" s="122"/>
      <c r="AI29" s="122"/>
      <c r="AJ29" s="122"/>
      <c r="AK29" s="122"/>
      <c r="AL29" s="122"/>
      <c r="AM29" s="122"/>
      <c r="AN29" s="122"/>
      <c r="AO29" s="122"/>
      <c r="AP29" s="122"/>
      <c r="AQ29" s="122"/>
      <c r="AR29" s="122"/>
      <c r="AS29" s="122"/>
      <c r="AT29" s="122"/>
      <c r="AU29" s="122"/>
      <c r="AV29" s="122"/>
      <c r="AW29" s="122"/>
      <c r="AX29" s="122"/>
      <c r="AY29" s="122"/>
      <c r="AZ29" s="122"/>
      <c r="BA29" s="122"/>
      <c r="BB29" s="8"/>
      <c r="BC29" s="113"/>
      <c r="BD29" s="11"/>
      <c r="BE29" s="11"/>
      <c r="BF29" s="11"/>
      <c r="BG29" s="11"/>
      <c r="BH29" s="11"/>
    </row>
    <row r="30" spans="1:60" x14ac:dyDescent="0.25">
      <c r="A30" s="64"/>
      <c r="B30" s="11"/>
      <c r="C30" s="20" t="s">
        <v>42</v>
      </c>
      <c r="E30" s="122"/>
      <c r="F30" s="122"/>
      <c r="G30" s="122"/>
      <c r="H30" s="122"/>
      <c r="I30" s="122"/>
      <c r="J30" s="122"/>
      <c r="K30" s="122"/>
      <c r="L30" s="122"/>
      <c r="M30" s="122"/>
      <c r="N30" s="122"/>
      <c r="O30" s="122"/>
      <c r="P30" s="122"/>
      <c r="Q30" s="122"/>
      <c r="R30" s="122"/>
      <c r="S30" s="122"/>
      <c r="T30" s="122"/>
      <c r="U30" s="122"/>
      <c r="V30" s="122"/>
      <c r="W30" s="122"/>
      <c r="X30" s="122"/>
      <c r="Y30" s="122"/>
      <c r="Z30" s="122"/>
      <c r="AA30" s="122"/>
      <c r="AB30" s="122"/>
      <c r="AC30" s="38"/>
      <c r="AD30" s="122"/>
      <c r="AE30" s="122"/>
      <c r="AF30" s="122"/>
      <c r="AG30" s="122"/>
      <c r="AH30" s="122"/>
      <c r="AI30" s="122"/>
      <c r="AJ30" s="122"/>
      <c r="AK30" s="122"/>
      <c r="AL30" s="122"/>
      <c r="AM30" s="122"/>
      <c r="AN30" s="122"/>
      <c r="AO30" s="122"/>
      <c r="AP30" s="122"/>
      <c r="AQ30" s="122"/>
      <c r="AR30" s="122"/>
      <c r="AS30" s="122"/>
      <c r="AT30" s="122"/>
      <c r="AU30" s="122"/>
      <c r="AV30" s="122"/>
      <c r="AW30" s="122"/>
      <c r="AX30" s="122"/>
      <c r="AY30" s="122"/>
      <c r="AZ30" s="122"/>
      <c r="BA30" s="122"/>
      <c r="BB30" s="8"/>
      <c r="BC30" s="113"/>
      <c r="BD30" s="11"/>
      <c r="BE30" s="11"/>
      <c r="BF30" s="11"/>
      <c r="BG30" s="11"/>
      <c r="BH30" s="11"/>
    </row>
    <row r="31" spans="1:60" x14ac:dyDescent="0.25">
      <c r="A31" s="64"/>
      <c r="B31" s="11"/>
      <c r="C31" s="20" t="s">
        <v>43</v>
      </c>
      <c r="E31" s="122"/>
      <c r="F31" s="122"/>
      <c r="G31" s="122"/>
      <c r="H31" s="122"/>
      <c r="I31" s="122"/>
      <c r="J31" s="122"/>
      <c r="K31" s="122"/>
      <c r="L31" s="122"/>
      <c r="M31" s="122"/>
      <c r="N31" s="122"/>
      <c r="O31" s="122"/>
      <c r="P31" s="122"/>
      <c r="Q31" s="122"/>
      <c r="R31" s="122"/>
      <c r="S31" s="122"/>
      <c r="T31" s="122"/>
      <c r="U31" s="122"/>
      <c r="V31" s="122"/>
      <c r="W31" s="122"/>
      <c r="X31" s="122"/>
      <c r="Y31" s="122"/>
      <c r="Z31" s="122"/>
      <c r="AA31" s="122"/>
      <c r="AB31" s="122"/>
      <c r="AC31" s="38"/>
      <c r="AD31" s="122"/>
      <c r="AE31" s="122"/>
      <c r="AF31" s="122"/>
      <c r="AG31" s="122"/>
      <c r="AH31" s="122"/>
      <c r="AI31" s="122"/>
      <c r="AJ31" s="122"/>
      <c r="AK31" s="122"/>
      <c r="AL31" s="122"/>
      <c r="AM31" s="122"/>
      <c r="AN31" s="122"/>
      <c r="AO31" s="122"/>
      <c r="AP31" s="122"/>
      <c r="AQ31" s="122"/>
      <c r="AR31" s="122"/>
      <c r="AS31" s="122"/>
      <c r="AT31" s="122"/>
      <c r="AU31" s="122"/>
      <c r="AV31" s="122"/>
      <c r="AW31" s="122"/>
      <c r="AX31" s="122"/>
      <c r="AY31" s="122"/>
      <c r="AZ31" s="122"/>
      <c r="BA31" s="122"/>
      <c r="BB31" s="8"/>
      <c r="BC31" s="113"/>
      <c r="BD31" s="11"/>
      <c r="BE31" s="11"/>
      <c r="BF31" s="11"/>
      <c r="BG31" s="11"/>
      <c r="BH31" s="11"/>
    </row>
    <row r="32" spans="1:60" x14ac:dyDescent="0.25">
      <c r="A32" s="64"/>
      <c r="B32" s="11"/>
      <c r="C32" s="20" t="s">
        <v>44</v>
      </c>
      <c r="E32" s="122"/>
      <c r="F32" s="122"/>
      <c r="G32" s="122"/>
      <c r="H32" s="122"/>
      <c r="I32" s="122"/>
      <c r="J32" s="122"/>
      <c r="K32" s="122"/>
      <c r="L32" s="122"/>
      <c r="M32" s="122"/>
      <c r="N32" s="122"/>
      <c r="O32" s="122"/>
      <c r="P32" s="122"/>
      <c r="Q32" s="122"/>
      <c r="R32" s="122"/>
      <c r="S32" s="122"/>
      <c r="T32" s="122"/>
      <c r="U32" s="122"/>
      <c r="V32" s="122"/>
      <c r="W32" s="122"/>
      <c r="X32" s="122"/>
      <c r="Y32" s="122"/>
      <c r="Z32" s="122"/>
      <c r="AA32" s="122"/>
      <c r="AB32" s="122"/>
      <c r="AC32" s="38"/>
      <c r="AD32" s="122"/>
      <c r="AE32" s="122"/>
      <c r="AF32" s="122"/>
      <c r="AG32" s="122"/>
      <c r="AH32" s="122"/>
      <c r="AI32" s="122"/>
      <c r="AJ32" s="122"/>
      <c r="AK32" s="122"/>
      <c r="AL32" s="122"/>
      <c r="AM32" s="122"/>
      <c r="AN32" s="122"/>
      <c r="AO32" s="122"/>
      <c r="AP32" s="122"/>
      <c r="AQ32" s="122"/>
      <c r="AR32" s="122"/>
      <c r="AS32" s="122"/>
      <c r="AT32" s="122"/>
      <c r="AU32" s="122"/>
      <c r="AV32" s="122"/>
      <c r="AW32" s="122"/>
      <c r="AX32" s="122"/>
      <c r="AY32" s="122"/>
      <c r="AZ32" s="122"/>
      <c r="BA32" s="122"/>
      <c r="BB32" s="8"/>
      <c r="BC32" s="113"/>
      <c r="BD32" s="11"/>
      <c r="BE32" s="11"/>
      <c r="BF32" s="11"/>
      <c r="BG32" s="11"/>
      <c r="BH32" s="11"/>
    </row>
    <row r="33" spans="1:60" x14ac:dyDescent="0.25">
      <c r="A33" s="64"/>
      <c r="B33" s="11"/>
      <c r="C33" s="20" t="s">
        <v>45</v>
      </c>
      <c r="E33" s="122"/>
      <c r="F33" s="122"/>
      <c r="G33" s="122"/>
      <c r="H33" s="122"/>
      <c r="I33" s="122"/>
      <c r="J33" s="122"/>
      <c r="K33" s="122"/>
      <c r="L33" s="122"/>
      <c r="M33" s="122"/>
      <c r="N33" s="122"/>
      <c r="O33" s="122"/>
      <c r="P33" s="122"/>
      <c r="Q33" s="122"/>
      <c r="R33" s="122"/>
      <c r="S33" s="122"/>
      <c r="T33" s="122"/>
      <c r="U33" s="122"/>
      <c r="V33" s="122"/>
      <c r="W33" s="122"/>
      <c r="X33" s="122"/>
      <c r="Y33" s="122"/>
      <c r="Z33" s="122"/>
      <c r="AA33" s="122"/>
      <c r="AB33" s="122"/>
      <c r="AC33" s="38"/>
      <c r="AD33" s="122"/>
      <c r="AE33" s="122"/>
      <c r="AF33" s="122"/>
      <c r="AG33" s="122"/>
      <c r="AH33" s="122"/>
      <c r="AI33" s="122"/>
      <c r="AJ33" s="122"/>
      <c r="AK33" s="122"/>
      <c r="AL33" s="122"/>
      <c r="AM33" s="122"/>
      <c r="AN33" s="122"/>
      <c r="AO33" s="122"/>
      <c r="AP33" s="122"/>
      <c r="AQ33" s="122"/>
      <c r="AR33" s="122"/>
      <c r="AS33" s="122"/>
      <c r="AT33" s="122"/>
      <c r="AU33" s="122"/>
      <c r="AV33" s="122"/>
      <c r="AW33" s="122"/>
      <c r="AX33" s="122"/>
      <c r="AY33" s="122"/>
      <c r="AZ33" s="122"/>
      <c r="BA33" s="122"/>
      <c r="BB33" s="8"/>
      <c r="BD33" s="10"/>
      <c r="BE33" s="10"/>
      <c r="BF33" s="10"/>
      <c r="BG33" s="10"/>
      <c r="BH33" s="10"/>
    </row>
    <row r="34" spans="1:60" x14ac:dyDescent="0.25">
      <c r="A34" s="64"/>
      <c r="B34" s="11"/>
      <c r="C34" s="20" t="s">
        <v>46</v>
      </c>
      <c r="E34" s="122"/>
      <c r="F34" s="122"/>
      <c r="G34" s="122"/>
      <c r="H34" s="122"/>
      <c r="I34" s="122"/>
      <c r="J34" s="122"/>
      <c r="K34" s="122"/>
      <c r="L34" s="122"/>
      <c r="M34" s="122"/>
      <c r="N34" s="122"/>
      <c r="O34" s="122"/>
      <c r="P34" s="122"/>
      <c r="Q34" s="122"/>
      <c r="R34" s="122"/>
      <c r="S34" s="122"/>
      <c r="T34" s="122"/>
      <c r="U34" s="122"/>
      <c r="V34" s="122"/>
      <c r="W34" s="122"/>
      <c r="X34" s="122"/>
      <c r="Y34" s="122"/>
      <c r="Z34" s="122"/>
      <c r="AA34" s="122"/>
      <c r="AB34" s="122"/>
      <c r="AC34" s="38"/>
      <c r="AD34" s="122"/>
      <c r="AE34" s="122"/>
      <c r="AF34" s="122"/>
      <c r="AG34" s="122"/>
      <c r="AH34" s="122"/>
      <c r="AI34" s="122"/>
      <c r="AJ34" s="122"/>
      <c r="AK34" s="122"/>
      <c r="AL34" s="122"/>
      <c r="AM34" s="122"/>
      <c r="AN34" s="122"/>
      <c r="AO34" s="122"/>
      <c r="AP34" s="122"/>
      <c r="AQ34" s="122"/>
      <c r="AR34" s="122"/>
      <c r="AS34" s="122"/>
      <c r="AT34" s="122"/>
      <c r="AU34" s="122"/>
      <c r="AV34" s="122"/>
      <c r="AW34" s="122"/>
      <c r="AX34" s="122"/>
      <c r="AY34" s="122"/>
      <c r="AZ34" s="122"/>
      <c r="BA34" s="122"/>
      <c r="BB34" s="8"/>
      <c r="BD34" s="10"/>
      <c r="BE34" s="10"/>
      <c r="BF34" s="10"/>
      <c r="BG34" s="10"/>
      <c r="BH34" s="10"/>
    </row>
    <row r="35" spans="1:60" ht="45" customHeight="1" x14ac:dyDescent="0.25">
      <c r="A35" s="64"/>
      <c r="B35" s="11"/>
      <c r="C35" s="21" t="s">
        <v>65</v>
      </c>
      <c r="E35" s="304"/>
      <c r="F35" s="304"/>
      <c r="G35" s="304"/>
      <c r="H35" s="304"/>
      <c r="I35" s="304"/>
      <c r="J35" s="304"/>
      <c r="K35" s="304"/>
      <c r="L35" s="304"/>
      <c r="M35" s="304"/>
      <c r="N35" s="304"/>
      <c r="O35" s="304"/>
      <c r="P35" s="304"/>
      <c r="Q35" s="304"/>
      <c r="R35" s="304"/>
      <c r="S35" s="304"/>
      <c r="T35" s="304"/>
      <c r="U35" s="304"/>
      <c r="V35" s="304"/>
      <c r="W35" s="304"/>
      <c r="X35" s="304"/>
      <c r="Y35" s="304"/>
      <c r="Z35" s="304"/>
      <c r="AA35" s="304"/>
      <c r="AB35" s="304"/>
      <c r="AC35" s="29"/>
      <c r="AD35" s="304"/>
      <c r="AE35" s="304"/>
      <c r="AF35" s="304"/>
      <c r="AG35" s="304"/>
      <c r="AH35" s="304"/>
      <c r="AI35" s="304"/>
      <c r="AJ35" s="304"/>
      <c r="AK35" s="304"/>
      <c r="AL35" s="304"/>
      <c r="AM35" s="304"/>
      <c r="AN35" s="304"/>
      <c r="AO35" s="304"/>
      <c r="AP35" s="304"/>
      <c r="AQ35" s="304"/>
      <c r="AR35" s="304"/>
      <c r="AS35" s="304"/>
      <c r="AT35" s="304"/>
      <c r="AU35" s="304"/>
      <c r="AV35" s="304"/>
      <c r="AW35" s="304"/>
      <c r="AX35" s="304"/>
      <c r="AY35" s="304"/>
      <c r="AZ35" s="304"/>
      <c r="BA35" s="304"/>
      <c r="BB35" s="8"/>
      <c r="BC35" s="113"/>
      <c r="BD35" s="11"/>
      <c r="BE35" s="11"/>
      <c r="BF35" s="11"/>
      <c r="BG35" s="11"/>
      <c r="BH35" s="11"/>
    </row>
    <row r="36" spans="1:60" ht="43.5" customHeight="1" x14ac:dyDescent="0.25">
      <c r="A36" s="64"/>
      <c r="B36" s="11"/>
      <c r="C36" s="21" t="s">
        <v>47</v>
      </c>
      <c r="E36" s="309"/>
      <c r="F36" s="310"/>
      <c r="G36" s="310"/>
      <c r="H36" s="310"/>
      <c r="I36" s="310"/>
      <c r="J36" s="310"/>
      <c r="K36" s="310"/>
      <c r="L36" s="310"/>
      <c r="M36" s="310"/>
      <c r="N36" s="310"/>
      <c r="O36" s="310"/>
      <c r="P36" s="311"/>
      <c r="Q36" s="312"/>
      <c r="R36" s="310"/>
      <c r="S36" s="310"/>
      <c r="T36" s="310"/>
      <c r="U36" s="310"/>
      <c r="V36" s="310"/>
      <c r="W36" s="310"/>
      <c r="X36" s="310"/>
      <c r="Y36" s="310"/>
      <c r="Z36" s="310"/>
      <c r="AA36" s="310"/>
      <c r="AB36" s="310"/>
      <c r="AC36" s="29"/>
      <c r="AD36" s="309"/>
      <c r="AE36" s="310"/>
      <c r="AF36" s="310"/>
      <c r="AG36" s="310"/>
      <c r="AH36" s="310"/>
      <c r="AI36" s="310"/>
      <c r="AJ36" s="310"/>
      <c r="AK36" s="310"/>
      <c r="AL36" s="310"/>
      <c r="AM36" s="310"/>
      <c r="AN36" s="310"/>
      <c r="AO36" s="311"/>
      <c r="AP36" s="312"/>
      <c r="AQ36" s="310"/>
      <c r="AR36" s="310"/>
      <c r="AS36" s="310"/>
      <c r="AT36" s="310"/>
      <c r="AU36" s="310"/>
      <c r="AV36" s="310"/>
      <c r="AW36" s="310"/>
      <c r="AX36" s="310"/>
      <c r="AY36" s="310"/>
      <c r="AZ36" s="310"/>
      <c r="BA36" s="310"/>
      <c r="BB36" s="8"/>
      <c r="BC36" s="113"/>
      <c r="BD36" s="11"/>
      <c r="BE36" s="11"/>
      <c r="BF36" s="11"/>
      <c r="BG36" s="11"/>
      <c r="BH36" s="11"/>
    </row>
    <row r="37" spans="1:60" s="10" customFormat="1" ht="20.25" customHeight="1" x14ac:dyDescent="0.3">
      <c r="C37" s="12"/>
      <c r="D37" s="12"/>
      <c r="E37" s="13">
        <v>7</v>
      </c>
      <c r="F37" s="13"/>
      <c r="G37" s="13"/>
      <c r="H37" s="13"/>
      <c r="I37" s="13"/>
      <c r="J37" s="13"/>
      <c r="K37" s="13"/>
      <c r="L37" s="13"/>
      <c r="M37" s="13"/>
      <c r="N37" s="13"/>
      <c r="O37" s="13"/>
      <c r="P37" s="13"/>
      <c r="Q37" s="13"/>
      <c r="R37" s="13"/>
      <c r="S37" s="13"/>
      <c r="T37" s="13"/>
      <c r="U37" s="13"/>
      <c r="V37" s="13"/>
      <c r="W37" s="13"/>
      <c r="X37" s="13"/>
      <c r="Y37" s="13"/>
      <c r="Z37" s="13"/>
      <c r="AA37" s="13"/>
      <c r="AB37" s="13"/>
      <c r="AC37" s="12"/>
      <c r="AD37" s="13">
        <v>8</v>
      </c>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C37" s="120"/>
    </row>
    <row r="38" spans="1:60" s="10" customFormat="1" ht="18.75" customHeight="1" x14ac:dyDescent="0.25">
      <c r="C38" s="22"/>
      <c r="D38" s="22"/>
      <c r="E38" s="36">
        <v>0</v>
      </c>
      <c r="F38" s="36">
        <v>1</v>
      </c>
      <c r="G38" s="36">
        <v>2</v>
      </c>
      <c r="H38" s="36">
        <v>3</v>
      </c>
      <c r="I38" s="36">
        <v>4</v>
      </c>
      <c r="J38" s="36">
        <v>5</v>
      </c>
      <c r="K38" s="36">
        <v>6</v>
      </c>
      <c r="L38" s="36">
        <v>7</v>
      </c>
      <c r="M38" s="36">
        <v>8</v>
      </c>
      <c r="N38" s="36">
        <v>9</v>
      </c>
      <c r="O38" s="36">
        <v>10</v>
      </c>
      <c r="P38" s="36">
        <v>11</v>
      </c>
      <c r="Q38" s="36">
        <v>12</v>
      </c>
      <c r="R38" s="36">
        <v>13</v>
      </c>
      <c r="S38" s="36">
        <v>14</v>
      </c>
      <c r="T38" s="36">
        <v>15</v>
      </c>
      <c r="U38" s="36">
        <v>16</v>
      </c>
      <c r="V38" s="36">
        <v>17</v>
      </c>
      <c r="W38" s="36">
        <v>18</v>
      </c>
      <c r="X38" s="36">
        <v>19</v>
      </c>
      <c r="Y38" s="36">
        <v>20</v>
      </c>
      <c r="Z38" s="36">
        <v>21</v>
      </c>
      <c r="AA38" s="36">
        <v>22</v>
      </c>
      <c r="AB38" s="36">
        <v>23</v>
      </c>
      <c r="AC38" s="22"/>
      <c r="AD38" s="36">
        <v>0</v>
      </c>
      <c r="AE38" s="36">
        <v>1</v>
      </c>
      <c r="AF38" s="36">
        <v>2</v>
      </c>
      <c r="AG38" s="36">
        <v>3</v>
      </c>
      <c r="AH38" s="36">
        <v>4</v>
      </c>
      <c r="AI38" s="36">
        <v>5</v>
      </c>
      <c r="AJ38" s="36">
        <v>6</v>
      </c>
      <c r="AK38" s="36">
        <v>7</v>
      </c>
      <c r="AL38" s="36">
        <v>8</v>
      </c>
      <c r="AM38" s="36">
        <v>9</v>
      </c>
      <c r="AN38" s="36">
        <v>10</v>
      </c>
      <c r="AO38" s="36">
        <v>11</v>
      </c>
      <c r="AP38" s="36">
        <v>12</v>
      </c>
      <c r="AQ38" s="36">
        <v>13</v>
      </c>
      <c r="AR38" s="36">
        <v>14</v>
      </c>
      <c r="AS38" s="36">
        <v>15</v>
      </c>
      <c r="AT38" s="36">
        <v>16</v>
      </c>
      <c r="AU38" s="36">
        <v>17</v>
      </c>
      <c r="AV38" s="36">
        <v>18</v>
      </c>
      <c r="AW38" s="36">
        <v>19</v>
      </c>
      <c r="AX38" s="36">
        <v>20</v>
      </c>
      <c r="AY38" s="36">
        <v>21</v>
      </c>
      <c r="AZ38" s="36">
        <v>22</v>
      </c>
      <c r="BA38" s="36">
        <v>23</v>
      </c>
      <c r="BC38" s="120"/>
    </row>
    <row r="39" spans="1:60" s="10" customFormat="1" x14ac:dyDescent="0.25">
      <c r="C39" s="22"/>
      <c r="D39" s="22"/>
      <c r="E39" s="37" t="s">
        <v>17</v>
      </c>
      <c r="F39" s="37" t="s">
        <v>18</v>
      </c>
      <c r="G39" s="37" t="s">
        <v>19</v>
      </c>
      <c r="H39" s="37" t="s">
        <v>20</v>
      </c>
      <c r="I39" s="37" t="s">
        <v>21</v>
      </c>
      <c r="J39" s="37" t="s">
        <v>22</v>
      </c>
      <c r="K39" s="37" t="s">
        <v>23</v>
      </c>
      <c r="L39" s="37" t="s">
        <v>24</v>
      </c>
      <c r="M39" s="37" t="s">
        <v>25</v>
      </c>
      <c r="N39" s="37" t="s">
        <v>26</v>
      </c>
      <c r="O39" s="37" t="s">
        <v>27</v>
      </c>
      <c r="P39" s="37" t="s">
        <v>28</v>
      </c>
      <c r="Q39" s="37" t="s">
        <v>29</v>
      </c>
      <c r="R39" s="37" t="s">
        <v>30</v>
      </c>
      <c r="S39" s="37" t="s">
        <v>31</v>
      </c>
      <c r="T39" s="37" t="s">
        <v>32</v>
      </c>
      <c r="U39" s="37" t="s">
        <v>33</v>
      </c>
      <c r="V39" s="37" t="s">
        <v>34</v>
      </c>
      <c r="W39" s="37" t="s">
        <v>35</v>
      </c>
      <c r="X39" s="37" t="s">
        <v>36</v>
      </c>
      <c r="Y39" s="37" t="s">
        <v>37</v>
      </c>
      <c r="Z39" s="37" t="s">
        <v>38</v>
      </c>
      <c r="AA39" s="37" t="s">
        <v>39</v>
      </c>
      <c r="AB39" s="37" t="s">
        <v>40</v>
      </c>
      <c r="AC39" s="22"/>
      <c r="AD39" s="37" t="s">
        <v>17</v>
      </c>
      <c r="AE39" s="37" t="s">
        <v>18</v>
      </c>
      <c r="AF39" s="37" t="s">
        <v>19</v>
      </c>
      <c r="AG39" s="37" t="s">
        <v>20</v>
      </c>
      <c r="AH39" s="37" t="s">
        <v>21</v>
      </c>
      <c r="AI39" s="37" t="s">
        <v>22</v>
      </c>
      <c r="AJ39" s="37" t="s">
        <v>23</v>
      </c>
      <c r="AK39" s="37" t="s">
        <v>24</v>
      </c>
      <c r="AL39" s="37" t="s">
        <v>25</v>
      </c>
      <c r="AM39" s="37" t="s">
        <v>26</v>
      </c>
      <c r="AN39" s="37" t="s">
        <v>27</v>
      </c>
      <c r="AO39" s="37" t="s">
        <v>28</v>
      </c>
      <c r="AP39" s="37" t="s">
        <v>29</v>
      </c>
      <c r="AQ39" s="37" t="s">
        <v>30</v>
      </c>
      <c r="AR39" s="37" t="s">
        <v>31</v>
      </c>
      <c r="AS39" s="37" t="s">
        <v>32</v>
      </c>
      <c r="AT39" s="37" t="s">
        <v>33</v>
      </c>
      <c r="AU39" s="37" t="s">
        <v>34</v>
      </c>
      <c r="AV39" s="37" t="s">
        <v>35</v>
      </c>
      <c r="AW39" s="37" t="s">
        <v>36</v>
      </c>
      <c r="AX39" s="37" t="s">
        <v>37</v>
      </c>
      <c r="AY39" s="37" t="s">
        <v>38</v>
      </c>
      <c r="AZ39" s="37" t="s">
        <v>39</v>
      </c>
      <c r="BA39" s="37" t="s">
        <v>40</v>
      </c>
      <c r="BB39" s="120"/>
      <c r="BC39" s="120"/>
    </row>
    <row r="40" spans="1:60" s="10" customFormat="1" ht="15" customHeight="1" x14ac:dyDescent="0.25">
      <c r="C40" s="20" t="s">
        <v>41</v>
      </c>
      <c r="D40" s="7"/>
      <c r="E40" s="122"/>
      <c r="F40" s="122"/>
      <c r="G40" s="122"/>
      <c r="H40" s="122"/>
      <c r="I40" s="122"/>
      <c r="J40" s="122"/>
      <c r="K40" s="122"/>
      <c r="L40" s="122"/>
      <c r="M40" s="122"/>
      <c r="N40" s="122"/>
      <c r="O40" s="122"/>
      <c r="P40" s="122"/>
      <c r="Q40" s="122"/>
      <c r="R40" s="122"/>
      <c r="S40" s="122"/>
      <c r="T40" s="122"/>
      <c r="U40" s="122"/>
      <c r="V40" s="122"/>
      <c r="W40" s="122"/>
      <c r="X40" s="122"/>
      <c r="Y40" s="122"/>
      <c r="Z40" s="122"/>
      <c r="AA40" s="122"/>
      <c r="AB40" s="122"/>
      <c r="AC40" s="8"/>
      <c r="AD40" s="122"/>
      <c r="AE40" s="122"/>
      <c r="AF40" s="122"/>
      <c r="AG40" s="122"/>
      <c r="AH40" s="122"/>
      <c r="AI40" s="122"/>
      <c r="AJ40" s="122"/>
      <c r="AK40" s="122"/>
      <c r="AL40" s="122"/>
      <c r="AM40" s="122"/>
      <c r="AN40" s="122"/>
      <c r="AO40" s="122"/>
      <c r="AP40" s="122"/>
      <c r="AQ40" s="122"/>
      <c r="AR40" s="122"/>
      <c r="AS40" s="122"/>
      <c r="AT40" s="122"/>
      <c r="AU40" s="122"/>
      <c r="AV40" s="122"/>
      <c r="AW40" s="122"/>
      <c r="AX40" s="122"/>
      <c r="AY40" s="122"/>
      <c r="AZ40" s="122"/>
      <c r="BA40" s="122"/>
      <c r="BC40" s="120"/>
    </row>
    <row r="41" spans="1:60" s="10" customFormat="1" ht="15.75" customHeight="1" x14ac:dyDescent="0.25">
      <c r="C41" s="20" t="s">
        <v>42</v>
      </c>
      <c r="D41" s="7"/>
      <c r="E41" s="122"/>
      <c r="F41" s="122"/>
      <c r="G41" s="122"/>
      <c r="H41" s="122"/>
      <c r="I41" s="122"/>
      <c r="J41" s="122"/>
      <c r="K41" s="122"/>
      <c r="L41" s="122"/>
      <c r="M41" s="122"/>
      <c r="N41" s="122"/>
      <c r="O41" s="122"/>
      <c r="P41" s="122"/>
      <c r="Q41" s="122"/>
      <c r="R41" s="122"/>
      <c r="S41" s="122"/>
      <c r="T41" s="122"/>
      <c r="U41" s="122"/>
      <c r="V41" s="122"/>
      <c r="W41" s="122"/>
      <c r="X41" s="122"/>
      <c r="Y41" s="122"/>
      <c r="Z41" s="122"/>
      <c r="AA41" s="122"/>
      <c r="AB41" s="122"/>
      <c r="AC41" s="8"/>
      <c r="AD41" s="122"/>
      <c r="AE41" s="122"/>
      <c r="AF41" s="122"/>
      <c r="AG41" s="122"/>
      <c r="AH41" s="122"/>
      <c r="AI41" s="122"/>
      <c r="AJ41" s="122"/>
      <c r="AK41" s="122"/>
      <c r="AL41" s="122"/>
      <c r="AM41" s="122"/>
      <c r="AN41" s="122"/>
      <c r="AO41" s="122"/>
      <c r="AP41" s="122"/>
      <c r="AQ41" s="122"/>
      <c r="AR41" s="122"/>
      <c r="AS41" s="122"/>
      <c r="AT41" s="122"/>
      <c r="AU41" s="122"/>
      <c r="AV41" s="122"/>
      <c r="AW41" s="122"/>
      <c r="AX41" s="122"/>
      <c r="AY41" s="122"/>
      <c r="AZ41" s="122"/>
      <c r="BA41" s="122"/>
      <c r="BC41" s="120"/>
    </row>
    <row r="42" spans="1:60" s="10" customFormat="1" ht="15" customHeight="1" x14ac:dyDescent="0.25">
      <c r="C42" s="20" t="s">
        <v>43</v>
      </c>
      <c r="D42" s="7"/>
      <c r="E42" s="122"/>
      <c r="F42" s="122"/>
      <c r="G42" s="122"/>
      <c r="H42" s="122"/>
      <c r="I42" s="122"/>
      <c r="J42" s="122"/>
      <c r="K42" s="122"/>
      <c r="L42" s="122"/>
      <c r="M42" s="122"/>
      <c r="N42" s="122"/>
      <c r="O42" s="122"/>
      <c r="P42" s="122"/>
      <c r="Q42" s="122"/>
      <c r="R42" s="122"/>
      <c r="S42" s="122"/>
      <c r="T42" s="122"/>
      <c r="U42" s="122"/>
      <c r="V42" s="122"/>
      <c r="W42" s="122"/>
      <c r="X42" s="122"/>
      <c r="Y42" s="122"/>
      <c r="Z42" s="122"/>
      <c r="AA42" s="122"/>
      <c r="AB42" s="122"/>
      <c r="AC42" s="8"/>
      <c r="AD42" s="122"/>
      <c r="AE42" s="122"/>
      <c r="AF42" s="122"/>
      <c r="AG42" s="122"/>
      <c r="AH42" s="122"/>
      <c r="AI42" s="122"/>
      <c r="AJ42" s="122"/>
      <c r="AK42" s="122"/>
      <c r="AL42" s="122"/>
      <c r="AM42" s="122"/>
      <c r="AN42" s="122"/>
      <c r="AO42" s="122"/>
      <c r="AP42" s="122"/>
      <c r="AQ42" s="122"/>
      <c r="AR42" s="122"/>
      <c r="AS42" s="122"/>
      <c r="AT42" s="122"/>
      <c r="AU42" s="122"/>
      <c r="AV42" s="122"/>
      <c r="AW42" s="122"/>
      <c r="AX42" s="122"/>
      <c r="AY42" s="122"/>
      <c r="AZ42" s="122"/>
      <c r="BA42" s="122"/>
      <c r="BC42" s="120"/>
    </row>
    <row r="43" spans="1:60" s="10" customFormat="1" ht="15.75" customHeight="1" x14ac:dyDescent="0.25">
      <c r="C43" s="20" t="s">
        <v>44</v>
      </c>
      <c r="D43" s="7"/>
      <c r="E43" s="122"/>
      <c r="F43" s="122"/>
      <c r="G43" s="122"/>
      <c r="H43" s="122"/>
      <c r="I43" s="122"/>
      <c r="J43" s="122"/>
      <c r="K43" s="122"/>
      <c r="L43" s="122"/>
      <c r="M43" s="122"/>
      <c r="N43" s="122"/>
      <c r="O43" s="122"/>
      <c r="P43" s="122"/>
      <c r="Q43" s="122"/>
      <c r="R43" s="122"/>
      <c r="S43" s="122"/>
      <c r="T43" s="122"/>
      <c r="U43" s="122"/>
      <c r="V43" s="122"/>
      <c r="W43" s="122"/>
      <c r="X43" s="122"/>
      <c r="Y43" s="122"/>
      <c r="Z43" s="122"/>
      <c r="AA43" s="122"/>
      <c r="AB43" s="122"/>
      <c r="AC43" s="8"/>
      <c r="AD43" s="122"/>
      <c r="AE43" s="122"/>
      <c r="AF43" s="122"/>
      <c r="AG43" s="122"/>
      <c r="AH43" s="122"/>
      <c r="AI43" s="122"/>
      <c r="AJ43" s="122"/>
      <c r="AK43" s="122"/>
      <c r="AL43" s="122"/>
      <c r="AM43" s="122"/>
      <c r="AN43" s="122"/>
      <c r="AO43" s="122"/>
      <c r="AP43" s="122"/>
      <c r="AQ43" s="122"/>
      <c r="AR43" s="122"/>
      <c r="AS43" s="122"/>
      <c r="AT43" s="122"/>
      <c r="AU43" s="122"/>
      <c r="AV43" s="122"/>
      <c r="AW43" s="122"/>
      <c r="AX43" s="122"/>
      <c r="AY43" s="122"/>
      <c r="AZ43" s="122"/>
      <c r="BA43" s="122"/>
      <c r="BC43" s="120"/>
    </row>
    <row r="44" spans="1:60" s="10" customFormat="1" ht="15.75" customHeight="1" x14ac:dyDescent="0.25">
      <c r="C44" s="20" t="s">
        <v>45</v>
      </c>
      <c r="D44" s="7"/>
      <c r="E44" s="122"/>
      <c r="F44" s="122"/>
      <c r="G44" s="122"/>
      <c r="H44" s="122"/>
      <c r="I44" s="122"/>
      <c r="J44" s="122"/>
      <c r="K44" s="122"/>
      <c r="L44" s="122"/>
      <c r="M44" s="122"/>
      <c r="N44" s="122"/>
      <c r="O44" s="122"/>
      <c r="P44" s="122"/>
      <c r="Q44" s="122"/>
      <c r="R44" s="122"/>
      <c r="S44" s="122"/>
      <c r="T44" s="122"/>
      <c r="U44" s="122"/>
      <c r="V44" s="122"/>
      <c r="W44" s="122"/>
      <c r="X44" s="122"/>
      <c r="Y44" s="122"/>
      <c r="Z44" s="122"/>
      <c r="AA44" s="122"/>
      <c r="AB44" s="122"/>
      <c r="AC44" s="8"/>
      <c r="AD44" s="122"/>
      <c r="AE44" s="122"/>
      <c r="AF44" s="122"/>
      <c r="AG44" s="122"/>
      <c r="AH44" s="122"/>
      <c r="AI44" s="122"/>
      <c r="AJ44" s="122"/>
      <c r="AK44" s="122"/>
      <c r="AL44" s="122"/>
      <c r="AM44" s="122"/>
      <c r="AN44" s="122"/>
      <c r="AO44" s="122"/>
      <c r="AP44" s="122"/>
      <c r="AQ44" s="122"/>
      <c r="AR44" s="122"/>
      <c r="AS44" s="122"/>
      <c r="AT44" s="122"/>
      <c r="AU44" s="122"/>
      <c r="AV44" s="122"/>
      <c r="AW44" s="122"/>
      <c r="AX44" s="122"/>
      <c r="AY44" s="122"/>
      <c r="AZ44" s="122"/>
      <c r="BA44" s="122"/>
      <c r="BC44" s="120"/>
    </row>
    <row r="45" spans="1:60" s="10" customFormat="1" ht="15.75" customHeight="1" x14ac:dyDescent="0.25">
      <c r="C45" s="20" t="s">
        <v>46</v>
      </c>
      <c r="D45" s="7"/>
      <c r="E45" s="122"/>
      <c r="F45" s="122"/>
      <c r="G45" s="122"/>
      <c r="H45" s="122"/>
      <c r="I45" s="122"/>
      <c r="J45" s="122"/>
      <c r="K45" s="122"/>
      <c r="L45" s="122"/>
      <c r="M45" s="122"/>
      <c r="N45" s="122"/>
      <c r="O45" s="122"/>
      <c r="P45" s="122"/>
      <c r="Q45" s="122"/>
      <c r="R45" s="122"/>
      <c r="S45" s="122"/>
      <c r="T45" s="122"/>
      <c r="U45" s="122"/>
      <c r="V45" s="122"/>
      <c r="W45" s="122"/>
      <c r="X45" s="122"/>
      <c r="Y45" s="122"/>
      <c r="Z45" s="122"/>
      <c r="AA45" s="122"/>
      <c r="AB45" s="122"/>
      <c r="AC45" s="8"/>
      <c r="AD45" s="122"/>
      <c r="AE45" s="122"/>
      <c r="AF45" s="122"/>
      <c r="AG45" s="122"/>
      <c r="AH45" s="122"/>
      <c r="AI45" s="122"/>
      <c r="AJ45" s="122"/>
      <c r="AK45" s="122"/>
      <c r="AL45" s="122"/>
      <c r="AM45" s="122"/>
      <c r="AN45" s="122"/>
      <c r="AO45" s="122"/>
      <c r="AP45" s="122"/>
      <c r="AQ45" s="122"/>
      <c r="AR45" s="122"/>
      <c r="AS45" s="122"/>
      <c r="AT45" s="122"/>
      <c r="AU45" s="122"/>
      <c r="AV45" s="122"/>
      <c r="AW45" s="122"/>
      <c r="AX45" s="122"/>
      <c r="AY45" s="122"/>
      <c r="AZ45" s="122"/>
      <c r="BA45" s="122"/>
      <c r="BC45" s="120"/>
    </row>
    <row r="46" spans="1:60" ht="57.75" customHeight="1" x14ac:dyDescent="0.25">
      <c r="A46" s="64"/>
      <c r="B46" s="11"/>
      <c r="C46" s="21" t="s">
        <v>65</v>
      </c>
      <c r="E46" s="304"/>
      <c r="F46" s="304"/>
      <c r="G46" s="304"/>
      <c r="H46" s="304"/>
      <c r="I46" s="304"/>
      <c r="J46" s="304"/>
      <c r="K46" s="304"/>
      <c r="L46" s="304"/>
      <c r="M46" s="304"/>
      <c r="N46" s="304"/>
      <c r="O46" s="304"/>
      <c r="P46" s="304"/>
      <c r="Q46" s="304"/>
      <c r="R46" s="304"/>
      <c r="S46" s="304"/>
      <c r="T46" s="304"/>
      <c r="U46" s="304"/>
      <c r="V46" s="304"/>
      <c r="W46" s="304"/>
      <c r="X46" s="304"/>
      <c r="Y46" s="304"/>
      <c r="Z46" s="304"/>
      <c r="AA46" s="304"/>
      <c r="AB46" s="304"/>
      <c r="AC46" s="29"/>
      <c r="AD46" s="304"/>
      <c r="AE46" s="304"/>
      <c r="AF46" s="304"/>
      <c r="AG46" s="304"/>
      <c r="AH46" s="304"/>
      <c r="AI46" s="304"/>
      <c r="AJ46" s="304"/>
      <c r="AK46" s="304"/>
      <c r="AL46" s="304"/>
      <c r="AM46" s="304"/>
      <c r="AN46" s="304"/>
      <c r="AO46" s="304"/>
      <c r="AP46" s="304"/>
      <c r="AQ46" s="304"/>
      <c r="AR46" s="304"/>
      <c r="AS46" s="304"/>
      <c r="AT46" s="304"/>
      <c r="AU46" s="304"/>
      <c r="AV46" s="304"/>
      <c r="AW46" s="304"/>
      <c r="AX46" s="304"/>
      <c r="AY46" s="304"/>
      <c r="AZ46" s="304"/>
      <c r="BA46" s="304"/>
      <c r="BB46" s="8"/>
      <c r="BC46" s="113"/>
      <c r="BD46" s="11"/>
      <c r="BE46" s="11"/>
      <c r="BF46" s="11"/>
      <c r="BG46" s="11"/>
      <c r="BH46" s="11"/>
    </row>
    <row r="47" spans="1:60" ht="43.5" customHeight="1" x14ac:dyDescent="0.25">
      <c r="A47" s="64"/>
      <c r="B47" s="11"/>
      <c r="C47" s="21" t="s">
        <v>47</v>
      </c>
      <c r="E47" s="309"/>
      <c r="F47" s="310"/>
      <c r="G47" s="310"/>
      <c r="H47" s="310"/>
      <c r="I47" s="310"/>
      <c r="J47" s="310"/>
      <c r="K47" s="310"/>
      <c r="L47" s="310"/>
      <c r="M47" s="310"/>
      <c r="N47" s="310"/>
      <c r="O47" s="310"/>
      <c r="P47" s="311"/>
      <c r="Q47" s="312"/>
      <c r="R47" s="310"/>
      <c r="S47" s="310"/>
      <c r="T47" s="310"/>
      <c r="U47" s="310"/>
      <c r="V47" s="310"/>
      <c r="W47" s="310"/>
      <c r="X47" s="310"/>
      <c r="Y47" s="310"/>
      <c r="Z47" s="310"/>
      <c r="AA47" s="310"/>
      <c r="AB47" s="310"/>
      <c r="AC47" s="29"/>
      <c r="AD47" s="309"/>
      <c r="AE47" s="310"/>
      <c r="AF47" s="310"/>
      <c r="AG47" s="310"/>
      <c r="AH47" s="310"/>
      <c r="AI47" s="310"/>
      <c r="AJ47" s="310"/>
      <c r="AK47" s="310"/>
      <c r="AL47" s="310"/>
      <c r="AM47" s="310"/>
      <c r="AN47" s="310"/>
      <c r="AO47" s="311"/>
      <c r="AP47" s="312"/>
      <c r="AQ47" s="310"/>
      <c r="AR47" s="310"/>
      <c r="AS47" s="310"/>
      <c r="AT47" s="310"/>
      <c r="AU47" s="310"/>
      <c r="AV47" s="310"/>
      <c r="AW47" s="310"/>
      <c r="AX47" s="310"/>
      <c r="AY47" s="310"/>
      <c r="AZ47" s="310"/>
      <c r="BA47" s="310"/>
      <c r="BB47" s="8"/>
      <c r="BC47" s="113"/>
      <c r="BD47" s="11"/>
      <c r="BE47" s="11"/>
      <c r="BF47" s="11"/>
      <c r="BG47" s="11"/>
      <c r="BH47" s="11"/>
    </row>
    <row r="48" spans="1:60" x14ac:dyDescent="0.25">
      <c r="A48" s="11"/>
      <c r="B48" s="11"/>
      <c r="BB48" s="8"/>
      <c r="BC48" s="113"/>
      <c r="BD48" s="11"/>
      <c r="BE48" s="11"/>
      <c r="BF48" s="11"/>
      <c r="BG48" s="11"/>
      <c r="BH48" s="11"/>
    </row>
    <row r="49" spans="1:60" ht="16.5" thickBot="1" x14ac:dyDescent="0.3">
      <c r="A49" s="11"/>
      <c r="B49" s="11"/>
      <c r="C49" s="303" t="s">
        <v>13</v>
      </c>
      <c r="D49" s="303"/>
      <c r="E49" s="303"/>
      <c r="F49" s="303"/>
      <c r="G49" s="303"/>
      <c r="H49" s="303"/>
      <c r="I49" s="303"/>
      <c r="J49" s="303"/>
      <c r="N49" s="9" t="s">
        <v>14</v>
      </c>
      <c r="O49" s="10"/>
      <c r="P49" s="302">
        <f>P2</f>
        <v>0</v>
      </c>
      <c r="Q49" s="302"/>
      <c r="R49" s="302"/>
      <c r="S49" s="302"/>
      <c r="T49" s="302"/>
      <c r="U49" s="302"/>
      <c r="V49" s="9" t="s">
        <v>15</v>
      </c>
      <c r="W49" s="10"/>
      <c r="X49" s="10"/>
      <c r="Y49" s="10"/>
      <c r="Z49" s="302">
        <f>Z2</f>
        <v>0</v>
      </c>
      <c r="AA49" s="302"/>
      <c r="AB49" s="302"/>
      <c r="AC49" s="302"/>
      <c r="AD49" s="302"/>
      <c r="AE49" s="302"/>
      <c r="AZ49" s="7" t="s">
        <v>16</v>
      </c>
      <c r="BA49" s="7">
        <v>2</v>
      </c>
      <c r="BB49" s="8"/>
      <c r="BC49" s="113"/>
      <c r="BD49" s="11"/>
      <c r="BE49" s="11"/>
      <c r="BF49" s="11"/>
      <c r="BG49" s="11"/>
      <c r="BH49" s="11"/>
    </row>
    <row r="50" spans="1:60" x14ac:dyDescent="0.25">
      <c r="A50" s="11"/>
      <c r="B50" s="11"/>
      <c r="C50" s="303"/>
      <c r="D50" s="303"/>
      <c r="E50" s="303"/>
      <c r="F50" s="303"/>
      <c r="G50" s="303"/>
      <c r="H50" s="303"/>
      <c r="I50" s="303"/>
      <c r="J50" s="303"/>
      <c r="N50" s="9"/>
      <c r="V50" s="9"/>
      <c r="BB50" s="8"/>
      <c r="BC50" s="113"/>
      <c r="BD50" s="11"/>
      <c r="BE50" s="11"/>
      <c r="BF50" s="11"/>
      <c r="BG50" s="11"/>
      <c r="BH50" s="11"/>
    </row>
    <row r="51" spans="1:60" s="10" customFormat="1" ht="15.75" customHeight="1" x14ac:dyDescent="0.3">
      <c r="C51" s="12"/>
      <c r="D51" s="12"/>
      <c r="E51" s="13">
        <v>9</v>
      </c>
      <c r="F51" s="13"/>
      <c r="G51" s="13"/>
      <c r="H51" s="13"/>
      <c r="I51" s="13"/>
      <c r="J51" s="13"/>
      <c r="K51" s="13"/>
      <c r="L51" s="13"/>
      <c r="M51" s="13"/>
      <c r="N51" s="13"/>
      <c r="O51" s="13"/>
      <c r="P51" s="13"/>
      <c r="Q51" s="13"/>
      <c r="R51" s="13"/>
      <c r="S51" s="13"/>
      <c r="T51" s="13"/>
      <c r="U51" s="13"/>
      <c r="V51" s="13"/>
      <c r="W51" s="13"/>
      <c r="X51" s="13"/>
      <c r="Y51" s="13"/>
      <c r="Z51" s="13"/>
      <c r="AA51" s="13"/>
      <c r="AB51" s="13"/>
      <c r="AC51" s="12"/>
      <c r="AD51" s="13">
        <v>10</v>
      </c>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C51" s="114"/>
      <c r="BD51" s="313" t="s">
        <v>59</v>
      </c>
      <c r="BE51" s="313"/>
      <c r="BF51" s="313"/>
      <c r="BG51" s="313"/>
      <c r="BH51" s="313"/>
    </row>
    <row r="52" spans="1:60" s="10" customFormat="1" ht="15.75" customHeight="1" x14ac:dyDescent="0.25">
      <c r="C52" s="22"/>
      <c r="D52" s="22"/>
      <c r="E52" s="36">
        <v>0</v>
      </c>
      <c r="F52" s="36">
        <v>1</v>
      </c>
      <c r="G52" s="36">
        <v>2</v>
      </c>
      <c r="H52" s="36">
        <v>3</v>
      </c>
      <c r="I52" s="36">
        <v>4</v>
      </c>
      <c r="J52" s="36">
        <v>5</v>
      </c>
      <c r="K52" s="36">
        <v>6</v>
      </c>
      <c r="L52" s="36">
        <v>7</v>
      </c>
      <c r="M52" s="36">
        <v>8</v>
      </c>
      <c r="N52" s="36">
        <v>9</v>
      </c>
      <c r="O52" s="36">
        <v>10</v>
      </c>
      <c r="P52" s="36">
        <v>11</v>
      </c>
      <c r="Q52" s="36">
        <v>12</v>
      </c>
      <c r="R52" s="36">
        <v>13</v>
      </c>
      <c r="S52" s="36">
        <v>14</v>
      </c>
      <c r="T52" s="36">
        <v>15</v>
      </c>
      <c r="U52" s="36">
        <v>16</v>
      </c>
      <c r="V52" s="36">
        <v>17</v>
      </c>
      <c r="W52" s="36">
        <v>18</v>
      </c>
      <c r="X52" s="36">
        <v>19</v>
      </c>
      <c r="Y52" s="36">
        <v>20</v>
      </c>
      <c r="Z52" s="36">
        <v>21</v>
      </c>
      <c r="AA52" s="36">
        <v>22</v>
      </c>
      <c r="AB52" s="36">
        <v>23</v>
      </c>
      <c r="AC52" s="22"/>
      <c r="AD52" s="36">
        <v>0</v>
      </c>
      <c r="AE52" s="36">
        <v>1</v>
      </c>
      <c r="AF52" s="36">
        <v>2</v>
      </c>
      <c r="AG52" s="36">
        <v>3</v>
      </c>
      <c r="AH52" s="36">
        <v>4</v>
      </c>
      <c r="AI52" s="36">
        <v>5</v>
      </c>
      <c r="AJ52" s="36">
        <v>6</v>
      </c>
      <c r="AK52" s="36">
        <v>7</v>
      </c>
      <c r="AL52" s="36">
        <v>8</v>
      </c>
      <c r="AM52" s="36">
        <v>9</v>
      </c>
      <c r="AN52" s="36">
        <v>10</v>
      </c>
      <c r="AO52" s="36">
        <v>11</v>
      </c>
      <c r="AP52" s="36">
        <v>12</v>
      </c>
      <c r="AQ52" s="36">
        <v>13</v>
      </c>
      <c r="AR52" s="36">
        <v>14</v>
      </c>
      <c r="AS52" s="36">
        <v>15</v>
      </c>
      <c r="AT52" s="36">
        <v>16</v>
      </c>
      <c r="AU52" s="36">
        <v>17</v>
      </c>
      <c r="AV52" s="36">
        <v>18</v>
      </c>
      <c r="AW52" s="36">
        <v>19</v>
      </c>
      <c r="AX52" s="36">
        <v>20</v>
      </c>
      <c r="AY52" s="36">
        <v>21</v>
      </c>
      <c r="AZ52" s="36">
        <v>22</v>
      </c>
      <c r="BA52" s="36">
        <v>23</v>
      </c>
      <c r="BC52" s="25"/>
      <c r="BD52" s="314" t="s">
        <v>60</v>
      </c>
      <c r="BE52" s="314"/>
      <c r="BF52" s="314"/>
      <c r="BG52" s="314"/>
      <c r="BH52" s="314"/>
    </row>
    <row r="53" spans="1:60" s="10" customFormat="1" ht="15.75" customHeight="1" x14ac:dyDescent="0.25">
      <c r="C53" s="22"/>
      <c r="D53" s="22"/>
      <c r="E53" s="37" t="s">
        <v>17</v>
      </c>
      <c r="F53" s="37" t="s">
        <v>18</v>
      </c>
      <c r="G53" s="37" t="s">
        <v>19</v>
      </c>
      <c r="H53" s="37" t="s">
        <v>20</v>
      </c>
      <c r="I53" s="37" t="s">
        <v>21</v>
      </c>
      <c r="J53" s="37" t="s">
        <v>22</v>
      </c>
      <c r="K53" s="37" t="s">
        <v>23</v>
      </c>
      <c r="L53" s="37" t="s">
        <v>24</v>
      </c>
      <c r="M53" s="37" t="s">
        <v>25</v>
      </c>
      <c r="N53" s="37" t="s">
        <v>26</v>
      </c>
      <c r="O53" s="37" t="s">
        <v>27</v>
      </c>
      <c r="P53" s="37" t="s">
        <v>28</v>
      </c>
      <c r="Q53" s="37" t="s">
        <v>29</v>
      </c>
      <c r="R53" s="37" t="s">
        <v>30</v>
      </c>
      <c r="S53" s="37" t="s">
        <v>31</v>
      </c>
      <c r="T53" s="37" t="s">
        <v>32</v>
      </c>
      <c r="U53" s="37" t="s">
        <v>33</v>
      </c>
      <c r="V53" s="37" t="s">
        <v>34</v>
      </c>
      <c r="W53" s="37" t="s">
        <v>35</v>
      </c>
      <c r="X53" s="37" t="s">
        <v>36</v>
      </c>
      <c r="Y53" s="37" t="s">
        <v>37</v>
      </c>
      <c r="Z53" s="37" t="s">
        <v>38</v>
      </c>
      <c r="AA53" s="37" t="s">
        <v>39</v>
      </c>
      <c r="AB53" s="37" t="s">
        <v>40</v>
      </c>
      <c r="AC53" s="22"/>
      <c r="AD53" s="37" t="s">
        <v>17</v>
      </c>
      <c r="AE53" s="37" t="s">
        <v>18</v>
      </c>
      <c r="AF53" s="37" t="s">
        <v>19</v>
      </c>
      <c r="AG53" s="37" t="s">
        <v>20</v>
      </c>
      <c r="AH53" s="37" t="s">
        <v>21</v>
      </c>
      <c r="AI53" s="37" t="s">
        <v>22</v>
      </c>
      <c r="AJ53" s="37" t="s">
        <v>23</v>
      </c>
      <c r="AK53" s="37" t="s">
        <v>24</v>
      </c>
      <c r="AL53" s="37" t="s">
        <v>25</v>
      </c>
      <c r="AM53" s="37" t="s">
        <v>26</v>
      </c>
      <c r="AN53" s="37" t="s">
        <v>27</v>
      </c>
      <c r="AO53" s="37" t="s">
        <v>28</v>
      </c>
      <c r="AP53" s="37" t="s">
        <v>29</v>
      </c>
      <c r="AQ53" s="37" t="s">
        <v>30</v>
      </c>
      <c r="AR53" s="37" t="s">
        <v>31</v>
      </c>
      <c r="AS53" s="37" t="s">
        <v>32</v>
      </c>
      <c r="AT53" s="37" t="s">
        <v>33</v>
      </c>
      <c r="AU53" s="37" t="s">
        <v>34</v>
      </c>
      <c r="AV53" s="37" t="s">
        <v>35</v>
      </c>
      <c r="AW53" s="37" t="s">
        <v>36</v>
      </c>
      <c r="AX53" s="37" t="s">
        <v>37</v>
      </c>
      <c r="AY53" s="37" t="s">
        <v>38</v>
      </c>
      <c r="AZ53" s="37" t="s">
        <v>39</v>
      </c>
      <c r="BA53" s="37" t="s">
        <v>40</v>
      </c>
      <c r="BC53" s="109"/>
      <c r="BD53" s="305" t="s">
        <v>61</v>
      </c>
      <c r="BE53" s="305"/>
      <c r="BF53" s="305"/>
      <c r="BG53" s="305"/>
      <c r="BH53" s="305"/>
    </row>
    <row r="54" spans="1:60" s="10" customFormat="1" ht="15.75" customHeight="1" x14ac:dyDescent="0.25">
      <c r="C54" s="20" t="s">
        <v>41</v>
      </c>
      <c r="D54" s="7"/>
      <c r="E54" s="122"/>
      <c r="F54" s="122"/>
      <c r="G54" s="122"/>
      <c r="H54" s="122"/>
      <c r="I54" s="122"/>
      <c r="J54" s="122"/>
      <c r="K54" s="122"/>
      <c r="L54" s="122"/>
      <c r="M54" s="122"/>
      <c r="N54" s="122"/>
      <c r="O54" s="122"/>
      <c r="P54" s="122"/>
      <c r="Q54" s="122"/>
      <c r="R54" s="122"/>
      <c r="S54" s="122"/>
      <c r="T54" s="122"/>
      <c r="U54" s="122"/>
      <c r="V54" s="122"/>
      <c r="W54" s="122"/>
      <c r="X54" s="122"/>
      <c r="Y54" s="122"/>
      <c r="Z54" s="122"/>
      <c r="AA54" s="122"/>
      <c r="AB54" s="122"/>
      <c r="AC54" s="8"/>
      <c r="AD54" s="122"/>
      <c r="AE54" s="122"/>
      <c r="AF54" s="122"/>
      <c r="AG54" s="122"/>
      <c r="AH54" s="122"/>
      <c r="AI54" s="122"/>
      <c r="AJ54" s="122"/>
      <c r="AK54" s="122"/>
      <c r="AL54" s="122"/>
      <c r="AM54" s="122"/>
      <c r="AN54" s="122"/>
      <c r="AO54" s="122"/>
      <c r="AP54" s="122"/>
      <c r="AQ54" s="122"/>
      <c r="AR54" s="122"/>
      <c r="AS54" s="122"/>
      <c r="AT54" s="122"/>
      <c r="AU54" s="122"/>
      <c r="AV54" s="122"/>
      <c r="AW54" s="122"/>
      <c r="AX54" s="122"/>
      <c r="AY54" s="122"/>
      <c r="AZ54" s="122"/>
      <c r="BA54" s="122"/>
      <c r="BC54" s="110"/>
      <c r="BD54" s="305" t="s">
        <v>62</v>
      </c>
      <c r="BE54" s="305"/>
      <c r="BF54" s="305"/>
      <c r="BG54" s="305"/>
      <c r="BH54" s="305"/>
    </row>
    <row r="55" spans="1:60" s="10" customFormat="1" x14ac:dyDescent="0.25">
      <c r="C55" s="20" t="s">
        <v>42</v>
      </c>
      <c r="D55" s="7"/>
      <c r="E55" s="122"/>
      <c r="F55" s="122"/>
      <c r="G55" s="122"/>
      <c r="H55" s="122"/>
      <c r="I55" s="122"/>
      <c r="J55" s="122"/>
      <c r="K55" s="122"/>
      <c r="L55" s="122"/>
      <c r="M55" s="122"/>
      <c r="N55" s="122"/>
      <c r="O55" s="122"/>
      <c r="P55" s="122"/>
      <c r="Q55" s="122"/>
      <c r="R55" s="122"/>
      <c r="S55" s="122"/>
      <c r="T55" s="122"/>
      <c r="U55" s="122"/>
      <c r="V55" s="122"/>
      <c r="W55" s="122"/>
      <c r="X55" s="122"/>
      <c r="Y55" s="122"/>
      <c r="Z55" s="122"/>
      <c r="AA55" s="122"/>
      <c r="AB55" s="122"/>
      <c r="AC55" s="8"/>
      <c r="AD55" s="122"/>
      <c r="AE55" s="122"/>
      <c r="AF55" s="122"/>
      <c r="AG55" s="122"/>
      <c r="AH55" s="122"/>
      <c r="AI55" s="122"/>
      <c r="AJ55" s="122"/>
      <c r="AK55" s="122"/>
      <c r="AL55" s="122"/>
      <c r="AM55" s="122"/>
      <c r="AN55" s="122"/>
      <c r="AO55" s="122"/>
      <c r="AP55" s="122"/>
      <c r="AQ55" s="122"/>
      <c r="AR55" s="122"/>
      <c r="AS55" s="122"/>
      <c r="AT55" s="122"/>
      <c r="AU55" s="122"/>
      <c r="AV55" s="122"/>
      <c r="AW55" s="122"/>
      <c r="AX55" s="122"/>
      <c r="AY55" s="122"/>
      <c r="AZ55" s="122"/>
      <c r="BA55" s="122"/>
      <c r="BC55" s="111"/>
      <c r="BD55" s="306" t="s">
        <v>120</v>
      </c>
      <c r="BE55" s="307"/>
      <c r="BF55" s="307"/>
      <c r="BG55" s="307"/>
      <c r="BH55" s="308"/>
    </row>
    <row r="56" spans="1:60" s="10" customFormat="1" ht="15.75" customHeight="1" x14ac:dyDescent="0.25">
      <c r="C56" s="20" t="s">
        <v>43</v>
      </c>
      <c r="D56" s="7"/>
      <c r="E56" s="122"/>
      <c r="F56" s="122"/>
      <c r="G56" s="122"/>
      <c r="H56" s="122"/>
      <c r="I56" s="122"/>
      <c r="J56" s="122"/>
      <c r="K56" s="122"/>
      <c r="L56" s="122"/>
      <c r="M56" s="122"/>
      <c r="N56" s="122"/>
      <c r="O56" s="122"/>
      <c r="P56" s="122"/>
      <c r="Q56" s="122"/>
      <c r="R56" s="122"/>
      <c r="S56" s="122"/>
      <c r="T56" s="122"/>
      <c r="U56" s="122"/>
      <c r="V56" s="122"/>
      <c r="W56" s="122"/>
      <c r="X56" s="122"/>
      <c r="Y56" s="122"/>
      <c r="Z56" s="122"/>
      <c r="AA56" s="122"/>
      <c r="AB56" s="122"/>
      <c r="AC56" s="8"/>
      <c r="AD56" s="122"/>
      <c r="AE56" s="122"/>
      <c r="AF56" s="122"/>
      <c r="AG56" s="122"/>
      <c r="AH56" s="122"/>
      <c r="AI56" s="122"/>
      <c r="AJ56" s="122"/>
      <c r="AK56" s="122"/>
      <c r="AL56" s="122"/>
      <c r="AM56" s="122"/>
      <c r="AN56" s="122"/>
      <c r="AO56" s="122"/>
      <c r="AP56" s="122"/>
      <c r="AQ56" s="122"/>
      <c r="AR56" s="122"/>
      <c r="AS56" s="122"/>
      <c r="AT56" s="122"/>
      <c r="AU56" s="122"/>
      <c r="AV56" s="122"/>
      <c r="AW56" s="122"/>
      <c r="AX56" s="122"/>
      <c r="AY56" s="122"/>
      <c r="AZ56" s="122"/>
      <c r="BA56" s="122"/>
      <c r="BC56" s="115"/>
      <c r="BD56" s="305" t="s">
        <v>63</v>
      </c>
      <c r="BE56" s="305"/>
      <c r="BF56" s="305"/>
      <c r="BG56" s="305"/>
      <c r="BH56" s="305"/>
    </row>
    <row r="57" spans="1:60" s="10" customFormat="1" ht="15.75" customHeight="1" x14ac:dyDescent="0.25">
      <c r="C57" s="20" t="s">
        <v>44</v>
      </c>
      <c r="D57" s="7"/>
      <c r="E57" s="122"/>
      <c r="F57" s="122"/>
      <c r="G57" s="122"/>
      <c r="H57" s="122"/>
      <c r="I57" s="122"/>
      <c r="J57" s="122"/>
      <c r="K57" s="122"/>
      <c r="L57" s="122"/>
      <c r="M57" s="122"/>
      <c r="N57" s="122"/>
      <c r="O57" s="122"/>
      <c r="P57" s="122"/>
      <c r="Q57" s="122"/>
      <c r="R57" s="122"/>
      <c r="S57" s="122"/>
      <c r="T57" s="122"/>
      <c r="U57" s="122"/>
      <c r="V57" s="122"/>
      <c r="W57" s="122"/>
      <c r="X57" s="122"/>
      <c r="Y57" s="122"/>
      <c r="Z57" s="122"/>
      <c r="AA57" s="122"/>
      <c r="AB57" s="122"/>
      <c r="AC57" s="8"/>
      <c r="AD57" s="122"/>
      <c r="AE57" s="122"/>
      <c r="AF57" s="122"/>
      <c r="AG57" s="122"/>
      <c r="AH57" s="122"/>
      <c r="AI57" s="122"/>
      <c r="AJ57" s="122"/>
      <c r="AK57" s="122"/>
      <c r="AL57" s="122"/>
      <c r="AM57" s="122"/>
      <c r="AN57" s="122"/>
      <c r="AO57" s="122"/>
      <c r="AP57" s="122"/>
      <c r="AQ57" s="122"/>
      <c r="AR57" s="122"/>
      <c r="AS57" s="122"/>
      <c r="AT57" s="122"/>
      <c r="AU57" s="122"/>
      <c r="AV57" s="122"/>
      <c r="AW57" s="122"/>
      <c r="AX57" s="122"/>
      <c r="AY57" s="122"/>
      <c r="AZ57" s="122"/>
      <c r="BA57" s="122"/>
      <c r="BC57" s="112"/>
      <c r="BD57" s="305" t="s">
        <v>64</v>
      </c>
      <c r="BE57" s="305"/>
      <c r="BF57" s="305"/>
      <c r="BG57" s="305"/>
      <c r="BH57" s="305"/>
    </row>
    <row r="58" spans="1:60" s="10" customFormat="1" ht="15.75" customHeight="1" x14ac:dyDescent="0.25">
      <c r="C58" s="20" t="s">
        <v>45</v>
      </c>
      <c r="D58" s="7"/>
      <c r="E58" s="122"/>
      <c r="F58" s="122"/>
      <c r="G58" s="122"/>
      <c r="H58" s="122"/>
      <c r="I58" s="122"/>
      <c r="J58" s="122"/>
      <c r="K58" s="122"/>
      <c r="L58" s="122"/>
      <c r="M58" s="122"/>
      <c r="N58" s="122"/>
      <c r="O58" s="122"/>
      <c r="P58" s="122"/>
      <c r="Q58" s="122"/>
      <c r="R58" s="122"/>
      <c r="S58" s="122"/>
      <c r="T58" s="122"/>
      <c r="U58" s="122"/>
      <c r="V58" s="122"/>
      <c r="W58" s="122"/>
      <c r="X58" s="122"/>
      <c r="Y58" s="122"/>
      <c r="Z58" s="122"/>
      <c r="AA58" s="122"/>
      <c r="AB58" s="122"/>
      <c r="AC58" s="8"/>
      <c r="AD58" s="122"/>
      <c r="AE58" s="122"/>
      <c r="AF58" s="122"/>
      <c r="AG58" s="122"/>
      <c r="AH58" s="122"/>
      <c r="AI58" s="122"/>
      <c r="AJ58" s="122"/>
      <c r="AK58" s="122"/>
      <c r="AL58" s="122"/>
      <c r="AM58" s="122"/>
      <c r="AN58" s="122"/>
      <c r="AO58" s="122"/>
      <c r="AP58" s="122"/>
      <c r="AQ58" s="122"/>
      <c r="AR58" s="122"/>
      <c r="AS58" s="122"/>
      <c r="AT58" s="122"/>
      <c r="AU58" s="122"/>
      <c r="AV58" s="122"/>
      <c r="AW58" s="122"/>
      <c r="AX58" s="122"/>
      <c r="AY58" s="122"/>
      <c r="AZ58" s="122"/>
      <c r="BA58" s="122"/>
      <c r="BC58" s="116"/>
      <c r="BD58" s="301" t="s">
        <v>81</v>
      </c>
      <c r="BE58" s="301"/>
      <c r="BF58" s="301"/>
      <c r="BG58" s="301"/>
      <c r="BH58" s="301"/>
    </row>
    <row r="59" spans="1:60" s="10" customFormat="1" ht="15.75" customHeight="1" x14ac:dyDescent="0.25">
      <c r="C59" s="20" t="s">
        <v>46</v>
      </c>
      <c r="D59" s="7"/>
      <c r="E59" s="122"/>
      <c r="F59" s="122"/>
      <c r="G59" s="122"/>
      <c r="H59" s="122"/>
      <c r="I59" s="122"/>
      <c r="J59" s="122"/>
      <c r="K59" s="122"/>
      <c r="L59" s="122"/>
      <c r="M59" s="122"/>
      <c r="N59" s="122"/>
      <c r="O59" s="122"/>
      <c r="P59" s="122"/>
      <c r="Q59" s="122"/>
      <c r="R59" s="122"/>
      <c r="S59" s="122"/>
      <c r="T59" s="122"/>
      <c r="U59" s="122"/>
      <c r="V59" s="122"/>
      <c r="W59" s="122"/>
      <c r="X59" s="122"/>
      <c r="Y59" s="122"/>
      <c r="Z59" s="122"/>
      <c r="AA59" s="122"/>
      <c r="AB59" s="122"/>
      <c r="AC59" s="8"/>
      <c r="AD59" s="122"/>
      <c r="AE59" s="122"/>
      <c r="AF59" s="122"/>
      <c r="AG59" s="122"/>
      <c r="AH59" s="122"/>
      <c r="AI59" s="122"/>
      <c r="AJ59" s="122"/>
      <c r="AK59" s="122"/>
      <c r="AL59" s="122"/>
      <c r="AM59" s="122"/>
      <c r="AN59" s="122"/>
      <c r="AO59" s="122"/>
      <c r="AP59" s="122"/>
      <c r="AQ59" s="122"/>
      <c r="AR59" s="122"/>
      <c r="AS59" s="122"/>
      <c r="AT59" s="122"/>
      <c r="AU59" s="122"/>
      <c r="AV59" s="122"/>
      <c r="AW59" s="122"/>
      <c r="AX59" s="122"/>
      <c r="AY59" s="122"/>
      <c r="AZ59" s="122"/>
      <c r="BA59" s="122"/>
      <c r="BC59" s="93" t="s">
        <v>77</v>
      </c>
      <c r="BD59" s="301" t="s">
        <v>76</v>
      </c>
      <c r="BE59" s="301"/>
      <c r="BF59" s="301"/>
      <c r="BG59" s="301"/>
      <c r="BH59" s="301"/>
    </row>
    <row r="60" spans="1:60" ht="69.95" customHeight="1" x14ac:dyDescent="0.25">
      <c r="A60" s="11"/>
      <c r="B60" s="11"/>
      <c r="C60" s="21" t="s">
        <v>65</v>
      </c>
      <c r="E60" s="304"/>
      <c r="F60" s="304"/>
      <c r="G60" s="304"/>
      <c r="H60" s="304"/>
      <c r="I60" s="304"/>
      <c r="J60" s="304"/>
      <c r="K60" s="304"/>
      <c r="L60" s="304"/>
      <c r="M60" s="304"/>
      <c r="N60" s="304"/>
      <c r="O60" s="304"/>
      <c r="P60" s="304"/>
      <c r="Q60" s="304"/>
      <c r="R60" s="304"/>
      <c r="S60" s="304"/>
      <c r="T60" s="304"/>
      <c r="U60" s="304"/>
      <c r="V60" s="304"/>
      <c r="W60" s="304"/>
      <c r="X60" s="304"/>
      <c r="Y60" s="304"/>
      <c r="Z60" s="304"/>
      <c r="AA60" s="304"/>
      <c r="AB60" s="304"/>
      <c r="AC60" s="29"/>
      <c r="AD60" s="304"/>
      <c r="AE60" s="304"/>
      <c r="AF60" s="304"/>
      <c r="AG60" s="304"/>
      <c r="AH60" s="304"/>
      <c r="AI60" s="304"/>
      <c r="AJ60" s="304"/>
      <c r="AK60" s="304"/>
      <c r="AL60" s="304"/>
      <c r="AM60" s="304"/>
      <c r="AN60" s="304"/>
      <c r="AO60" s="304"/>
      <c r="AP60" s="304"/>
      <c r="AQ60" s="304"/>
      <c r="AR60" s="304"/>
      <c r="AS60" s="304"/>
      <c r="AT60" s="304"/>
      <c r="AU60" s="304"/>
      <c r="AV60" s="304"/>
      <c r="AW60" s="304"/>
      <c r="AX60" s="304"/>
      <c r="AY60" s="304"/>
      <c r="AZ60" s="304"/>
      <c r="BA60" s="304"/>
      <c r="BB60" s="8"/>
      <c r="BC60" s="117" t="s">
        <v>82</v>
      </c>
      <c r="BD60" s="301" t="s">
        <v>83</v>
      </c>
      <c r="BE60" s="301"/>
      <c r="BF60" s="301"/>
      <c r="BG60" s="301"/>
      <c r="BH60" s="301"/>
    </row>
    <row r="61" spans="1:60" ht="43.5" customHeight="1" x14ac:dyDescent="0.25">
      <c r="A61" s="64"/>
      <c r="B61" s="11"/>
      <c r="C61" s="21" t="s">
        <v>47</v>
      </c>
      <c r="E61" s="309"/>
      <c r="F61" s="310"/>
      <c r="G61" s="310"/>
      <c r="H61" s="310"/>
      <c r="I61" s="310"/>
      <c r="J61" s="310"/>
      <c r="K61" s="310"/>
      <c r="L61" s="310"/>
      <c r="M61" s="310"/>
      <c r="N61" s="310"/>
      <c r="O61" s="310"/>
      <c r="P61" s="311"/>
      <c r="Q61" s="312"/>
      <c r="R61" s="310"/>
      <c r="S61" s="310"/>
      <c r="T61" s="310"/>
      <c r="U61" s="310"/>
      <c r="V61" s="310"/>
      <c r="W61" s="310"/>
      <c r="X61" s="310"/>
      <c r="Y61" s="310"/>
      <c r="Z61" s="310"/>
      <c r="AA61" s="310"/>
      <c r="AB61" s="310"/>
      <c r="AC61" s="29"/>
      <c r="AD61" s="309"/>
      <c r="AE61" s="310"/>
      <c r="AF61" s="310"/>
      <c r="AG61" s="310"/>
      <c r="AH61" s="310"/>
      <c r="AI61" s="310"/>
      <c r="AJ61" s="310"/>
      <c r="AK61" s="310"/>
      <c r="AL61" s="310"/>
      <c r="AM61" s="310"/>
      <c r="AN61" s="310"/>
      <c r="AO61" s="311"/>
      <c r="AP61" s="312"/>
      <c r="AQ61" s="310"/>
      <c r="AR61" s="310"/>
      <c r="AS61" s="310"/>
      <c r="AT61" s="310"/>
      <c r="AU61" s="310"/>
      <c r="AV61" s="310"/>
      <c r="AW61" s="310"/>
      <c r="AX61" s="310"/>
      <c r="AY61" s="310"/>
      <c r="AZ61" s="310"/>
      <c r="BA61" s="310"/>
      <c r="BB61" s="8"/>
      <c r="BC61" s="118"/>
      <c r="BD61" s="306" t="s">
        <v>119</v>
      </c>
      <c r="BE61" s="307"/>
      <c r="BF61" s="307"/>
      <c r="BG61" s="307"/>
      <c r="BH61" s="308"/>
    </row>
    <row r="62" spans="1:60" s="10" customFormat="1" ht="15.75" customHeight="1" x14ac:dyDescent="0.3">
      <c r="C62" s="12"/>
      <c r="D62" s="12"/>
      <c r="E62" s="13">
        <v>11</v>
      </c>
      <c r="F62" s="13"/>
      <c r="G62" s="13"/>
      <c r="H62" s="13"/>
      <c r="I62" s="13"/>
      <c r="J62" s="13"/>
      <c r="K62" s="13"/>
      <c r="L62" s="13"/>
      <c r="M62" s="13"/>
      <c r="N62" s="13"/>
      <c r="O62" s="13"/>
      <c r="P62" s="13"/>
      <c r="Q62" s="13"/>
      <c r="R62" s="13"/>
      <c r="S62" s="13"/>
      <c r="T62" s="13"/>
      <c r="U62" s="13"/>
      <c r="V62" s="13"/>
      <c r="W62" s="13"/>
      <c r="X62" s="13"/>
      <c r="Y62" s="13"/>
      <c r="Z62" s="13"/>
      <c r="AA62" s="13"/>
      <c r="AB62" s="13"/>
      <c r="AC62" s="12"/>
      <c r="AD62" s="13">
        <v>12</v>
      </c>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C62" s="119"/>
      <c r="BD62" s="301" t="s">
        <v>121</v>
      </c>
      <c r="BE62" s="301"/>
      <c r="BF62" s="301"/>
      <c r="BG62" s="301"/>
      <c r="BH62" s="301"/>
    </row>
    <row r="63" spans="1:60" s="10" customFormat="1" ht="15.75" customHeight="1" x14ac:dyDescent="0.25">
      <c r="C63" s="22"/>
      <c r="D63" s="22"/>
      <c r="E63" s="36">
        <v>0</v>
      </c>
      <c r="F63" s="36">
        <v>1</v>
      </c>
      <c r="G63" s="36">
        <v>2</v>
      </c>
      <c r="H63" s="36">
        <v>3</v>
      </c>
      <c r="I63" s="36">
        <v>4</v>
      </c>
      <c r="J63" s="36">
        <v>5</v>
      </c>
      <c r="K63" s="36">
        <v>6</v>
      </c>
      <c r="L63" s="36">
        <v>7</v>
      </c>
      <c r="M63" s="36">
        <v>8</v>
      </c>
      <c r="N63" s="36">
        <v>9</v>
      </c>
      <c r="O63" s="36">
        <v>10</v>
      </c>
      <c r="P63" s="36">
        <v>11</v>
      </c>
      <c r="Q63" s="36">
        <v>12</v>
      </c>
      <c r="R63" s="36">
        <v>13</v>
      </c>
      <c r="S63" s="36">
        <v>14</v>
      </c>
      <c r="T63" s="36">
        <v>15</v>
      </c>
      <c r="U63" s="36">
        <v>16</v>
      </c>
      <c r="V63" s="36">
        <v>17</v>
      </c>
      <c r="W63" s="36">
        <v>18</v>
      </c>
      <c r="X63" s="36">
        <v>19</v>
      </c>
      <c r="Y63" s="36">
        <v>20</v>
      </c>
      <c r="Z63" s="36">
        <v>21</v>
      </c>
      <c r="AA63" s="36">
        <v>22</v>
      </c>
      <c r="AB63" s="36">
        <v>23</v>
      </c>
      <c r="AC63" s="22"/>
      <c r="AD63" s="36">
        <v>0</v>
      </c>
      <c r="AE63" s="36">
        <v>1</v>
      </c>
      <c r="AF63" s="36">
        <v>2</v>
      </c>
      <c r="AG63" s="36">
        <v>3</v>
      </c>
      <c r="AH63" s="36">
        <v>4</v>
      </c>
      <c r="AI63" s="36">
        <v>5</v>
      </c>
      <c r="AJ63" s="36">
        <v>6</v>
      </c>
      <c r="AK63" s="36">
        <v>7</v>
      </c>
      <c r="AL63" s="36">
        <v>8</v>
      </c>
      <c r="AM63" s="36">
        <v>9</v>
      </c>
      <c r="AN63" s="36">
        <v>10</v>
      </c>
      <c r="AO63" s="36">
        <v>11</v>
      </c>
      <c r="AP63" s="36">
        <v>12</v>
      </c>
      <c r="AQ63" s="36">
        <v>13</v>
      </c>
      <c r="AR63" s="36">
        <v>14</v>
      </c>
      <c r="AS63" s="36">
        <v>15</v>
      </c>
      <c r="AT63" s="36">
        <v>16</v>
      </c>
      <c r="AU63" s="36">
        <v>17</v>
      </c>
      <c r="AV63" s="36">
        <v>18</v>
      </c>
      <c r="AW63" s="36">
        <v>19</v>
      </c>
      <c r="AX63" s="36">
        <v>20</v>
      </c>
      <c r="AY63" s="36">
        <v>21</v>
      </c>
      <c r="AZ63" s="36">
        <v>22</v>
      </c>
      <c r="BA63" s="36">
        <v>23</v>
      </c>
      <c r="BC63" s="117" t="s">
        <v>123</v>
      </c>
      <c r="BD63" s="301" t="s">
        <v>124</v>
      </c>
      <c r="BE63" s="301"/>
      <c r="BF63" s="301"/>
      <c r="BG63" s="301"/>
      <c r="BH63" s="301"/>
    </row>
    <row r="64" spans="1:60" s="10" customFormat="1" x14ac:dyDescent="0.25">
      <c r="C64" s="22"/>
      <c r="D64" s="22"/>
      <c r="E64" s="37" t="s">
        <v>17</v>
      </c>
      <c r="F64" s="37" t="s">
        <v>18</v>
      </c>
      <c r="G64" s="37" t="s">
        <v>19</v>
      </c>
      <c r="H64" s="37" t="s">
        <v>20</v>
      </c>
      <c r="I64" s="37" t="s">
        <v>21</v>
      </c>
      <c r="J64" s="37" t="s">
        <v>22</v>
      </c>
      <c r="K64" s="37" t="s">
        <v>23</v>
      </c>
      <c r="L64" s="37" t="s">
        <v>24</v>
      </c>
      <c r="M64" s="37" t="s">
        <v>25</v>
      </c>
      <c r="N64" s="37" t="s">
        <v>26</v>
      </c>
      <c r="O64" s="37" t="s">
        <v>27</v>
      </c>
      <c r="P64" s="37" t="s">
        <v>28</v>
      </c>
      <c r="Q64" s="37" t="s">
        <v>29</v>
      </c>
      <c r="R64" s="37" t="s">
        <v>30</v>
      </c>
      <c r="S64" s="37" t="s">
        <v>31</v>
      </c>
      <c r="T64" s="37" t="s">
        <v>32</v>
      </c>
      <c r="U64" s="37" t="s">
        <v>33</v>
      </c>
      <c r="V64" s="37" t="s">
        <v>34</v>
      </c>
      <c r="W64" s="37" t="s">
        <v>35</v>
      </c>
      <c r="X64" s="37" t="s">
        <v>36</v>
      </c>
      <c r="Y64" s="37" t="s">
        <v>37</v>
      </c>
      <c r="Z64" s="37" t="s">
        <v>38</v>
      </c>
      <c r="AA64" s="37" t="s">
        <v>39</v>
      </c>
      <c r="AB64" s="37" t="s">
        <v>40</v>
      </c>
      <c r="AC64" s="22"/>
      <c r="AD64" s="37" t="s">
        <v>17</v>
      </c>
      <c r="AE64" s="37" t="s">
        <v>18</v>
      </c>
      <c r="AF64" s="37" t="s">
        <v>19</v>
      </c>
      <c r="AG64" s="37" t="s">
        <v>20</v>
      </c>
      <c r="AH64" s="37" t="s">
        <v>21</v>
      </c>
      <c r="AI64" s="37" t="s">
        <v>22</v>
      </c>
      <c r="AJ64" s="37" t="s">
        <v>23</v>
      </c>
      <c r="AK64" s="37" t="s">
        <v>24</v>
      </c>
      <c r="AL64" s="37" t="s">
        <v>25</v>
      </c>
      <c r="AM64" s="37" t="s">
        <v>26</v>
      </c>
      <c r="AN64" s="37" t="s">
        <v>27</v>
      </c>
      <c r="AO64" s="37" t="s">
        <v>28</v>
      </c>
      <c r="AP64" s="37" t="s">
        <v>29</v>
      </c>
      <c r="AQ64" s="37" t="s">
        <v>30</v>
      </c>
      <c r="AR64" s="37" t="s">
        <v>31</v>
      </c>
      <c r="AS64" s="37" t="s">
        <v>32</v>
      </c>
      <c r="AT64" s="37" t="s">
        <v>33</v>
      </c>
      <c r="AU64" s="37" t="s">
        <v>34</v>
      </c>
      <c r="AV64" s="37" t="s">
        <v>35</v>
      </c>
      <c r="AW64" s="37" t="s">
        <v>36</v>
      </c>
      <c r="AX64" s="37" t="s">
        <v>37</v>
      </c>
      <c r="AY64" s="37" t="s">
        <v>38</v>
      </c>
      <c r="AZ64" s="37" t="s">
        <v>39</v>
      </c>
      <c r="BA64" s="37" t="s">
        <v>40</v>
      </c>
      <c r="BC64" s="120"/>
    </row>
    <row r="65" spans="1:60" s="10" customFormat="1" ht="15.75" customHeight="1" x14ac:dyDescent="0.25">
      <c r="C65" s="20" t="s">
        <v>41</v>
      </c>
      <c r="D65" s="7"/>
      <c r="E65" s="122"/>
      <c r="F65" s="122"/>
      <c r="G65" s="122"/>
      <c r="H65" s="122"/>
      <c r="I65" s="122"/>
      <c r="J65" s="122"/>
      <c r="K65" s="122"/>
      <c r="L65" s="122"/>
      <c r="M65" s="122"/>
      <c r="N65" s="122"/>
      <c r="O65" s="122"/>
      <c r="P65" s="122"/>
      <c r="Q65" s="122"/>
      <c r="R65" s="122"/>
      <c r="S65" s="122"/>
      <c r="T65" s="122"/>
      <c r="U65" s="122"/>
      <c r="V65" s="122"/>
      <c r="W65" s="122"/>
      <c r="X65" s="122"/>
      <c r="Y65" s="122"/>
      <c r="Z65" s="122"/>
      <c r="AA65" s="122"/>
      <c r="AB65" s="122"/>
      <c r="AC65" s="38"/>
      <c r="AD65" s="122"/>
      <c r="AE65" s="122"/>
      <c r="AF65" s="122"/>
      <c r="AG65" s="122"/>
      <c r="AH65" s="122"/>
      <c r="AI65" s="122"/>
      <c r="AJ65" s="122"/>
      <c r="AK65" s="122"/>
      <c r="AL65" s="122"/>
      <c r="AM65" s="122"/>
      <c r="AN65" s="122"/>
      <c r="AO65" s="122"/>
      <c r="AP65" s="122"/>
      <c r="AQ65" s="122"/>
      <c r="AR65" s="122"/>
      <c r="AS65" s="122"/>
      <c r="AT65" s="122"/>
      <c r="AU65" s="122"/>
      <c r="AV65" s="122"/>
      <c r="AW65" s="122"/>
      <c r="AX65" s="122"/>
      <c r="AY65" s="122"/>
      <c r="AZ65" s="122"/>
      <c r="BA65" s="122"/>
      <c r="BC65" s="120"/>
    </row>
    <row r="66" spans="1:60" s="10" customFormat="1" x14ac:dyDescent="0.25">
      <c r="C66" s="20" t="s">
        <v>42</v>
      </c>
      <c r="D66" s="7"/>
      <c r="E66" s="122"/>
      <c r="F66" s="122"/>
      <c r="G66" s="122"/>
      <c r="H66" s="122"/>
      <c r="I66" s="122"/>
      <c r="J66" s="122"/>
      <c r="K66" s="122"/>
      <c r="L66" s="122"/>
      <c r="M66" s="122"/>
      <c r="N66" s="122"/>
      <c r="O66" s="122"/>
      <c r="P66" s="122"/>
      <c r="Q66" s="122"/>
      <c r="R66" s="122"/>
      <c r="S66" s="122"/>
      <c r="T66" s="122"/>
      <c r="U66" s="122"/>
      <c r="V66" s="122"/>
      <c r="W66" s="122"/>
      <c r="X66" s="122"/>
      <c r="Y66" s="122"/>
      <c r="Z66" s="122"/>
      <c r="AA66" s="122"/>
      <c r="AB66" s="122"/>
      <c r="AC66" s="38"/>
      <c r="AD66" s="122"/>
      <c r="AE66" s="122"/>
      <c r="AF66" s="122"/>
      <c r="AG66" s="122"/>
      <c r="AH66" s="122"/>
      <c r="AI66" s="122"/>
      <c r="AJ66" s="122"/>
      <c r="AK66" s="122"/>
      <c r="AL66" s="122"/>
      <c r="AM66" s="122"/>
      <c r="AN66" s="122"/>
      <c r="AO66" s="122"/>
      <c r="AP66" s="122"/>
      <c r="AQ66" s="122"/>
      <c r="AR66" s="122"/>
      <c r="AS66" s="122"/>
      <c r="AT66" s="122"/>
      <c r="AU66" s="122"/>
      <c r="AV66" s="122"/>
      <c r="AW66" s="122"/>
      <c r="AX66" s="122"/>
      <c r="AY66" s="122"/>
      <c r="AZ66" s="122"/>
      <c r="BA66" s="122"/>
      <c r="BC66" s="120"/>
    </row>
    <row r="67" spans="1:60" s="10" customFormat="1" ht="15.75" customHeight="1" x14ac:dyDescent="0.25">
      <c r="C67" s="20" t="s">
        <v>43</v>
      </c>
      <c r="D67" s="7"/>
      <c r="E67" s="122"/>
      <c r="F67" s="122"/>
      <c r="G67" s="122"/>
      <c r="H67" s="122"/>
      <c r="I67" s="122"/>
      <c r="J67" s="122"/>
      <c r="K67" s="122"/>
      <c r="L67" s="122"/>
      <c r="M67" s="122"/>
      <c r="N67" s="122"/>
      <c r="O67" s="122"/>
      <c r="P67" s="122"/>
      <c r="Q67" s="122"/>
      <c r="R67" s="122"/>
      <c r="S67" s="122"/>
      <c r="T67" s="122"/>
      <c r="U67" s="122"/>
      <c r="V67" s="122"/>
      <c r="W67" s="122"/>
      <c r="X67" s="122"/>
      <c r="Y67" s="122"/>
      <c r="Z67" s="122"/>
      <c r="AA67" s="122"/>
      <c r="AB67" s="122"/>
      <c r="AC67" s="38"/>
      <c r="AD67" s="122"/>
      <c r="AE67" s="122"/>
      <c r="AF67" s="122"/>
      <c r="AG67" s="122"/>
      <c r="AH67" s="122"/>
      <c r="AI67" s="122"/>
      <c r="AJ67" s="122"/>
      <c r="AK67" s="122"/>
      <c r="AL67" s="122"/>
      <c r="AM67" s="122"/>
      <c r="AN67" s="122"/>
      <c r="AO67" s="122"/>
      <c r="AP67" s="122"/>
      <c r="AQ67" s="122"/>
      <c r="AR67" s="122"/>
      <c r="AS67" s="122"/>
      <c r="AT67" s="122"/>
      <c r="AU67" s="122"/>
      <c r="AV67" s="122"/>
      <c r="AW67" s="122"/>
      <c r="AX67" s="122"/>
      <c r="AY67" s="122"/>
      <c r="AZ67" s="122"/>
      <c r="BA67" s="122"/>
      <c r="BC67" s="120"/>
    </row>
    <row r="68" spans="1:60" s="10" customFormat="1" ht="15" customHeight="1" x14ac:dyDescent="0.25">
      <c r="C68" s="20" t="s">
        <v>44</v>
      </c>
      <c r="D68" s="7"/>
      <c r="E68" s="122"/>
      <c r="F68" s="122"/>
      <c r="G68" s="122"/>
      <c r="H68" s="122"/>
      <c r="I68" s="122"/>
      <c r="J68" s="122"/>
      <c r="K68" s="122"/>
      <c r="L68" s="122"/>
      <c r="M68" s="122"/>
      <c r="N68" s="122"/>
      <c r="O68" s="122"/>
      <c r="P68" s="122"/>
      <c r="Q68" s="122"/>
      <c r="R68" s="122"/>
      <c r="S68" s="122"/>
      <c r="T68" s="122"/>
      <c r="U68" s="122"/>
      <c r="V68" s="122"/>
      <c r="W68" s="122"/>
      <c r="X68" s="122"/>
      <c r="Y68" s="122"/>
      <c r="Z68" s="122"/>
      <c r="AA68" s="122"/>
      <c r="AB68" s="122"/>
      <c r="AC68" s="38"/>
      <c r="AD68" s="122"/>
      <c r="AE68" s="122"/>
      <c r="AF68" s="122"/>
      <c r="AG68" s="122"/>
      <c r="AH68" s="122"/>
      <c r="AI68" s="122"/>
      <c r="AJ68" s="122"/>
      <c r="AK68" s="122"/>
      <c r="AL68" s="122"/>
      <c r="AM68" s="122"/>
      <c r="AN68" s="122"/>
      <c r="AO68" s="122"/>
      <c r="AP68" s="122"/>
      <c r="AQ68" s="122"/>
      <c r="AR68" s="122"/>
      <c r="AS68" s="122"/>
      <c r="AT68" s="122"/>
      <c r="AU68" s="122"/>
      <c r="AV68" s="122"/>
      <c r="AW68" s="122"/>
      <c r="AX68" s="122"/>
      <c r="AY68" s="122"/>
      <c r="AZ68" s="122"/>
      <c r="BA68" s="122"/>
      <c r="BC68" s="120"/>
    </row>
    <row r="69" spans="1:60" s="10" customFormat="1" ht="15.75" customHeight="1" x14ac:dyDescent="0.25">
      <c r="C69" s="20" t="s">
        <v>45</v>
      </c>
      <c r="D69" s="7"/>
      <c r="E69" s="122"/>
      <c r="F69" s="122"/>
      <c r="G69" s="122"/>
      <c r="H69" s="122"/>
      <c r="I69" s="122"/>
      <c r="J69" s="122"/>
      <c r="K69" s="122"/>
      <c r="L69" s="122"/>
      <c r="M69" s="122"/>
      <c r="N69" s="122"/>
      <c r="O69" s="122"/>
      <c r="P69" s="122"/>
      <c r="Q69" s="122"/>
      <c r="R69" s="122"/>
      <c r="S69" s="122"/>
      <c r="T69" s="122"/>
      <c r="U69" s="122"/>
      <c r="V69" s="122"/>
      <c r="W69" s="122"/>
      <c r="X69" s="122"/>
      <c r="Y69" s="122"/>
      <c r="Z69" s="122"/>
      <c r="AA69" s="122"/>
      <c r="AB69" s="122"/>
      <c r="AC69" s="38"/>
      <c r="AD69" s="122"/>
      <c r="AE69" s="122"/>
      <c r="AF69" s="122"/>
      <c r="AG69" s="122"/>
      <c r="AH69" s="122"/>
      <c r="AI69" s="122"/>
      <c r="AJ69" s="122"/>
      <c r="AK69" s="122"/>
      <c r="AL69" s="122"/>
      <c r="AM69" s="122"/>
      <c r="AN69" s="122"/>
      <c r="AO69" s="122"/>
      <c r="AP69" s="122"/>
      <c r="AQ69" s="122"/>
      <c r="AR69" s="122"/>
      <c r="AS69" s="122"/>
      <c r="AT69" s="122"/>
      <c r="AU69" s="122"/>
      <c r="AV69" s="122"/>
      <c r="AW69" s="122"/>
      <c r="AX69" s="122"/>
      <c r="AY69" s="122"/>
      <c r="AZ69" s="122"/>
      <c r="BA69" s="122"/>
      <c r="BC69" s="120"/>
    </row>
    <row r="70" spans="1:60" s="10" customFormat="1" ht="15.75" customHeight="1" x14ac:dyDescent="0.25">
      <c r="C70" s="20" t="s">
        <v>46</v>
      </c>
      <c r="D70" s="7"/>
      <c r="E70" s="122"/>
      <c r="F70" s="122"/>
      <c r="G70" s="122"/>
      <c r="H70" s="122"/>
      <c r="I70" s="122"/>
      <c r="J70" s="122"/>
      <c r="K70" s="122"/>
      <c r="L70" s="122"/>
      <c r="M70" s="122"/>
      <c r="N70" s="122"/>
      <c r="O70" s="122"/>
      <c r="P70" s="122"/>
      <c r="Q70" s="122"/>
      <c r="R70" s="122"/>
      <c r="S70" s="122"/>
      <c r="T70" s="122"/>
      <c r="U70" s="122"/>
      <c r="V70" s="122"/>
      <c r="W70" s="122"/>
      <c r="X70" s="122"/>
      <c r="Y70" s="122"/>
      <c r="Z70" s="122"/>
      <c r="AA70" s="122"/>
      <c r="AB70" s="122"/>
      <c r="AC70" s="38"/>
      <c r="AD70" s="122"/>
      <c r="AE70" s="122"/>
      <c r="AF70" s="122"/>
      <c r="AG70" s="122"/>
      <c r="AH70" s="122"/>
      <c r="AI70" s="122"/>
      <c r="AJ70" s="122"/>
      <c r="AK70" s="122"/>
      <c r="AL70" s="122"/>
      <c r="AM70" s="122"/>
      <c r="AN70" s="122"/>
      <c r="AO70" s="122"/>
      <c r="AP70" s="122"/>
      <c r="AQ70" s="122"/>
      <c r="AR70" s="122"/>
      <c r="AS70" s="122"/>
      <c r="AT70" s="122"/>
      <c r="AU70" s="122"/>
      <c r="AV70" s="122"/>
      <c r="AW70" s="122"/>
      <c r="AX70" s="122"/>
      <c r="AY70" s="122"/>
      <c r="AZ70" s="122"/>
      <c r="BA70" s="122"/>
      <c r="BC70" s="120"/>
    </row>
    <row r="71" spans="1:60" ht="69.95" customHeight="1" x14ac:dyDescent="0.25">
      <c r="A71" s="11"/>
      <c r="B71" s="11"/>
      <c r="C71" s="21" t="s">
        <v>65</v>
      </c>
      <c r="E71" s="304"/>
      <c r="F71" s="304"/>
      <c r="G71" s="304"/>
      <c r="H71" s="304"/>
      <c r="I71" s="304"/>
      <c r="J71" s="304"/>
      <c r="K71" s="304"/>
      <c r="L71" s="304"/>
      <c r="M71" s="304"/>
      <c r="N71" s="304"/>
      <c r="O71" s="304"/>
      <c r="P71" s="304"/>
      <c r="Q71" s="304"/>
      <c r="R71" s="304"/>
      <c r="S71" s="304"/>
      <c r="T71" s="304"/>
      <c r="U71" s="304"/>
      <c r="V71" s="304"/>
      <c r="W71" s="304"/>
      <c r="X71" s="304"/>
      <c r="Y71" s="304"/>
      <c r="Z71" s="304"/>
      <c r="AA71" s="304"/>
      <c r="AB71" s="304"/>
      <c r="AC71" s="29"/>
      <c r="AD71" s="304"/>
      <c r="AE71" s="304"/>
      <c r="AF71" s="304"/>
      <c r="AG71" s="304"/>
      <c r="AH71" s="304"/>
      <c r="AI71" s="304"/>
      <c r="AJ71" s="304"/>
      <c r="AK71" s="304"/>
      <c r="AL71" s="304"/>
      <c r="AM71" s="304"/>
      <c r="AN71" s="304"/>
      <c r="AO71" s="304"/>
      <c r="AP71" s="304"/>
      <c r="AQ71" s="304"/>
      <c r="AR71" s="304"/>
      <c r="AS71" s="304"/>
      <c r="AT71" s="304"/>
      <c r="AU71" s="304"/>
      <c r="AV71" s="304"/>
      <c r="AW71" s="304"/>
      <c r="AX71" s="304"/>
      <c r="AY71" s="304"/>
      <c r="AZ71" s="304"/>
      <c r="BA71" s="304"/>
      <c r="BB71" s="8"/>
      <c r="BC71" s="113"/>
      <c r="BD71" s="11"/>
      <c r="BE71" s="11"/>
      <c r="BF71" s="11"/>
      <c r="BG71" s="11"/>
      <c r="BH71" s="11"/>
    </row>
    <row r="72" spans="1:60" ht="43.5" customHeight="1" x14ac:dyDescent="0.25">
      <c r="A72" s="11"/>
      <c r="B72" s="11"/>
      <c r="C72" s="21" t="s">
        <v>47</v>
      </c>
      <c r="E72" s="309"/>
      <c r="F72" s="310"/>
      <c r="G72" s="310"/>
      <c r="H72" s="310"/>
      <c r="I72" s="310"/>
      <c r="J72" s="310"/>
      <c r="K72" s="310"/>
      <c r="L72" s="310"/>
      <c r="M72" s="310"/>
      <c r="N72" s="310"/>
      <c r="O72" s="310"/>
      <c r="P72" s="311"/>
      <c r="Q72" s="312"/>
      <c r="R72" s="310"/>
      <c r="S72" s="310"/>
      <c r="T72" s="310"/>
      <c r="U72" s="310"/>
      <c r="V72" s="310"/>
      <c r="W72" s="310"/>
      <c r="X72" s="310"/>
      <c r="Y72" s="310"/>
      <c r="Z72" s="310"/>
      <c r="AA72" s="310"/>
      <c r="AB72" s="310"/>
      <c r="AC72" s="29"/>
      <c r="AD72" s="309"/>
      <c r="AE72" s="310"/>
      <c r="AF72" s="310"/>
      <c r="AG72" s="310"/>
      <c r="AH72" s="310"/>
      <c r="AI72" s="310"/>
      <c r="AJ72" s="310"/>
      <c r="AK72" s="310"/>
      <c r="AL72" s="310"/>
      <c r="AM72" s="310"/>
      <c r="AN72" s="310"/>
      <c r="AO72" s="311"/>
      <c r="AP72" s="312"/>
      <c r="AQ72" s="310"/>
      <c r="AR72" s="310"/>
      <c r="AS72" s="310"/>
      <c r="AT72" s="310"/>
      <c r="AU72" s="310"/>
      <c r="AV72" s="310"/>
      <c r="AW72" s="310"/>
      <c r="AX72" s="310"/>
      <c r="AY72" s="310"/>
      <c r="AZ72" s="310"/>
      <c r="BA72" s="310"/>
      <c r="BB72" s="8"/>
      <c r="BC72" s="113"/>
      <c r="BD72" s="11"/>
      <c r="BE72" s="11"/>
      <c r="BF72" s="11"/>
      <c r="BG72" s="11"/>
      <c r="BH72" s="11"/>
    </row>
    <row r="73" spans="1:60" s="12" customFormat="1" ht="18.75" x14ac:dyDescent="0.3">
      <c r="A73" s="26"/>
      <c r="B73" s="26"/>
      <c r="E73" s="13">
        <v>13</v>
      </c>
      <c r="F73" s="13"/>
      <c r="G73" s="13"/>
      <c r="H73" s="13"/>
      <c r="I73" s="13"/>
      <c r="J73" s="13"/>
      <c r="K73" s="13"/>
      <c r="L73" s="13"/>
      <c r="M73" s="13"/>
      <c r="N73" s="13"/>
      <c r="O73" s="13"/>
      <c r="P73" s="13"/>
      <c r="Q73" s="13"/>
      <c r="R73" s="13"/>
      <c r="S73" s="13"/>
      <c r="T73" s="13"/>
      <c r="U73" s="13"/>
      <c r="V73" s="13"/>
      <c r="W73" s="13"/>
      <c r="X73" s="13"/>
      <c r="Y73" s="13"/>
      <c r="Z73" s="13"/>
      <c r="AA73" s="13"/>
      <c r="AB73" s="13"/>
      <c r="AD73" s="13">
        <v>14</v>
      </c>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5"/>
      <c r="BC73" s="121"/>
      <c r="BD73" s="26"/>
      <c r="BE73" s="26"/>
      <c r="BF73" s="26"/>
      <c r="BG73" s="26"/>
      <c r="BH73" s="26"/>
    </row>
    <row r="74" spans="1:60" s="24" customFormat="1" x14ac:dyDescent="0.25">
      <c r="A74" s="11"/>
      <c r="B74" s="11"/>
      <c r="C74" s="22"/>
      <c r="D74" s="22"/>
      <c r="E74" s="36">
        <v>0</v>
      </c>
      <c r="F74" s="36">
        <v>1</v>
      </c>
      <c r="G74" s="36">
        <v>2</v>
      </c>
      <c r="H74" s="36">
        <v>3</v>
      </c>
      <c r="I74" s="36">
        <v>4</v>
      </c>
      <c r="J74" s="36">
        <v>5</v>
      </c>
      <c r="K74" s="36">
        <v>6</v>
      </c>
      <c r="L74" s="36">
        <v>7</v>
      </c>
      <c r="M74" s="36">
        <v>8</v>
      </c>
      <c r="N74" s="36">
        <v>9</v>
      </c>
      <c r="O74" s="36">
        <v>10</v>
      </c>
      <c r="P74" s="36">
        <v>11</v>
      </c>
      <c r="Q74" s="36">
        <v>12</v>
      </c>
      <c r="R74" s="36">
        <v>13</v>
      </c>
      <c r="S74" s="36">
        <v>14</v>
      </c>
      <c r="T74" s="36">
        <v>15</v>
      </c>
      <c r="U74" s="36">
        <v>16</v>
      </c>
      <c r="V74" s="36">
        <v>17</v>
      </c>
      <c r="W74" s="36">
        <v>18</v>
      </c>
      <c r="X74" s="36">
        <v>19</v>
      </c>
      <c r="Y74" s="36">
        <v>20</v>
      </c>
      <c r="Z74" s="36">
        <v>21</v>
      </c>
      <c r="AA74" s="36">
        <v>22</v>
      </c>
      <c r="AB74" s="36">
        <v>23</v>
      </c>
      <c r="AC74" s="22"/>
      <c r="AD74" s="36">
        <v>0</v>
      </c>
      <c r="AE74" s="36">
        <v>1</v>
      </c>
      <c r="AF74" s="36">
        <v>2</v>
      </c>
      <c r="AG74" s="36">
        <v>3</v>
      </c>
      <c r="AH74" s="36">
        <v>4</v>
      </c>
      <c r="AI74" s="36">
        <v>5</v>
      </c>
      <c r="AJ74" s="36">
        <v>6</v>
      </c>
      <c r="AK74" s="36">
        <v>7</v>
      </c>
      <c r="AL74" s="36">
        <v>8</v>
      </c>
      <c r="AM74" s="36">
        <v>9</v>
      </c>
      <c r="AN74" s="36">
        <v>10</v>
      </c>
      <c r="AO74" s="36">
        <v>11</v>
      </c>
      <c r="AP74" s="36">
        <v>12</v>
      </c>
      <c r="AQ74" s="36">
        <v>13</v>
      </c>
      <c r="AR74" s="36">
        <v>14</v>
      </c>
      <c r="AS74" s="36">
        <v>15</v>
      </c>
      <c r="AT74" s="36">
        <v>16</v>
      </c>
      <c r="AU74" s="36">
        <v>17</v>
      </c>
      <c r="AV74" s="36">
        <v>18</v>
      </c>
      <c r="AW74" s="36">
        <v>19</v>
      </c>
      <c r="AX74" s="36">
        <v>20</v>
      </c>
      <c r="AY74" s="36">
        <v>21</v>
      </c>
      <c r="AZ74" s="36">
        <v>22</v>
      </c>
      <c r="BA74" s="36">
        <v>23</v>
      </c>
      <c r="BB74" s="23"/>
      <c r="BC74" s="113"/>
      <c r="BD74" s="11"/>
      <c r="BE74" s="11"/>
      <c r="BF74" s="11"/>
      <c r="BG74" s="11"/>
      <c r="BH74" s="11"/>
    </row>
    <row r="75" spans="1:60" s="24" customFormat="1" ht="15" customHeight="1" x14ac:dyDescent="0.25">
      <c r="A75" s="11"/>
      <c r="B75" s="11"/>
      <c r="C75" s="22"/>
      <c r="D75" s="22"/>
      <c r="E75" s="37" t="s">
        <v>17</v>
      </c>
      <c r="F75" s="37" t="s">
        <v>18</v>
      </c>
      <c r="G75" s="37" t="s">
        <v>19</v>
      </c>
      <c r="H75" s="37" t="s">
        <v>20</v>
      </c>
      <c r="I75" s="37" t="s">
        <v>21</v>
      </c>
      <c r="J75" s="37" t="s">
        <v>22</v>
      </c>
      <c r="K75" s="37" t="s">
        <v>23</v>
      </c>
      <c r="L75" s="37" t="s">
        <v>24</v>
      </c>
      <c r="M75" s="37" t="s">
        <v>25</v>
      </c>
      <c r="N75" s="37" t="s">
        <v>26</v>
      </c>
      <c r="O75" s="37" t="s">
        <v>27</v>
      </c>
      <c r="P75" s="37" t="s">
        <v>28</v>
      </c>
      <c r="Q75" s="37" t="s">
        <v>29</v>
      </c>
      <c r="R75" s="37" t="s">
        <v>30</v>
      </c>
      <c r="S75" s="37" t="s">
        <v>31</v>
      </c>
      <c r="T75" s="37" t="s">
        <v>32</v>
      </c>
      <c r="U75" s="37" t="s">
        <v>33</v>
      </c>
      <c r="V75" s="37" t="s">
        <v>34</v>
      </c>
      <c r="W75" s="37" t="s">
        <v>35</v>
      </c>
      <c r="X75" s="37" t="s">
        <v>36</v>
      </c>
      <c r="Y75" s="37" t="s">
        <v>37</v>
      </c>
      <c r="Z75" s="37" t="s">
        <v>38</v>
      </c>
      <c r="AA75" s="37" t="s">
        <v>39</v>
      </c>
      <c r="AB75" s="37" t="s">
        <v>40</v>
      </c>
      <c r="AC75" s="22"/>
      <c r="AD75" s="37" t="s">
        <v>17</v>
      </c>
      <c r="AE75" s="37" t="s">
        <v>18</v>
      </c>
      <c r="AF75" s="37" t="s">
        <v>19</v>
      </c>
      <c r="AG75" s="37" t="s">
        <v>20</v>
      </c>
      <c r="AH75" s="37" t="s">
        <v>21</v>
      </c>
      <c r="AI75" s="37" t="s">
        <v>22</v>
      </c>
      <c r="AJ75" s="37" t="s">
        <v>23</v>
      </c>
      <c r="AK75" s="37" t="s">
        <v>24</v>
      </c>
      <c r="AL75" s="37" t="s">
        <v>25</v>
      </c>
      <c r="AM75" s="37" t="s">
        <v>26</v>
      </c>
      <c r="AN75" s="37" t="s">
        <v>27</v>
      </c>
      <c r="AO75" s="37" t="s">
        <v>28</v>
      </c>
      <c r="AP75" s="37" t="s">
        <v>29</v>
      </c>
      <c r="AQ75" s="37" t="s">
        <v>30</v>
      </c>
      <c r="AR75" s="37" t="s">
        <v>31</v>
      </c>
      <c r="AS75" s="37" t="s">
        <v>32</v>
      </c>
      <c r="AT75" s="37" t="s">
        <v>33</v>
      </c>
      <c r="AU75" s="37" t="s">
        <v>34</v>
      </c>
      <c r="AV75" s="37" t="s">
        <v>35</v>
      </c>
      <c r="AW75" s="37" t="s">
        <v>36</v>
      </c>
      <c r="AX75" s="37" t="s">
        <v>37</v>
      </c>
      <c r="AY75" s="37" t="s">
        <v>38</v>
      </c>
      <c r="AZ75" s="37" t="s">
        <v>39</v>
      </c>
      <c r="BA75" s="37" t="s">
        <v>40</v>
      </c>
      <c r="BB75" s="23"/>
      <c r="BC75" s="113"/>
      <c r="BD75" s="11"/>
      <c r="BE75" s="11"/>
      <c r="BF75" s="11"/>
      <c r="BG75" s="11"/>
      <c r="BH75" s="11"/>
    </row>
    <row r="76" spans="1:60" x14ac:dyDescent="0.25">
      <c r="A76" s="11"/>
      <c r="B76" s="11"/>
      <c r="C76" s="20" t="s">
        <v>41</v>
      </c>
      <c r="E76" s="122"/>
      <c r="F76" s="122"/>
      <c r="G76" s="122"/>
      <c r="H76" s="122"/>
      <c r="I76" s="122"/>
      <c r="J76" s="122"/>
      <c r="K76" s="122"/>
      <c r="L76" s="122"/>
      <c r="M76" s="122"/>
      <c r="N76" s="122"/>
      <c r="O76" s="122"/>
      <c r="P76" s="122"/>
      <c r="Q76" s="122"/>
      <c r="R76" s="122"/>
      <c r="S76" s="122"/>
      <c r="T76" s="122"/>
      <c r="U76" s="122"/>
      <c r="V76" s="122"/>
      <c r="W76" s="122"/>
      <c r="X76" s="122"/>
      <c r="Y76" s="122"/>
      <c r="Z76" s="122"/>
      <c r="AA76" s="122"/>
      <c r="AB76" s="122"/>
      <c r="AC76" s="38"/>
      <c r="AD76" s="122"/>
      <c r="AE76" s="122"/>
      <c r="AF76" s="122"/>
      <c r="AG76" s="122"/>
      <c r="AH76" s="122"/>
      <c r="AI76" s="122"/>
      <c r="AJ76" s="122"/>
      <c r="AK76" s="122"/>
      <c r="AL76" s="122"/>
      <c r="AM76" s="122"/>
      <c r="AN76" s="122"/>
      <c r="AO76" s="122"/>
      <c r="AP76" s="122"/>
      <c r="AQ76" s="122"/>
      <c r="AR76" s="122"/>
      <c r="AS76" s="122"/>
      <c r="AT76" s="122"/>
      <c r="AU76" s="122"/>
      <c r="AV76" s="122"/>
      <c r="AW76" s="122"/>
      <c r="AX76" s="122"/>
      <c r="AY76" s="122"/>
      <c r="AZ76" s="122"/>
      <c r="BA76" s="122"/>
      <c r="BB76" s="8"/>
      <c r="BC76" s="113"/>
      <c r="BD76" s="11"/>
      <c r="BE76" s="11"/>
      <c r="BF76" s="11"/>
      <c r="BG76" s="11"/>
      <c r="BH76" s="11"/>
    </row>
    <row r="77" spans="1:60" x14ac:dyDescent="0.25">
      <c r="A77" s="11"/>
      <c r="B77" s="11"/>
      <c r="C77" s="20" t="s">
        <v>42</v>
      </c>
      <c r="E77" s="122"/>
      <c r="F77" s="122"/>
      <c r="G77" s="122"/>
      <c r="H77" s="122"/>
      <c r="I77" s="122"/>
      <c r="J77" s="122"/>
      <c r="K77" s="122"/>
      <c r="L77" s="122"/>
      <c r="M77" s="122"/>
      <c r="N77" s="122"/>
      <c r="O77" s="122"/>
      <c r="P77" s="122"/>
      <c r="Q77" s="122"/>
      <c r="R77" s="122"/>
      <c r="S77" s="122"/>
      <c r="T77" s="122"/>
      <c r="U77" s="122"/>
      <c r="V77" s="122"/>
      <c r="W77" s="122"/>
      <c r="X77" s="122"/>
      <c r="Y77" s="122"/>
      <c r="Z77" s="122"/>
      <c r="AA77" s="122"/>
      <c r="AB77" s="122"/>
      <c r="AC77" s="38"/>
      <c r="AD77" s="122"/>
      <c r="AE77" s="122"/>
      <c r="AF77" s="122"/>
      <c r="AG77" s="122"/>
      <c r="AH77" s="122"/>
      <c r="AI77" s="122"/>
      <c r="AJ77" s="122"/>
      <c r="AK77" s="122"/>
      <c r="AL77" s="122"/>
      <c r="AM77" s="122"/>
      <c r="AN77" s="122"/>
      <c r="AO77" s="122"/>
      <c r="AP77" s="122"/>
      <c r="AQ77" s="122"/>
      <c r="AR77" s="122"/>
      <c r="AS77" s="122"/>
      <c r="AT77" s="122"/>
      <c r="AU77" s="122"/>
      <c r="AV77" s="122"/>
      <c r="AW77" s="122"/>
      <c r="AX77" s="122"/>
      <c r="AY77" s="122"/>
      <c r="AZ77" s="122"/>
      <c r="BA77" s="122"/>
      <c r="BB77" s="8"/>
      <c r="BC77" s="113"/>
      <c r="BD77" s="11"/>
      <c r="BE77" s="11"/>
      <c r="BF77" s="11"/>
      <c r="BG77" s="11"/>
      <c r="BH77" s="11"/>
    </row>
    <row r="78" spans="1:60" x14ac:dyDescent="0.25">
      <c r="A78" s="11"/>
      <c r="B78" s="11"/>
      <c r="C78" s="20" t="s">
        <v>43</v>
      </c>
      <c r="E78" s="122"/>
      <c r="F78" s="122"/>
      <c r="G78" s="122"/>
      <c r="H78" s="122"/>
      <c r="I78" s="122"/>
      <c r="J78" s="122"/>
      <c r="K78" s="122"/>
      <c r="L78" s="122"/>
      <c r="M78" s="122"/>
      <c r="N78" s="122"/>
      <c r="O78" s="122"/>
      <c r="P78" s="122"/>
      <c r="Q78" s="122"/>
      <c r="R78" s="122"/>
      <c r="S78" s="122"/>
      <c r="T78" s="122"/>
      <c r="U78" s="122"/>
      <c r="V78" s="122"/>
      <c r="W78" s="122"/>
      <c r="X78" s="122"/>
      <c r="Y78" s="122"/>
      <c r="Z78" s="122"/>
      <c r="AA78" s="122"/>
      <c r="AB78" s="122"/>
      <c r="AC78" s="38"/>
      <c r="AD78" s="122"/>
      <c r="AE78" s="122"/>
      <c r="AF78" s="122"/>
      <c r="AG78" s="122"/>
      <c r="AH78" s="122"/>
      <c r="AI78" s="122"/>
      <c r="AJ78" s="122"/>
      <c r="AK78" s="122"/>
      <c r="AL78" s="122"/>
      <c r="AM78" s="122"/>
      <c r="AN78" s="122"/>
      <c r="AO78" s="122"/>
      <c r="AP78" s="122"/>
      <c r="AQ78" s="122"/>
      <c r="AR78" s="122"/>
      <c r="AS78" s="122"/>
      <c r="AT78" s="122"/>
      <c r="AU78" s="122"/>
      <c r="AV78" s="122"/>
      <c r="AW78" s="122"/>
      <c r="AX78" s="122"/>
      <c r="AY78" s="122"/>
      <c r="AZ78" s="122"/>
      <c r="BA78" s="122"/>
      <c r="BB78" s="8"/>
      <c r="BC78" s="113"/>
      <c r="BD78" s="11"/>
      <c r="BE78" s="11"/>
      <c r="BF78" s="11"/>
      <c r="BG78" s="11"/>
      <c r="BH78" s="11"/>
    </row>
    <row r="79" spans="1:60" x14ac:dyDescent="0.25">
      <c r="A79" s="11"/>
      <c r="B79" s="11"/>
      <c r="C79" s="20" t="s">
        <v>44</v>
      </c>
      <c r="E79" s="122"/>
      <c r="F79" s="122"/>
      <c r="G79" s="122"/>
      <c r="H79" s="122"/>
      <c r="I79" s="122"/>
      <c r="J79" s="122"/>
      <c r="K79" s="122"/>
      <c r="L79" s="122"/>
      <c r="M79" s="122"/>
      <c r="N79" s="122"/>
      <c r="O79" s="122"/>
      <c r="P79" s="122"/>
      <c r="Q79" s="122"/>
      <c r="R79" s="122"/>
      <c r="S79" s="122"/>
      <c r="T79" s="122"/>
      <c r="U79" s="122"/>
      <c r="V79" s="122"/>
      <c r="W79" s="122"/>
      <c r="X79" s="122"/>
      <c r="Y79" s="122"/>
      <c r="Z79" s="122"/>
      <c r="AA79" s="122"/>
      <c r="AB79" s="122"/>
      <c r="AC79" s="38"/>
      <c r="AD79" s="122"/>
      <c r="AE79" s="122"/>
      <c r="AF79" s="122"/>
      <c r="AG79" s="122"/>
      <c r="AH79" s="122"/>
      <c r="AI79" s="122"/>
      <c r="AJ79" s="122"/>
      <c r="AK79" s="122"/>
      <c r="AL79" s="122"/>
      <c r="AM79" s="122"/>
      <c r="AN79" s="122"/>
      <c r="AO79" s="122"/>
      <c r="AP79" s="122"/>
      <c r="AQ79" s="122"/>
      <c r="AR79" s="122"/>
      <c r="AS79" s="122"/>
      <c r="AT79" s="122"/>
      <c r="AU79" s="122"/>
      <c r="AV79" s="122"/>
      <c r="AW79" s="122"/>
      <c r="AX79" s="122"/>
      <c r="AY79" s="122"/>
      <c r="AZ79" s="122"/>
      <c r="BA79" s="122"/>
      <c r="BB79" s="8"/>
      <c r="BC79" s="113"/>
      <c r="BD79" s="11"/>
      <c r="BE79" s="11"/>
      <c r="BF79" s="11"/>
      <c r="BG79" s="11"/>
      <c r="BH79" s="11"/>
    </row>
    <row r="80" spans="1:60" x14ac:dyDescent="0.25">
      <c r="A80" s="11"/>
      <c r="B80" s="11"/>
      <c r="C80" s="20" t="s">
        <v>45</v>
      </c>
      <c r="E80" s="122"/>
      <c r="F80" s="122"/>
      <c r="G80" s="122"/>
      <c r="H80" s="122"/>
      <c r="I80" s="122"/>
      <c r="J80" s="122"/>
      <c r="K80" s="122"/>
      <c r="L80" s="122"/>
      <c r="M80" s="122"/>
      <c r="N80" s="122"/>
      <c r="O80" s="122"/>
      <c r="P80" s="122"/>
      <c r="Q80" s="122"/>
      <c r="R80" s="122"/>
      <c r="S80" s="122"/>
      <c r="T80" s="122"/>
      <c r="U80" s="122"/>
      <c r="V80" s="122"/>
      <c r="W80" s="122"/>
      <c r="X80" s="122"/>
      <c r="Y80" s="122"/>
      <c r="Z80" s="122"/>
      <c r="AA80" s="122"/>
      <c r="AB80" s="122"/>
      <c r="AC80" s="38"/>
      <c r="AD80" s="122"/>
      <c r="AE80" s="122"/>
      <c r="AF80" s="122"/>
      <c r="AG80" s="122"/>
      <c r="AH80" s="122"/>
      <c r="AI80" s="122"/>
      <c r="AJ80" s="122"/>
      <c r="AK80" s="122"/>
      <c r="AL80" s="122"/>
      <c r="AM80" s="122"/>
      <c r="AN80" s="122"/>
      <c r="AO80" s="122"/>
      <c r="AP80" s="122"/>
      <c r="AQ80" s="122"/>
      <c r="AR80" s="122"/>
      <c r="AS80" s="122"/>
      <c r="AT80" s="122"/>
      <c r="AU80" s="122"/>
      <c r="AV80" s="122"/>
      <c r="AW80" s="122"/>
      <c r="AX80" s="122"/>
      <c r="AY80" s="122"/>
      <c r="AZ80" s="122"/>
      <c r="BA80" s="122"/>
      <c r="BB80" s="8"/>
      <c r="BC80" s="113"/>
      <c r="BD80" s="11"/>
      <c r="BE80" s="11"/>
      <c r="BF80" s="11"/>
      <c r="BG80" s="11"/>
      <c r="BH80" s="11"/>
    </row>
    <row r="81" spans="1:60" x14ac:dyDescent="0.25">
      <c r="A81" s="11"/>
      <c r="B81" s="11"/>
      <c r="C81" s="20" t="s">
        <v>46</v>
      </c>
      <c r="E81" s="122"/>
      <c r="F81" s="122"/>
      <c r="G81" s="122"/>
      <c r="H81" s="122"/>
      <c r="I81" s="122"/>
      <c r="J81" s="122"/>
      <c r="K81" s="122"/>
      <c r="L81" s="122"/>
      <c r="M81" s="122"/>
      <c r="N81" s="122"/>
      <c r="O81" s="122"/>
      <c r="P81" s="122"/>
      <c r="Q81" s="122"/>
      <c r="R81" s="122"/>
      <c r="S81" s="122"/>
      <c r="T81" s="122"/>
      <c r="U81" s="122"/>
      <c r="V81" s="122"/>
      <c r="W81" s="122"/>
      <c r="X81" s="122"/>
      <c r="Y81" s="122"/>
      <c r="Z81" s="122"/>
      <c r="AA81" s="122"/>
      <c r="AB81" s="122"/>
      <c r="AC81" s="38"/>
      <c r="AD81" s="122"/>
      <c r="AE81" s="122"/>
      <c r="AF81" s="122"/>
      <c r="AG81" s="122"/>
      <c r="AH81" s="122"/>
      <c r="AI81" s="122"/>
      <c r="AJ81" s="122"/>
      <c r="AK81" s="122"/>
      <c r="AL81" s="122"/>
      <c r="AM81" s="122"/>
      <c r="AN81" s="122"/>
      <c r="AO81" s="122"/>
      <c r="AP81" s="122"/>
      <c r="AQ81" s="122"/>
      <c r="AR81" s="122"/>
      <c r="AS81" s="122"/>
      <c r="AT81" s="122"/>
      <c r="AU81" s="122"/>
      <c r="AV81" s="122"/>
      <c r="AW81" s="122"/>
      <c r="AX81" s="122"/>
      <c r="AY81" s="122"/>
      <c r="AZ81" s="122"/>
      <c r="BA81" s="122"/>
      <c r="BB81" s="8"/>
      <c r="BC81" s="113"/>
      <c r="BD81" s="11"/>
      <c r="BE81" s="11"/>
      <c r="BF81" s="11"/>
      <c r="BG81" s="11"/>
      <c r="BH81" s="11"/>
    </row>
    <row r="82" spans="1:60" ht="69.95" customHeight="1" x14ac:dyDescent="0.25">
      <c r="A82" s="11"/>
      <c r="B82" s="11"/>
      <c r="C82" s="21" t="s">
        <v>65</v>
      </c>
      <c r="E82" s="304"/>
      <c r="F82" s="304"/>
      <c r="G82" s="304"/>
      <c r="H82" s="304"/>
      <c r="I82" s="304"/>
      <c r="J82" s="304"/>
      <c r="K82" s="304"/>
      <c r="L82" s="304"/>
      <c r="M82" s="304"/>
      <c r="N82" s="304"/>
      <c r="O82" s="304"/>
      <c r="P82" s="304"/>
      <c r="Q82" s="304"/>
      <c r="R82" s="304"/>
      <c r="S82" s="304"/>
      <c r="T82" s="304"/>
      <c r="U82" s="304"/>
      <c r="V82" s="304"/>
      <c r="W82" s="304"/>
      <c r="X82" s="304"/>
      <c r="Y82" s="304"/>
      <c r="Z82" s="304"/>
      <c r="AA82" s="304"/>
      <c r="AB82" s="304"/>
      <c r="AC82" s="29"/>
      <c r="AD82" s="304"/>
      <c r="AE82" s="304"/>
      <c r="AF82" s="304"/>
      <c r="AG82" s="304"/>
      <c r="AH82" s="304"/>
      <c r="AI82" s="304"/>
      <c r="AJ82" s="304"/>
      <c r="AK82" s="304"/>
      <c r="AL82" s="304"/>
      <c r="AM82" s="304"/>
      <c r="AN82" s="304"/>
      <c r="AO82" s="304"/>
      <c r="AP82" s="304"/>
      <c r="AQ82" s="304"/>
      <c r="AR82" s="304"/>
      <c r="AS82" s="304"/>
      <c r="AT82" s="304"/>
      <c r="AU82" s="304"/>
      <c r="AV82" s="304"/>
      <c r="AW82" s="304"/>
      <c r="AX82" s="304"/>
      <c r="AY82" s="304"/>
      <c r="AZ82" s="304"/>
      <c r="BA82" s="304"/>
      <c r="BB82" s="8"/>
      <c r="BC82" s="113"/>
      <c r="BD82" s="11"/>
      <c r="BE82" s="11"/>
      <c r="BF82" s="11"/>
      <c r="BG82" s="11"/>
      <c r="BH82" s="11"/>
    </row>
    <row r="83" spans="1:60" ht="43.5" customHeight="1" x14ac:dyDescent="0.25">
      <c r="A83" s="11"/>
      <c r="B83" s="11"/>
      <c r="C83" s="21" t="s">
        <v>47</v>
      </c>
      <c r="E83" s="309"/>
      <c r="F83" s="310"/>
      <c r="G83" s="310"/>
      <c r="H83" s="310"/>
      <c r="I83" s="310"/>
      <c r="J83" s="310"/>
      <c r="K83" s="310"/>
      <c r="L83" s="310"/>
      <c r="M83" s="310"/>
      <c r="N83" s="310"/>
      <c r="O83" s="310"/>
      <c r="P83" s="311"/>
      <c r="Q83" s="312"/>
      <c r="R83" s="310"/>
      <c r="S83" s="310"/>
      <c r="T83" s="310"/>
      <c r="U83" s="310"/>
      <c r="V83" s="310"/>
      <c r="W83" s="310"/>
      <c r="X83" s="310"/>
      <c r="Y83" s="310"/>
      <c r="Z83" s="310"/>
      <c r="AA83" s="310"/>
      <c r="AB83" s="310"/>
      <c r="AC83" s="29"/>
      <c r="AD83" s="309"/>
      <c r="AE83" s="310"/>
      <c r="AF83" s="310"/>
      <c r="AG83" s="310"/>
      <c r="AH83" s="310"/>
      <c r="AI83" s="310"/>
      <c r="AJ83" s="310"/>
      <c r="AK83" s="310"/>
      <c r="AL83" s="310"/>
      <c r="AM83" s="310"/>
      <c r="AN83" s="310"/>
      <c r="AO83" s="311"/>
      <c r="AP83" s="312"/>
      <c r="AQ83" s="310"/>
      <c r="AR83" s="310"/>
      <c r="AS83" s="310"/>
      <c r="AT83" s="310"/>
      <c r="AU83" s="310"/>
      <c r="AV83" s="310"/>
      <c r="AW83" s="310"/>
      <c r="AX83" s="310"/>
      <c r="AY83" s="310"/>
      <c r="AZ83" s="310"/>
      <c r="BA83" s="310"/>
      <c r="BB83" s="8"/>
      <c r="BC83" s="113"/>
      <c r="BD83" s="11"/>
      <c r="BE83" s="11"/>
      <c r="BF83" s="11"/>
      <c r="BG83" s="11"/>
      <c r="BH83" s="11"/>
    </row>
    <row r="84" spans="1:60" s="12" customFormat="1" ht="18.75" x14ac:dyDescent="0.3">
      <c r="A84" s="26"/>
      <c r="B84" s="26"/>
      <c r="E84" s="13">
        <v>15</v>
      </c>
      <c r="F84" s="13"/>
      <c r="G84" s="13"/>
      <c r="H84" s="13"/>
      <c r="I84" s="13"/>
      <c r="J84" s="13"/>
      <c r="K84" s="13"/>
      <c r="L84" s="13"/>
      <c r="M84" s="13"/>
      <c r="N84" s="13"/>
      <c r="O84" s="13"/>
      <c r="P84" s="13"/>
      <c r="Q84" s="13"/>
      <c r="R84" s="13"/>
      <c r="S84" s="13"/>
      <c r="T84" s="13"/>
      <c r="U84" s="13"/>
      <c r="V84" s="13"/>
      <c r="W84" s="13"/>
      <c r="X84" s="13"/>
      <c r="Y84" s="13"/>
      <c r="Z84" s="13"/>
      <c r="AA84" s="13"/>
      <c r="AB84" s="13"/>
      <c r="AD84" s="13">
        <v>16</v>
      </c>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5"/>
      <c r="BC84" s="121"/>
      <c r="BD84" s="26"/>
      <c r="BE84" s="26"/>
      <c r="BF84" s="26"/>
      <c r="BG84" s="26"/>
      <c r="BH84" s="26"/>
    </row>
    <row r="85" spans="1:60" s="24" customFormat="1" x14ac:dyDescent="0.25">
      <c r="A85" s="11"/>
      <c r="B85" s="11"/>
      <c r="C85" s="22"/>
      <c r="D85" s="22"/>
      <c r="E85" s="36">
        <v>0</v>
      </c>
      <c r="F85" s="36">
        <v>1</v>
      </c>
      <c r="G85" s="36">
        <v>2</v>
      </c>
      <c r="H85" s="36">
        <v>3</v>
      </c>
      <c r="I85" s="36">
        <v>4</v>
      </c>
      <c r="J85" s="36">
        <v>5</v>
      </c>
      <c r="K85" s="36">
        <v>6</v>
      </c>
      <c r="L85" s="36">
        <v>7</v>
      </c>
      <c r="M85" s="36">
        <v>8</v>
      </c>
      <c r="N85" s="36">
        <v>9</v>
      </c>
      <c r="O85" s="36">
        <v>10</v>
      </c>
      <c r="P85" s="36">
        <v>11</v>
      </c>
      <c r="Q85" s="36">
        <v>12</v>
      </c>
      <c r="R85" s="36">
        <v>13</v>
      </c>
      <c r="S85" s="36">
        <v>14</v>
      </c>
      <c r="T85" s="36">
        <v>15</v>
      </c>
      <c r="U85" s="36">
        <v>16</v>
      </c>
      <c r="V85" s="36">
        <v>17</v>
      </c>
      <c r="W85" s="36">
        <v>18</v>
      </c>
      <c r="X85" s="36">
        <v>19</v>
      </c>
      <c r="Y85" s="36">
        <v>20</v>
      </c>
      <c r="Z85" s="36">
        <v>21</v>
      </c>
      <c r="AA85" s="36">
        <v>22</v>
      </c>
      <c r="AB85" s="36">
        <v>23</v>
      </c>
      <c r="AC85" s="22"/>
      <c r="AD85" s="36">
        <v>0</v>
      </c>
      <c r="AE85" s="36">
        <v>1</v>
      </c>
      <c r="AF85" s="36">
        <v>2</v>
      </c>
      <c r="AG85" s="36">
        <v>3</v>
      </c>
      <c r="AH85" s="36">
        <v>4</v>
      </c>
      <c r="AI85" s="36">
        <v>5</v>
      </c>
      <c r="AJ85" s="36">
        <v>6</v>
      </c>
      <c r="AK85" s="36">
        <v>7</v>
      </c>
      <c r="AL85" s="36">
        <v>8</v>
      </c>
      <c r="AM85" s="36">
        <v>9</v>
      </c>
      <c r="AN85" s="36">
        <v>10</v>
      </c>
      <c r="AO85" s="36">
        <v>11</v>
      </c>
      <c r="AP85" s="36">
        <v>12</v>
      </c>
      <c r="AQ85" s="36">
        <v>13</v>
      </c>
      <c r="AR85" s="36">
        <v>14</v>
      </c>
      <c r="AS85" s="36">
        <v>15</v>
      </c>
      <c r="AT85" s="36">
        <v>16</v>
      </c>
      <c r="AU85" s="36">
        <v>17</v>
      </c>
      <c r="AV85" s="36">
        <v>18</v>
      </c>
      <c r="AW85" s="36">
        <v>19</v>
      </c>
      <c r="AX85" s="36">
        <v>20</v>
      </c>
      <c r="AY85" s="36">
        <v>21</v>
      </c>
      <c r="AZ85" s="36">
        <v>22</v>
      </c>
      <c r="BA85" s="36">
        <v>23</v>
      </c>
      <c r="BB85" s="23"/>
      <c r="BC85" s="113"/>
      <c r="BD85" s="11"/>
      <c r="BE85" s="11"/>
      <c r="BF85" s="11"/>
      <c r="BG85" s="11"/>
      <c r="BH85" s="11"/>
    </row>
    <row r="86" spans="1:60" s="24" customFormat="1" ht="15" customHeight="1" x14ac:dyDescent="0.25">
      <c r="A86" s="11"/>
      <c r="B86" s="11"/>
      <c r="C86" s="22"/>
      <c r="D86" s="22"/>
      <c r="E86" s="37" t="s">
        <v>17</v>
      </c>
      <c r="F86" s="37" t="s">
        <v>18</v>
      </c>
      <c r="G86" s="37" t="s">
        <v>19</v>
      </c>
      <c r="H86" s="37" t="s">
        <v>20</v>
      </c>
      <c r="I86" s="37" t="s">
        <v>21</v>
      </c>
      <c r="J86" s="37" t="s">
        <v>22</v>
      </c>
      <c r="K86" s="37" t="s">
        <v>23</v>
      </c>
      <c r="L86" s="37" t="s">
        <v>24</v>
      </c>
      <c r="M86" s="37" t="s">
        <v>25</v>
      </c>
      <c r="N86" s="37" t="s">
        <v>26</v>
      </c>
      <c r="O86" s="37" t="s">
        <v>27</v>
      </c>
      <c r="P86" s="37" t="s">
        <v>28</v>
      </c>
      <c r="Q86" s="37" t="s">
        <v>29</v>
      </c>
      <c r="R86" s="37" t="s">
        <v>30</v>
      </c>
      <c r="S86" s="37" t="s">
        <v>31</v>
      </c>
      <c r="T86" s="37" t="s">
        <v>32</v>
      </c>
      <c r="U86" s="37" t="s">
        <v>33</v>
      </c>
      <c r="V86" s="37" t="s">
        <v>34</v>
      </c>
      <c r="W86" s="37" t="s">
        <v>35</v>
      </c>
      <c r="X86" s="37" t="s">
        <v>36</v>
      </c>
      <c r="Y86" s="37" t="s">
        <v>37</v>
      </c>
      <c r="Z86" s="37" t="s">
        <v>38</v>
      </c>
      <c r="AA86" s="37" t="s">
        <v>39</v>
      </c>
      <c r="AB86" s="37" t="s">
        <v>40</v>
      </c>
      <c r="AC86" s="22"/>
      <c r="AD86" s="37" t="s">
        <v>17</v>
      </c>
      <c r="AE86" s="37" t="s">
        <v>18</v>
      </c>
      <c r="AF86" s="37" t="s">
        <v>19</v>
      </c>
      <c r="AG86" s="37" t="s">
        <v>20</v>
      </c>
      <c r="AH86" s="37" t="s">
        <v>21</v>
      </c>
      <c r="AI86" s="37" t="s">
        <v>22</v>
      </c>
      <c r="AJ86" s="37" t="s">
        <v>23</v>
      </c>
      <c r="AK86" s="37" t="s">
        <v>24</v>
      </c>
      <c r="AL86" s="37" t="s">
        <v>25</v>
      </c>
      <c r="AM86" s="37" t="s">
        <v>26</v>
      </c>
      <c r="AN86" s="37" t="s">
        <v>27</v>
      </c>
      <c r="AO86" s="37" t="s">
        <v>28</v>
      </c>
      <c r="AP86" s="37" t="s">
        <v>29</v>
      </c>
      <c r="AQ86" s="37" t="s">
        <v>30</v>
      </c>
      <c r="AR86" s="37" t="s">
        <v>31</v>
      </c>
      <c r="AS86" s="37" t="s">
        <v>32</v>
      </c>
      <c r="AT86" s="37" t="s">
        <v>33</v>
      </c>
      <c r="AU86" s="37" t="s">
        <v>34</v>
      </c>
      <c r="AV86" s="37" t="s">
        <v>35</v>
      </c>
      <c r="AW86" s="37" t="s">
        <v>36</v>
      </c>
      <c r="AX86" s="37" t="s">
        <v>37</v>
      </c>
      <c r="AY86" s="37" t="s">
        <v>38</v>
      </c>
      <c r="AZ86" s="37" t="s">
        <v>39</v>
      </c>
      <c r="BA86" s="37" t="s">
        <v>40</v>
      </c>
      <c r="BB86" s="23"/>
      <c r="BC86" s="113"/>
      <c r="BD86" s="11"/>
      <c r="BE86" s="11"/>
      <c r="BF86" s="11"/>
      <c r="BG86" s="11"/>
      <c r="BH86" s="11"/>
    </row>
    <row r="87" spans="1:60" x14ac:dyDescent="0.25">
      <c r="A87" s="11"/>
      <c r="B87" s="11"/>
      <c r="C87" s="20" t="s">
        <v>41</v>
      </c>
      <c r="E87" s="122"/>
      <c r="F87" s="122"/>
      <c r="G87" s="122"/>
      <c r="H87" s="122"/>
      <c r="I87" s="122"/>
      <c r="J87" s="122"/>
      <c r="K87" s="122"/>
      <c r="L87" s="122"/>
      <c r="M87" s="122"/>
      <c r="N87" s="122"/>
      <c r="O87" s="122"/>
      <c r="P87" s="122"/>
      <c r="Q87" s="122"/>
      <c r="R87" s="122"/>
      <c r="S87" s="122"/>
      <c r="T87" s="122"/>
      <c r="U87" s="122"/>
      <c r="V87" s="122"/>
      <c r="W87" s="122"/>
      <c r="X87" s="122"/>
      <c r="Y87" s="122"/>
      <c r="Z87" s="122"/>
      <c r="AA87" s="122"/>
      <c r="AB87" s="122"/>
      <c r="AC87" s="38"/>
      <c r="AD87" s="122"/>
      <c r="AE87" s="122"/>
      <c r="AF87" s="122"/>
      <c r="AG87" s="122"/>
      <c r="AH87" s="122"/>
      <c r="AI87" s="122"/>
      <c r="AJ87" s="122"/>
      <c r="AK87" s="122"/>
      <c r="AL87" s="122"/>
      <c r="AM87" s="122"/>
      <c r="AN87" s="122"/>
      <c r="AO87" s="122"/>
      <c r="AP87" s="122"/>
      <c r="AQ87" s="122"/>
      <c r="AR87" s="122"/>
      <c r="AS87" s="122"/>
      <c r="AT87" s="122"/>
      <c r="AU87" s="122"/>
      <c r="AV87" s="122"/>
      <c r="AW87" s="122"/>
      <c r="AX87" s="122"/>
      <c r="AY87" s="122"/>
      <c r="AZ87" s="122"/>
      <c r="BA87" s="122"/>
      <c r="BB87" s="8"/>
      <c r="BC87" s="113"/>
      <c r="BD87" s="11"/>
      <c r="BE87" s="11"/>
      <c r="BF87" s="11"/>
      <c r="BG87" s="11"/>
      <c r="BH87" s="11"/>
    </row>
    <row r="88" spans="1:60" x14ac:dyDescent="0.25">
      <c r="A88" s="11"/>
      <c r="B88" s="11"/>
      <c r="C88" s="20" t="s">
        <v>42</v>
      </c>
      <c r="E88" s="122"/>
      <c r="F88" s="122"/>
      <c r="G88" s="122"/>
      <c r="H88" s="122"/>
      <c r="I88" s="122"/>
      <c r="J88" s="122"/>
      <c r="K88" s="122"/>
      <c r="L88" s="122"/>
      <c r="M88" s="122"/>
      <c r="N88" s="122"/>
      <c r="O88" s="122"/>
      <c r="P88" s="122"/>
      <c r="Q88" s="122"/>
      <c r="R88" s="122"/>
      <c r="S88" s="122"/>
      <c r="T88" s="122"/>
      <c r="U88" s="122"/>
      <c r="V88" s="122"/>
      <c r="W88" s="122"/>
      <c r="X88" s="122"/>
      <c r="Y88" s="122"/>
      <c r="Z88" s="122"/>
      <c r="AA88" s="122"/>
      <c r="AB88" s="122"/>
      <c r="AC88" s="38"/>
      <c r="AD88" s="122"/>
      <c r="AE88" s="122"/>
      <c r="AF88" s="122"/>
      <c r="AG88" s="122"/>
      <c r="AH88" s="122"/>
      <c r="AI88" s="122"/>
      <c r="AJ88" s="122"/>
      <c r="AK88" s="122"/>
      <c r="AL88" s="122"/>
      <c r="AM88" s="122"/>
      <c r="AN88" s="122"/>
      <c r="AO88" s="122"/>
      <c r="AP88" s="122"/>
      <c r="AQ88" s="122"/>
      <c r="AR88" s="122"/>
      <c r="AS88" s="122"/>
      <c r="AT88" s="122"/>
      <c r="AU88" s="122"/>
      <c r="AV88" s="122"/>
      <c r="AW88" s="122"/>
      <c r="AX88" s="122"/>
      <c r="AY88" s="122"/>
      <c r="AZ88" s="122"/>
      <c r="BA88" s="122"/>
      <c r="BB88" s="8"/>
      <c r="BC88" s="113"/>
      <c r="BD88" s="11"/>
      <c r="BE88" s="11"/>
      <c r="BF88" s="11"/>
      <c r="BG88" s="11"/>
      <c r="BH88" s="11"/>
    </row>
    <row r="89" spans="1:60" x14ac:dyDescent="0.25">
      <c r="A89" s="11"/>
      <c r="B89" s="11"/>
      <c r="C89" s="20" t="s">
        <v>43</v>
      </c>
      <c r="E89" s="122"/>
      <c r="F89" s="122"/>
      <c r="G89" s="122"/>
      <c r="H89" s="122"/>
      <c r="I89" s="122"/>
      <c r="J89" s="122"/>
      <c r="K89" s="122"/>
      <c r="L89" s="122"/>
      <c r="M89" s="122"/>
      <c r="N89" s="122"/>
      <c r="O89" s="122"/>
      <c r="P89" s="122"/>
      <c r="Q89" s="122"/>
      <c r="R89" s="122"/>
      <c r="S89" s="122"/>
      <c r="T89" s="122"/>
      <c r="U89" s="122"/>
      <c r="V89" s="122"/>
      <c r="W89" s="122"/>
      <c r="X89" s="122"/>
      <c r="Y89" s="122"/>
      <c r="Z89" s="122"/>
      <c r="AA89" s="122"/>
      <c r="AB89" s="122"/>
      <c r="AC89" s="38"/>
      <c r="AD89" s="122"/>
      <c r="AE89" s="122"/>
      <c r="AF89" s="122"/>
      <c r="AG89" s="122"/>
      <c r="AH89" s="122"/>
      <c r="AI89" s="122"/>
      <c r="AJ89" s="122"/>
      <c r="AK89" s="122"/>
      <c r="AL89" s="122"/>
      <c r="AM89" s="122"/>
      <c r="AN89" s="122"/>
      <c r="AO89" s="122"/>
      <c r="AP89" s="122"/>
      <c r="AQ89" s="122"/>
      <c r="AR89" s="122"/>
      <c r="AS89" s="122"/>
      <c r="AT89" s="122"/>
      <c r="AU89" s="122"/>
      <c r="AV89" s="122"/>
      <c r="AW89" s="122"/>
      <c r="AX89" s="122"/>
      <c r="AY89" s="122"/>
      <c r="AZ89" s="122"/>
      <c r="BA89" s="122"/>
      <c r="BB89" s="8"/>
      <c r="BC89" s="113"/>
      <c r="BD89" s="11"/>
      <c r="BE89" s="11"/>
      <c r="BF89" s="11"/>
      <c r="BG89" s="11"/>
      <c r="BH89" s="11"/>
    </row>
    <row r="90" spans="1:60" x14ac:dyDescent="0.25">
      <c r="A90" s="11"/>
      <c r="B90" s="11"/>
      <c r="C90" s="20" t="s">
        <v>44</v>
      </c>
      <c r="E90" s="122"/>
      <c r="F90" s="122"/>
      <c r="G90" s="122"/>
      <c r="H90" s="122"/>
      <c r="I90" s="122"/>
      <c r="J90" s="122"/>
      <c r="K90" s="122"/>
      <c r="L90" s="122"/>
      <c r="M90" s="122"/>
      <c r="N90" s="122"/>
      <c r="O90" s="122"/>
      <c r="P90" s="122"/>
      <c r="Q90" s="122"/>
      <c r="R90" s="122"/>
      <c r="S90" s="122"/>
      <c r="T90" s="122"/>
      <c r="U90" s="122"/>
      <c r="V90" s="122"/>
      <c r="W90" s="122"/>
      <c r="X90" s="122"/>
      <c r="Y90" s="122"/>
      <c r="Z90" s="122"/>
      <c r="AA90" s="122"/>
      <c r="AB90" s="122"/>
      <c r="AC90" s="38"/>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8"/>
      <c r="BC90" s="113"/>
      <c r="BD90" s="11"/>
      <c r="BE90" s="11"/>
      <c r="BF90" s="11"/>
      <c r="BG90" s="11"/>
      <c r="BH90" s="11"/>
    </row>
    <row r="91" spans="1:60" x14ac:dyDescent="0.25">
      <c r="A91" s="11"/>
      <c r="B91" s="11"/>
      <c r="C91" s="20" t="s">
        <v>45</v>
      </c>
      <c r="E91" s="122"/>
      <c r="F91" s="122"/>
      <c r="G91" s="122"/>
      <c r="H91" s="122"/>
      <c r="I91" s="122"/>
      <c r="J91" s="122"/>
      <c r="K91" s="122"/>
      <c r="L91" s="122"/>
      <c r="M91" s="122"/>
      <c r="N91" s="122"/>
      <c r="O91" s="122"/>
      <c r="P91" s="122"/>
      <c r="Q91" s="122"/>
      <c r="R91" s="122"/>
      <c r="S91" s="122"/>
      <c r="T91" s="122"/>
      <c r="U91" s="122"/>
      <c r="V91" s="122"/>
      <c r="W91" s="122"/>
      <c r="X91" s="122"/>
      <c r="Y91" s="122"/>
      <c r="Z91" s="122"/>
      <c r="AA91" s="122"/>
      <c r="AB91" s="122"/>
      <c r="AC91" s="38"/>
      <c r="AD91" s="122"/>
      <c r="AE91" s="122"/>
      <c r="AF91" s="122"/>
      <c r="AG91" s="122"/>
      <c r="AH91" s="122"/>
      <c r="AI91" s="122"/>
      <c r="AJ91" s="122"/>
      <c r="AK91" s="122"/>
      <c r="AL91" s="122"/>
      <c r="AM91" s="122"/>
      <c r="AN91" s="122"/>
      <c r="AO91" s="122"/>
      <c r="AP91" s="122"/>
      <c r="AQ91" s="122"/>
      <c r="AR91" s="122"/>
      <c r="AS91" s="122"/>
      <c r="AT91" s="122"/>
      <c r="AU91" s="122"/>
      <c r="AV91" s="122"/>
      <c r="AW91" s="122"/>
      <c r="AX91" s="122"/>
      <c r="AY91" s="122"/>
      <c r="AZ91" s="122"/>
      <c r="BA91" s="122"/>
      <c r="BB91" s="8"/>
      <c r="BC91" s="113"/>
      <c r="BD91" s="11"/>
      <c r="BE91" s="11"/>
      <c r="BF91" s="11"/>
      <c r="BG91" s="11"/>
      <c r="BH91" s="11"/>
    </row>
    <row r="92" spans="1:60" x14ac:dyDescent="0.25">
      <c r="A92" s="11"/>
      <c r="B92" s="11"/>
      <c r="C92" s="20" t="s">
        <v>46</v>
      </c>
      <c r="E92" s="122"/>
      <c r="F92" s="122"/>
      <c r="G92" s="122"/>
      <c r="H92" s="122"/>
      <c r="I92" s="122"/>
      <c r="J92" s="122"/>
      <c r="K92" s="122"/>
      <c r="L92" s="122"/>
      <c r="M92" s="122"/>
      <c r="N92" s="122"/>
      <c r="O92" s="122"/>
      <c r="P92" s="122"/>
      <c r="Q92" s="122"/>
      <c r="R92" s="122"/>
      <c r="S92" s="122"/>
      <c r="T92" s="122"/>
      <c r="U92" s="122"/>
      <c r="V92" s="122"/>
      <c r="W92" s="122"/>
      <c r="X92" s="122"/>
      <c r="Y92" s="122"/>
      <c r="Z92" s="122"/>
      <c r="AA92" s="122"/>
      <c r="AB92" s="122"/>
      <c r="AC92" s="38"/>
      <c r="AD92" s="122"/>
      <c r="AE92" s="122"/>
      <c r="AF92" s="122"/>
      <c r="AG92" s="122"/>
      <c r="AH92" s="122"/>
      <c r="AI92" s="122"/>
      <c r="AJ92" s="122"/>
      <c r="AK92" s="122"/>
      <c r="AL92" s="122"/>
      <c r="AM92" s="122"/>
      <c r="AN92" s="122"/>
      <c r="AO92" s="122"/>
      <c r="AP92" s="122"/>
      <c r="AQ92" s="122"/>
      <c r="AR92" s="122"/>
      <c r="AS92" s="122"/>
      <c r="AT92" s="122"/>
      <c r="AU92" s="122"/>
      <c r="AV92" s="122"/>
      <c r="AW92" s="122"/>
      <c r="AX92" s="122"/>
      <c r="AY92" s="122"/>
      <c r="AZ92" s="122"/>
      <c r="BA92" s="122"/>
      <c r="BB92" s="8"/>
      <c r="BC92" s="113"/>
      <c r="BD92" s="11"/>
      <c r="BE92" s="11"/>
      <c r="BF92" s="11"/>
      <c r="BG92" s="11"/>
      <c r="BH92" s="11"/>
    </row>
    <row r="93" spans="1:60" ht="69.95" customHeight="1" x14ac:dyDescent="0.25">
      <c r="A93" s="11"/>
      <c r="B93" s="11"/>
      <c r="C93" s="21" t="s">
        <v>65</v>
      </c>
      <c r="E93" s="304"/>
      <c r="F93" s="304"/>
      <c r="G93" s="304"/>
      <c r="H93" s="304"/>
      <c r="I93" s="304"/>
      <c r="J93" s="304"/>
      <c r="K93" s="304"/>
      <c r="L93" s="304"/>
      <c r="M93" s="304"/>
      <c r="N93" s="304"/>
      <c r="O93" s="304"/>
      <c r="P93" s="304"/>
      <c r="Q93" s="304"/>
      <c r="R93" s="304"/>
      <c r="S93" s="304"/>
      <c r="T93" s="304"/>
      <c r="U93" s="304"/>
      <c r="V93" s="304"/>
      <c r="W93" s="304"/>
      <c r="X93" s="304"/>
      <c r="Y93" s="304"/>
      <c r="Z93" s="304"/>
      <c r="AA93" s="304"/>
      <c r="AB93" s="304"/>
      <c r="AC93" s="29"/>
      <c r="AD93" s="304"/>
      <c r="AE93" s="304"/>
      <c r="AF93" s="304"/>
      <c r="AG93" s="304"/>
      <c r="AH93" s="304"/>
      <c r="AI93" s="304"/>
      <c r="AJ93" s="304"/>
      <c r="AK93" s="304"/>
      <c r="AL93" s="304"/>
      <c r="AM93" s="304"/>
      <c r="AN93" s="304"/>
      <c r="AO93" s="304"/>
      <c r="AP93" s="304"/>
      <c r="AQ93" s="304"/>
      <c r="AR93" s="304"/>
      <c r="AS93" s="304"/>
      <c r="AT93" s="304"/>
      <c r="AU93" s="304"/>
      <c r="AV93" s="304"/>
      <c r="AW93" s="304"/>
      <c r="AX93" s="304"/>
      <c r="AY93" s="304"/>
      <c r="AZ93" s="304"/>
      <c r="BA93" s="304"/>
      <c r="BB93" s="8"/>
      <c r="BC93" s="113"/>
      <c r="BD93" s="11"/>
      <c r="BE93" s="11"/>
      <c r="BF93" s="11"/>
      <c r="BG93" s="11"/>
      <c r="BH93" s="11"/>
    </row>
    <row r="94" spans="1:60" ht="43.5" customHeight="1" x14ac:dyDescent="0.25">
      <c r="A94" s="11"/>
      <c r="B94" s="11"/>
      <c r="C94" s="21" t="s">
        <v>47</v>
      </c>
      <c r="E94" s="309"/>
      <c r="F94" s="310"/>
      <c r="G94" s="310"/>
      <c r="H94" s="310"/>
      <c r="I94" s="310"/>
      <c r="J94" s="310"/>
      <c r="K94" s="310"/>
      <c r="L94" s="310"/>
      <c r="M94" s="310"/>
      <c r="N94" s="310"/>
      <c r="O94" s="310"/>
      <c r="P94" s="311"/>
      <c r="Q94" s="312"/>
      <c r="R94" s="310"/>
      <c r="S94" s="310"/>
      <c r="T94" s="310"/>
      <c r="U94" s="310"/>
      <c r="V94" s="310"/>
      <c r="W94" s="310"/>
      <c r="X94" s="310"/>
      <c r="Y94" s="310"/>
      <c r="Z94" s="310"/>
      <c r="AA94" s="310"/>
      <c r="AB94" s="310"/>
      <c r="AC94" s="29"/>
      <c r="AD94" s="309"/>
      <c r="AE94" s="310"/>
      <c r="AF94" s="310"/>
      <c r="AG94" s="310"/>
      <c r="AH94" s="310"/>
      <c r="AI94" s="310"/>
      <c r="AJ94" s="310"/>
      <c r="AK94" s="310"/>
      <c r="AL94" s="310"/>
      <c r="AM94" s="310"/>
      <c r="AN94" s="310"/>
      <c r="AO94" s="311"/>
      <c r="AP94" s="312"/>
      <c r="AQ94" s="310"/>
      <c r="AR94" s="310"/>
      <c r="AS94" s="310"/>
      <c r="AT94" s="310"/>
      <c r="AU94" s="310"/>
      <c r="AV94" s="310"/>
      <c r="AW94" s="310"/>
      <c r="AX94" s="310"/>
      <c r="AY94" s="310"/>
      <c r="AZ94" s="310"/>
      <c r="BA94" s="310"/>
      <c r="BB94" s="8"/>
      <c r="BC94" s="113"/>
      <c r="BD94" s="11"/>
      <c r="BE94" s="11"/>
      <c r="BF94" s="11"/>
      <c r="BG94" s="11"/>
      <c r="BH94" s="11"/>
    </row>
    <row r="95" spans="1:60" x14ac:dyDescent="0.25">
      <c r="A95" s="11"/>
      <c r="B95" s="11"/>
      <c r="BB95" s="8"/>
      <c r="BC95" s="113"/>
      <c r="BD95" s="11"/>
      <c r="BE95" s="11"/>
      <c r="BF95" s="11"/>
      <c r="BG95" s="11"/>
      <c r="BH95" s="11"/>
    </row>
    <row r="96" spans="1:60" ht="16.5" thickBot="1" x14ac:dyDescent="0.3">
      <c r="A96" s="11"/>
      <c r="B96" s="11"/>
      <c r="C96" s="303" t="s">
        <v>13</v>
      </c>
      <c r="D96" s="303"/>
      <c r="E96" s="303"/>
      <c r="F96" s="303"/>
      <c r="G96" s="303"/>
      <c r="H96" s="303"/>
      <c r="I96" s="303"/>
      <c r="J96" s="303"/>
      <c r="N96" s="9" t="s">
        <v>14</v>
      </c>
      <c r="O96" s="10"/>
      <c r="P96" s="302">
        <f>P2</f>
        <v>0</v>
      </c>
      <c r="Q96" s="302"/>
      <c r="R96" s="302"/>
      <c r="S96" s="302"/>
      <c r="T96" s="302"/>
      <c r="U96" s="302"/>
      <c r="V96" s="9" t="s">
        <v>15</v>
      </c>
      <c r="W96" s="10"/>
      <c r="X96" s="10"/>
      <c r="Y96" s="10"/>
      <c r="Z96" s="302">
        <f>Z2</f>
        <v>0</v>
      </c>
      <c r="AA96" s="302"/>
      <c r="AB96" s="302"/>
      <c r="AC96" s="302"/>
      <c r="AD96" s="302"/>
      <c r="AE96" s="302"/>
      <c r="AZ96" s="7" t="s">
        <v>16</v>
      </c>
      <c r="BA96" s="7">
        <v>3</v>
      </c>
      <c r="BB96" s="8"/>
      <c r="BC96" s="113"/>
      <c r="BD96" s="11"/>
      <c r="BE96" s="11"/>
      <c r="BF96" s="11"/>
      <c r="BG96" s="11"/>
      <c r="BH96" s="11"/>
    </row>
    <row r="97" spans="1:60" x14ac:dyDescent="0.25">
      <c r="A97" s="11"/>
      <c r="B97" s="11"/>
      <c r="C97" s="303"/>
      <c r="D97" s="303"/>
      <c r="E97" s="303"/>
      <c r="F97" s="303"/>
      <c r="G97" s="303"/>
      <c r="H97" s="303"/>
      <c r="I97" s="303"/>
      <c r="J97" s="303"/>
      <c r="N97" s="9"/>
      <c r="V97" s="9"/>
      <c r="BB97" s="8"/>
      <c r="BC97" s="113"/>
      <c r="BD97" s="11"/>
      <c r="BE97" s="11"/>
      <c r="BF97" s="11"/>
      <c r="BG97" s="11"/>
      <c r="BH97" s="11"/>
    </row>
    <row r="98" spans="1:60" s="12" customFormat="1" ht="18.75" x14ac:dyDescent="0.3">
      <c r="A98" s="26"/>
      <c r="B98" s="26"/>
      <c r="E98" s="13">
        <v>17</v>
      </c>
      <c r="F98" s="13"/>
      <c r="G98" s="13"/>
      <c r="H98" s="13"/>
      <c r="I98" s="13"/>
      <c r="J98" s="13"/>
      <c r="K98" s="13"/>
      <c r="L98" s="13"/>
      <c r="M98" s="13"/>
      <c r="N98" s="13"/>
      <c r="O98" s="13"/>
      <c r="P98" s="13"/>
      <c r="Q98" s="13"/>
      <c r="R98" s="13"/>
      <c r="S98" s="13"/>
      <c r="T98" s="13"/>
      <c r="U98" s="13"/>
      <c r="V98" s="13"/>
      <c r="W98" s="13"/>
      <c r="X98" s="13"/>
      <c r="Y98" s="13"/>
      <c r="Z98" s="13"/>
      <c r="AA98" s="13"/>
      <c r="AB98" s="13"/>
      <c r="AD98" s="13">
        <v>18</v>
      </c>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5"/>
      <c r="BC98" s="114"/>
      <c r="BD98" s="313" t="s">
        <v>59</v>
      </c>
      <c r="BE98" s="313"/>
      <c r="BF98" s="313"/>
      <c r="BG98" s="313"/>
      <c r="BH98" s="313"/>
    </row>
    <row r="99" spans="1:60" s="24" customFormat="1" x14ac:dyDescent="0.25">
      <c r="A99" s="11"/>
      <c r="B99" s="11"/>
      <c r="C99" s="22"/>
      <c r="D99" s="22"/>
      <c r="E99" s="36">
        <v>0</v>
      </c>
      <c r="F99" s="36">
        <v>1</v>
      </c>
      <c r="G99" s="36">
        <v>2</v>
      </c>
      <c r="H99" s="36">
        <v>3</v>
      </c>
      <c r="I99" s="36">
        <v>4</v>
      </c>
      <c r="J99" s="36">
        <v>5</v>
      </c>
      <c r="K99" s="36">
        <v>6</v>
      </c>
      <c r="L99" s="36">
        <v>7</v>
      </c>
      <c r="M99" s="36">
        <v>8</v>
      </c>
      <c r="N99" s="36">
        <v>9</v>
      </c>
      <c r="O99" s="36">
        <v>10</v>
      </c>
      <c r="P99" s="36">
        <v>11</v>
      </c>
      <c r="Q99" s="36">
        <v>12</v>
      </c>
      <c r="R99" s="36">
        <v>13</v>
      </c>
      <c r="S99" s="36">
        <v>14</v>
      </c>
      <c r="T99" s="36">
        <v>15</v>
      </c>
      <c r="U99" s="36">
        <v>16</v>
      </c>
      <c r="V99" s="36">
        <v>17</v>
      </c>
      <c r="W99" s="36">
        <v>18</v>
      </c>
      <c r="X99" s="36">
        <v>19</v>
      </c>
      <c r="Y99" s="36">
        <v>20</v>
      </c>
      <c r="Z99" s="36">
        <v>21</v>
      </c>
      <c r="AA99" s="36">
        <v>22</v>
      </c>
      <c r="AB99" s="36">
        <v>23</v>
      </c>
      <c r="AC99" s="22"/>
      <c r="AD99" s="36">
        <v>0</v>
      </c>
      <c r="AE99" s="36">
        <v>1</v>
      </c>
      <c r="AF99" s="36">
        <v>2</v>
      </c>
      <c r="AG99" s="36">
        <v>3</v>
      </c>
      <c r="AH99" s="36">
        <v>4</v>
      </c>
      <c r="AI99" s="36">
        <v>5</v>
      </c>
      <c r="AJ99" s="36">
        <v>6</v>
      </c>
      <c r="AK99" s="36">
        <v>7</v>
      </c>
      <c r="AL99" s="36">
        <v>8</v>
      </c>
      <c r="AM99" s="36">
        <v>9</v>
      </c>
      <c r="AN99" s="36">
        <v>10</v>
      </c>
      <c r="AO99" s="36">
        <v>11</v>
      </c>
      <c r="AP99" s="36">
        <v>12</v>
      </c>
      <c r="AQ99" s="36">
        <v>13</v>
      </c>
      <c r="AR99" s="36">
        <v>14</v>
      </c>
      <c r="AS99" s="36">
        <v>15</v>
      </c>
      <c r="AT99" s="36">
        <v>16</v>
      </c>
      <c r="AU99" s="36">
        <v>17</v>
      </c>
      <c r="AV99" s="36">
        <v>18</v>
      </c>
      <c r="AW99" s="36">
        <v>19</v>
      </c>
      <c r="AX99" s="36">
        <v>20</v>
      </c>
      <c r="AY99" s="36">
        <v>21</v>
      </c>
      <c r="AZ99" s="36">
        <v>22</v>
      </c>
      <c r="BA99" s="36">
        <v>23</v>
      </c>
      <c r="BB99" s="23"/>
      <c r="BC99" s="25"/>
      <c r="BD99" s="314" t="s">
        <v>60</v>
      </c>
      <c r="BE99" s="314"/>
      <c r="BF99" s="314"/>
      <c r="BG99" s="314"/>
      <c r="BH99" s="314"/>
    </row>
    <row r="100" spans="1:60" s="24" customFormat="1" ht="15" customHeight="1" x14ac:dyDescent="0.25">
      <c r="A100" s="11"/>
      <c r="B100" s="11"/>
      <c r="C100" s="22"/>
      <c r="D100" s="22"/>
      <c r="E100" s="37" t="s">
        <v>17</v>
      </c>
      <c r="F100" s="37" t="s">
        <v>18</v>
      </c>
      <c r="G100" s="37" t="s">
        <v>19</v>
      </c>
      <c r="H100" s="37" t="s">
        <v>20</v>
      </c>
      <c r="I100" s="37" t="s">
        <v>21</v>
      </c>
      <c r="J100" s="37" t="s">
        <v>22</v>
      </c>
      <c r="K100" s="37" t="s">
        <v>23</v>
      </c>
      <c r="L100" s="37" t="s">
        <v>24</v>
      </c>
      <c r="M100" s="37" t="s">
        <v>25</v>
      </c>
      <c r="N100" s="37" t="s">
        <v>26</v>
      </c>
      <c r="O100" s="37" t="s">
        <v>27</v>
      </c>
      <c r="P100" s="37" t="s">
        <v>28</v>
      </c>
      <c r="Q100" s="37" t="s">
        <v>29</v>
      </c>
      <c r="R100" s="37" t="s">
        <v>30</v>
      </c>
      <c r="S100" s="37" t="s">
        <v>31</v>
      </c>
      <c r="T100" s="37" t="s">
        <v>32</v>
      </c>
      <c r="U100" s="37" t="s">
        <v>33</v>
      </c>
      <c r="V100" s="37" t="s">
        <v>34</v>
      </c>
      <c r="W100" s="37" t="s">
        <v>35</v>
      </c>
      <c r="X100" s="37" t="s">
        <v>36</v>
      </c>
      <c r="Y100" s="37" t="s">
        <v>37</v>
      </c>
      <c r="Z100" s="37" t="s">
        <v>38</v>
      </c>
      <c r="AA100" s="37" t="s">
        <v>39</v>
      </c>
      <c r="AB100" s="37" t="s">
        <v>40</v>
      </c>
      <c r="AC100" s="22"/>
      <c r="AD100" s="37" t="s">
        <v>17</v>
      </c>
      <c r="AE100" s="37" t="s">
        <v>18</v>
      </c>
      <c r="AF100" s="37" t="s">
        <v>19</v>
      </c>
      <c r="AG100" s="37" t="s">
        <v>20</v>
      </c>
      <c r="AH100" s="37" t="s">
        <v>21</v>
      </c>
      <c r="AI100" s="37" t="s">
        <v>22</v>
      </c>
      <c r="AJ100" s="37" t="s">
        <v>23</v>
      </c>
      <c r="AK100" s="37" t="s">
        <v>24</v>
      </c>
      <c r="AL100" s="37" t="s">
        <v>25</v>
      </c>
      <c r="AM100" s="37" t="s">
        <v>26</v>
      </c>
      <c r="AN100" s="37" t="s">
        <v>27</v>
      </c>
      <c r="AO100" s="37" t="s">
        <v>28</v>
      </c>
      <c r="AP100" s="37" t="s">
        <v>29</v>
      </c>
      <c r="AQ100" s="37" t="s">
        <v>30</v>
      </c>
      <c r="AR100" s="37" t="s">
        <v>31</v>
      </c>
      <c r="AS100" s="37" t="s">
        <v>32</v>
      </c>
      <c r="AT100" s="37" t="s">
        <v>33</v>
      </c>
      <c r="AU100" s="37" t="s">
        <v>34</v>
      </c>
      <c r="AV100" s="37" t="s">
        <v>35</v>
      </c>
      <c r="AW100" s="37" t="s">
        <v>36</v>
      </c>
      <c r="AX100" s="37" t="s">
        <v>37</v>
      </c>
      <c r="AY100" s="37" t="s">
        <v>38</v>
      </c>
      <c r="AZ100" s="37" t="s">
        <v>39</v>
      </c>
      <c r="BA100" s="37" t="s">
        <v>40</v>
      </c>
      <c r="BB100" s="23"/>
      <c r="BC100" s="109"/>
      <c r="BD100" s="305" t="s">
        <v>61</v>
      </c>
      <c r="BE100" s="305"/>
      <c r="BF100" s="305"/>
      <c r="BG100" s="305"/>
      <c r="BH100" s="305"/>
    </row>
    <row r="101" spans="1:60" x14ac:dyDescent="0.25">
      <c r="A101" s="11"/>
      <c r="B101" s="11"/>
      <c r="C101" s="20" t="s">
        <v>41</v>
      </c>
      <c r="E101" s="122"/>
      <c r="F101" s="122"/>
      <c r="G101" s="122"/>
      <c r="H101" s="122"/>
      <c r="I101" s="122"/>
      <c r="J101" s="122"/>
      <c r="K101" s="122"/>
      <c r="L101" s="122"/>
      <c r="M101" s="122"/>
      <c r="N101" s="122"/>
      <c r="O101" s="122"/>
      <c r="P101" s="122"/>
      <c r="Q101" s="122"/>
      <c r="R101" s="122"/>
      <c r="S101" s="122"/>
      <c r="T101" s="122"/>
      <c r="U101" s="122"/>
      <c r="V101" s="122"/>
      <c r="W101" s="122"/>
      <c r="X101" s="122"/>
      <c r="Y101" s="122"/>
      <c r="Z101" s="122"/>
      <c r="AA101" s="122"/>
      <c r="AB101" s="122"/>
      <c r="AC101" s="38"/>
      <c r="AD101" s="122"/>
      <c r="AE101" s="122"/>
      <c r="AF101" s="122"/>
      <c r="AG101" s="122"/>
      <c r="AH101" s="122"/>
      <c r="AI101" s="122"/>
      <c r="AJ101" s="122"/>
      <c r="AK101" s="122"/>
      <c r="AL101" s="122"/>
      <c r="AM101" s="122"/>
      <c r="AN101" s="122"/>
      <c r="AO101" s="122"/>
      <c r="AP101" s="122"/>
      <c r="AQ101" s="122"/>
      <c r="AR101" s="122"/>
      <c r="AS101" s="122"/>
      <c r="AT101" s="122"/>
      <c r="AU101" s="122"/>
      <c r="AV101" s="122"/>
      <c r="AW101" s="122"/>
      <c r="AX101" s="122"/>
      <c r="AY101" s="122"/>
      <c r="AZ101" s="122"/>
      <c r="BA101" s="122"/>
      <c r="BB101" s="8"/>
      <c r="BC101" s="110"/>
      <c r="BD101" s="305" t="s">
        <v>62</v>
      </c>
      <c r="BE101" s="305"/>
      <c r="BF101" s="305"/>
      <c r="BG101" s="305"/>
      <c r="BH101" s="305"/>
    </row>
    <row r="102" spans="1:60" ht="15.75" customHeight="1" x14ac:dyDescent="0.25">
      <c r="A102" s="11"/>
      <c r="B102" s="11"/>
      <c r="C102" s="20" t="s">
        <v>42</v>
      </c>
      <c r="E102" s="122"/>
      <c r="F102" s="122"/>
      <c r="G102" s="122"/>
      <c r="H102" s="122"/>
      <c r="I102" s="122"/>
      <c r="J102" s="122"/>
      <c r="K102" s="122"/>
      <c r="L102" s="122"/>
      <c r="M102" s="122"/>
      <c r="N102" s="122"/>
      <c r="O102" s="122"/>
      <c r="P102" s="122"/>
      <c r="Q102" s="122"/>
      <c r="R102" s="122"/>
      <c r="S102" s="122"/>
      <c r="T102" s="122"/>
      <c r="U102" s="122"/>
      <c r="V102" s="122"/>
      <c r="W102" s="122"/>
      <c r="X102" s="122"/>
      <c r="Y102" s="122"/>
      <c r="Z102" s="122"/>
      <c r="AA102" s="122"/>
      <c r="AB102" s="122"/>
      <c r="AC102" s="38"/>
      <c r="AD102" s="122"/>
      <c r="AE102" s="122"/>
      <c r="AF102" s="122"/>
      <c r="AG102" s="122"/>
      <c r="AH102" s="122"/>
      <c r="AI102" s="122"/>
      <c r="AJ102" s="122"/>
      <c r="AK102" s="122"/>
      <c r="AL102" s="122"/>
      <c r="AM102" s="122"/>
      <c r="AN102" s="122"/>
      <c r="AO102" s="122"/>
      <c r="AP102" s="122"/>
      <c r="AQ102" s="122"/>
      <c r="AR102" s="122"/>
      <c r="AS102" s="122"/>
      <c r="AT102" s="122"/>
      <c r="AU102" s="122"/>
      <c r="AV102" s="122"/>
      <c r="AW102" s="122"/>
      <c r="AX102" s="122"/>
      <c r="AY102" s="122"/>
      <c r="AZ102" s="122"/>
      <c r="BA102" s="122"/>
      <c r="BB102" s="8"/>
      <c r="BC102" s="111"/>
      <c r="BD102" s="306" t="s">
        <v>120</v>
      </c>
      <c r="BE102" s="307"/>
      <c r="BF102" s="307"/>
      <c r="BG102" s="307"/>
      <c r="BH102" s="308"/>
    </row>
    <row r="103" spans="1:60" x14ac:dyDescent="0.25">
      <c r="A103" s="11"/>
      <c r="B103" s="11"/>
      <c r="C103" s="20" t="s">
        <v>43</v>
      </c>
      <c r="E103" s="122"/>
      <c r="F103" s="122"/>
      <c r="G103" s="122"/>
      <c r="H103" s="122"/>
      <c r="I103" s="122"/>
      <c r="J103" s="122"/>
      <c r="K103" s="122"/>
      <c r="L103" s="122"/>
      <c r="M103" s="122"/>
      <c r="N103" s="122"/>
      <c r="O103" s="122"/>
      <c r="P103" s="122"/>
      <c r="Q103" s="122"/>
      <c r="R103" s="122"/>
      <c r="S103" s="122"/>
      <c r="T103" s="122"/>
      <c r="U103" s="122"/>
      <c r="V103" s="122"/>
      <c r="W103" s="122"/>
      <c r="X103" s="122"/>
      <c r="Y103" s="122"/>
      <c r="Z103" s="122"/>
      <c r="AA103" s="122"/>
      <c r="AB103" s="122"/>
      <c r="AC103" s="38"/>
      <c r="AD103" s="122"/>
      <c r="AE103" s="122"/>
      <c r="AF103" s="122"/>
      <c r="AG103" s="122"/>
      <c r="AH103" s="122"/>
      <c r="AI103" s="122"/>
      <c r="AJ103" s="122"/>
      <c r="AK103" s="122"/>
      <c r="AL103" s="122"/>
      <c r="AM103" s="122"/>
      <c r="AN103" s="122"/>
      <c r="AO103" s="122"/>
      <c r="AP103" s="122"/>
      <c r="AQ103" s="122"/>
      <c r="AR103" s="122"/>
      <c r="AS103" s="122"/>
      <c r="AT103" s="122"/>
      <c r="AU103" s="122"/>
      <c r="AV103" s="122"/>
      <c r="AW103" s="122"/>
      <c r="AX103" s="122"/>
      <c r="AY103" s="122"/>
      <c r="AZ103" s="122"/>
      <c r="BA103" s="122"/>
      <c r="BB103" s="8"/>
      <c r="BC103" s="115"/>
      <c r="BD103" s="305" t="s">
        <v>63</v>
      </c>
      <c r="BE103" s="305"/>
      <c r="BF103" s="305"/>
      <c r="BG103" s="305"/>
      <c r="BH103" s="305"/>
    </row>
    <row r="104" spans="1:60" x14ac:dyDescent="0.25">
      <c r="A104" s="11"/>
      <c r="B104" s="11"/>
      <c r="C104" s="20" t="s">
        <v>44</v>
      </c>
      <c r="E104" s="122"/>
      <c r="F104" s="122"/>
      <c r="G104" s="122"/>
      <c r="H104" s="122"/>
      <c r="I104" s="122"/>
      <c r="J104" s="122"/>
      <c r="K104" s="122"/>
      <c r="L104" s="122"/>
      <c r="M104" s="122"/>
      <c r="N104" s="122"/>
      <c r="O104" s="122"/>
      <c r="P104" s="122"/>
      <c r="Q104" s="122"/>
      <c r="R104" s="122"/>
      <c r="S104" s="122"/>
      <c r="T104" s="122"/>
      <c r="U104" s="122"/>
      <c r="V104" s="122"/>
      <c r="W104" s="122"/>
      <c r="X104" s="122"/>
      <c r="Y104" s="122"/>
      <c r="Z104" s="122"/>
      <c r="AA104" s="122"/>
      <c r="AB104" s="122"/>
      <c r="AC104" s="38"/>
      <c r="AD104" s="122"/>
      <c r="AE104" s="122"/>
      <c r="AF104" s="122"/>
      <c r="AG104" s="122"/>
      <c r="AH104" s="122"/>
      <c r="AI104" s="122"/>
      <c r="AJ104" s="122"/>
      <c r="AK104" s="122"/>
      <c r="AL104" s="122"/>
      <c r="AM104" s="122"/>
      <c r="AN104" s="122"/>
      <c r="AO104" s="122"/>
      <c r="AP104" s="122"/>
      <c r="AQ104" s="122"/>
      <c r="AR104" s="122"/>
      <c r="AS104" s="122"/>
      <c r="AT104" s="122"/>
      <c r="AU104" s="122"/>
      <c r="AV104" s="122"/>
      <c r="AW104" s="122"/>
      <c r="AX104" s="122"/>
      <c r="AY104" s="122"/>
      <c r="AZ104" s="122"/>
      <c r="BA104" s="122"/>
      <c r="BB104" s="8"/>
      <c r="BC104" s="112"/>
      <c r="BD104" s="305" t="s">
        <v>64</v>
      </c>
      <c r="BE104" s="305"/>
      <c r="BF104" s="305"/>
      <c r="BG104" s="305"/>
      <c r="BH104" s="305"/>
    </row>
    <row r="105" spans="1:60" x14ac:dyDescent="0.25">
      <c r="A105" s="11"/>
      <c r="B105" s="11"/>
      <c r="C105" s="20" t="s">
        <v>45</v>
      </c>
      <c r="E105" s="122"/>
      <c r="F105" s="122"/>
      <c r="G105" s="122"/>
      <c r="H105" s="122"/>
      <c r="I105" s="122"/>
      <c r="J105" s="122"/>
      <c r="K105" s="122"/>
      <c r="L105" s="122"/>
      <c r="M105" s="122"/>
      <c r="N105" s="122"/>
      <c r="O105" s="122"/>
      <c r="P105" s="122"/>
      <c r="Q105" s="122"/>
      <c r="R105" s="122"/>
      <c r="S105" s="122"/>
      <c r="T105" s="122"/>
      <c r="U105" s="122"/>
      <c r="V105" s="122"/>
      <c r="W105" s="122"/>
      <c r="X105" s="122"/>
      <c r="Y105" s="122"/>
      <c r="Z105" s="122"/>
      <c r="AA105" s="122"/>
      <c r="AB105" s="122"/>
      <c r="AC105" s="38"/>
      <c r="AD105" s="122"/>
      <c r="AE105" s="122"/>
      <c r="AF105" s="122"/>
      <c r="AG105" s="122"/>
      <c r="AH105" s="122"/>
      <c r="AI105" s="122"/>
      <c r="AJ105" s="122"/>
      <c r="AK105" s="122"/>
      <c r="AL105" s="122"/>
      <c r="AM105" s="122"/>
      <c r="AN105" s="122"/>
      <c r="AO105" s="122"/>
      <c r="AP105" s="122"/>
      <c r="AQ105" s="122"/>
      <c r="AR105" s="122"/>
      <c r="AS105" s="122"/>
      <c r="AT105" s="122"/>
      <c r="AU105" s="122"/>
      <c r="AV105" s="122"/>
      <c r="AW105" s="122"/>
      <c r="AX105" s="122"/>
      <c r="AY105" s="122"/>
      <c r="AZ105" s="122"/>
      <c r="BA105" s="122"/>
      <c r="BB105" s="8"/>
      <c r="BC105" s="116"/>
      <c r="BD105" s="301" t="s">
        <v>81</v>
      </c>
      <c r="BE105" s="301"/>
      <c r="BF105" s="301"/>
      <c r="BG105" s="301"/>
      <c r="BH105" s="301"/>
    </row>
    <row r="106" spans="1:60" x14ac:dyDescent="0.25">
      <c r="A106" s="11"/>
      <c r="B106" s="11"/>
      <c r="C106" s="20" t="s">
        <v>46</v>
      </c>
      <c r="E106" s="122"/>
      <c r="F106" s="122"/>
      <c r="G106" s="122"/>
      <c r="H106" s="122"/>
      <c r="I106" s="122"/>
      <c r="J106" s="122"/>
      <c r="K106" s="122"/>
      <c r="L106" s="122"/>
      <c r="M106" s="122"/>
      <c r="N106" s="122"/>
      <c r="O106" s="122"/>
      <c r="P106" s="122"/>
      <c r="Q106" s="122"/>
      <c r="R106" s="122"/>
      <c r="S106" s="122"/>
      <c r="T106" s="122"/>
      <c r="U106" s="122"/>
      <c r="V106" s="122"/>
      <c r="W106" s="122"/>
      <c r="X106" s="122"/>
      <c r="Y106" s="122"/>
      <c r="Z106" s="122"/>
      <c r="AA106" s="122"/>
      <c r="AB106" s="122"/>
      <c r="AC106" s="38"/>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c r="AY106" s="122"/>
      <c r="AZ106" s="122"/>
      <c r="BA106" s="122"/>
      <c r="BB106" s="8"/>
      <c r="BC106" s="93" t="s">
        <v>77</v>
      </c>
      <c r="BD106" s="301" t="s">
        <v>76</v>
      </c>
      <c r="BE106" s="301"/>
      <c r="BF106" s="301"/>
      <c r="BG106" s="301"/>
      <c r="BH106" s="301"/>
    </row>
    <row r="107" spans="1:60" ht="69.95" customHeight="1" x14ac:dyDescent="0.25">
      <c r="A107" s="11"/>
      <c r="B107" s="11"/>
      <c r="C107" s="21" t="s">
        <v>65</v>
      </c>
      <c r="E107" s="304"/>
      <c r="F107" s="304"/>
      <c r="G107" s="304"/>
      <c r="H107" s="304"/>
      <c r="I107" s="304"/>
      <c r="J107" s="304"/>
      <c r="K107" s="304"/>
      <c r="L107" s="304"/>
      <c r="M107" s="304"/>
      <c r="N107" s="304"/>
      <c r="O107" s="304"/>
      <c r="P107" s="304"/>
      <c r="Q107" s="304"/>
      <c r="R107" s="304"/>
      <c r="S107" s="304"/>
      <c r="T107" s="304"/>
      <c r="U107" s="304"/>
      <c r="V107" s="304"/>
      <c r="W107" s="304"/>
      <c r="X107" s="304"/>
      <c r="Y107" s="304"/>
      <c r="Z107" s="304"/>
      <c r="AA107" s="304"/>
      <c r="AB107" s="304"/>
      <c r="AC107" s="29"/>
      <c r="AD107" s="304"/>
      <c r="AE107" s="304"/>
      <c r="AF107" s="304"/>
      <c r="AG107" s="304"/>
      <c r="AH107" s="304"/>
      <c r="AI107" s="304"/>
      <c r="AJ107" s="304"/>
      <c r="AK107" s="304"/>
      <c r="AL107" s="304"/>
      <c r="AM107" s="304"/>
      <c r="AN107" s="304"/>
      <c r="AO107" s="304"/>
      <c r="AP107" s="304"/>
      <c r="AQ107" s="304"/>
      <c r="AR107" s="304"/>
      <c r="AS107" s="304"/>
      <c r="AT107" s="304"/>
      <c r="AU107" s="304"/>
      <c r="AV107" s="304"/>
      <c r="AW107" s="304"/>
      <c r="AX107" s="304"/>
      <c r="AY107" s="304"/>
      <c r="AZ107" s="304"/>
      <c r="BA107" s="304"/>
      <c r="BB107" s="8"/>
      <c r="BC107" s="117" t="s">
        <v>82</v>
      </c>
      <c r="BD107" s="301" t="s">
        <v>83</v>
      </c>
      <c r="BE107" s="301"/>
      <c r="BF107" s="301"/>
      <c r="BG107" s="301"/>
      <c r="BH107" s="301"/>
    </row>
    <row r="108" spans="1:60" ht="43.5" customHeight="1" x14ac:dyDescent="0.25">
      <c r="A108" s="11"/>
      <c r="B108" s="11"/>
      <c r="C108" s="21" t="s">
        <v>47</v>
      </c>
      <c r="E108" s="309"/>
      <c r="F108" s="310"/>
      <c r="G108" s="310"/>
      <c r="H108" s="310"/>
      <c r="I108" s="310"/>
      <c r="J108" s="310"/>
      <c r="K108" s="310"/>
      <c r="L108" s="310"/>
      <c r="M108" s="310"/>
      <c r="N108" s="310"/>
      <c r="O108" s="310"/>
      <c r="P108" s="311"/>
      <c r="Q108" s="312"/>
      <c r="R108" s="310"/>
      <c r="S108" s="310"/>
      <c r="T108" s="310"/>
      <c r="U108" s="310"/>
      <c r="V108" s="310"/>
      <c r="W108" s="310"/>
      <c r="X108" s="310"/>
      <c r="Y108" s="310"/>
      <c r="Z108" s="310"/>
      <c r="AA108" s="310"/>
      <c r="AB108" s="310"/>
      <c r="AC108" s="29"/>
      <c r="AD108" s="309"/>
      <c r="AE108" s="310"/>
      <c r="AF108" s="310"/>
      <c r="AG108" s="310"/>
      <c r="AH108" s="310"/>
      <c r="AI108" s="310"/>
      <c r="AJ108" s="310"/>
      <c r="AK108" s="310"/>
      <c r="AL108" s="310"/>
      <c r="AM108" s="310"/>
      <c r="AN108" s="310"/>
      <c r="AO108" s="311"/>
      <c r="AP108" s="312"/>
      <c r="AQ108" s="310"/>
      <c r="AR108" s="310"/>
      <c r="AS108" s="310"/>
      <c r="AT108" s="310"/>
      <c r="AU108" s="310"/>
      <c r="AV108" s="310"/>
      <c r="AW108" s="310"/>
      <c r="AX108" s="310"/>
      <c r="AY108" s="310"/>
      <c r="AZ108" s="310"/>
      <c r="BA108" s="310"/>
      <c r="BB108" s="8"/>
      <c r="BC108" s="118"/>
      <c r="BD108" s="306" t="s">
        <v>119</v>
      </c>
      <c r="BE108" s="307"/>
      <c r="BF108" s="307"/>
      <c r="BG108" s="307"/>
      <c r="BH108" s="308"/>
    </row>
    <row r="109" spans="1:60" s="12" customFormat="1" ht="18.75" x14ac:dyDescent="0.3">
      <c r="A109" s="26"/>
      <c r="B109" s="26"/>
      <c r="E109" s="13">
        <v>19</v>
      </c>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D109" s="13">
        <v>20</v>
      </c>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15"/>
      <c r="BC109" s="119"/>
      <c r="BD109" s="301" t="s">
        <v>121</v>
      </c>
      <c r="BE109" s="301"/>
      <c r="BF109" s="301"/>
      <c r="BG109" s="301"/>
      <c r="BH109" s="301"/>
    </row>
    <row r="110" spans="1:60" s="24" customFormat="1" x14ac:dyDescent="0.25">
      <c r="A110" s="11"/>
      <c r="B110" s="11"/>
      <c r="C110" s="22"/>
      <c r="D110" s="22"/>
      <c r="E110" s="36">
        <v>0</v>
      </c>
      <c r="F110" s="36">
        <v>1</v>
      </c>
      <c r="G110" s="36">
        <v>2</v>
      </c>
      <c r="H110" s="36">
        <v>3</v>
      </c>
      <c r="I110" s="36">
        <v>4</v>
      </c>
      <c r="J110" s="36">
        <v>5</v>
      </c>
      <c r="K110" s="36">
        <v>6</v>
      </c>
      <c r="L110" s="36">
        <v>7</v>
      </c>
      <c r="M110" s="36">
        <v>8</v>
      </c>
      <c r="N110" s="36">
        <v>9</v>
      </c>
      <c r="O110" s="36">
        <v>10</v>
      </c>
      <c r="P110" s="36">
        <v>11</v>
      </c>
      <c r="Q110" s="36">
        <v>12</v>
      </c>
      <c r="R110" s="36">
        <v>13</v>
      </c>
      <c r="S110" s="36">
        <v>14</v>
      </c>
      <c r="T110" s="36">
        <v>15</v>
      </c>
      <c r="U110" s="36">
        <v>16</v>
      </c>
      <c r="V110" s="36">
        <v>17</v>
      </c>
      <c r="W110" s="36">
        <v>18</v>
      </c>
      <c r="X110" s="36">
        <v>19</v>
      </c>
      <c r="Y110" s="36">
        <v>20</v>
      </c>
      <c r="Z110" s="36">
        <v>21</v>
      </c>
      <c r="AA110" s="36">
        <v>22</v>
      </c>
      <c r="AB110" s="36">
        <v>23</v>
      </c>
      <c r="AC110" s="22"/>
      <c r="AD110" s="36">
        <v>0</v>
      </c>
      <c r="AE110" s="36">
        <v>1</v>
      </c>
      <c r="AF110" s="36">
        <v>2</v>
      </c>
      <c r="AG110" s="36">
        <v>3</v>
      </c>
      <c r="AH110" s="36">
        <v>4</v>
      </c>
      <c r="AI110" s="36">
        <v>5</v>
      </c>
      <c r="AJ110" s="36">
        <v>6</v>
      </c>
      <c r="AK110" s="36">
        <v>7</v>
      </c>
      <c r="AL110" s="36">
        <v>8</v>
      </c>
      <c r="AM110" s="36">
        <v>9</v>
      </c>
      <c r="AN110" s="36">
        <v>10</v>
      </c>
      <c r="AO110" s="36">
        <v>11</v>
      </c>
      <c r="AP110" s="36">
        <v>12</v>
      </c>
      <c r="AQ110" s="36">
        <v>13</v>
      </c>
      <c r="AR110" s="36">
        <v>14</v>
      </c>
      <c r="AS110" s="36">
        <v>15</v>
      </c>
      <c r="AT110" s="36">
        <v>16</v>
      </c>
      <c r="AU110" s="36">
        <v>17</v>
      </c>
      <c r="AV110" s="36">
        <v>18</v>
      </c>
      <c r="AW110" s="36">
        <v>19</v>
      </c>
      <c r="AX110" s="36">
        <v>20</v>
      </c>
      <c r="AY110" s="36">
        <v>21</v>
      </c>
      <c r="AZ110" s="36">
        <v>22</v>
      </c>
      <c r="BA110" s="36">
        <v>23</v>
      </c>
      <c r="BB110" s="23"/>
      <c r="BC110" s="117" t="s">
        <v>123</v>
      </c>
      <c r="BD110" s="301" t="s">
        <v>124</v>
      </c>
      <c r="BE110" s="301"/>
      <c r="BF110" s="301"/>
      <c r="BG110" s="301"/>
      <c r="BH110" s="301"/>
    </row>
    <row r="111" spans="1:60" s="24" customFormat="1" ht="15" customHeight="1" x14ac:dyDescent="0.25">
      <c r="A111" s="11"/>
      <c r="B111" s="11"/>
      <c r="C111" s="22"/>
      <c r="D111" s="22"/>
      <c r="E111" s="37" t="s">
        <v>17</v>
      </c>
      <c r="F111" s="37" t="s">
        <v>18</v>
      </c>
      <c r="G111" s="37" t="s">
        <v>19</v>
      </c>
      <c r="H111" s="37" t="s">
        <v>20</v>
      </c>
      <c r="I111" s="37" t="s">
        <v>21</v>
      </c>
      <c r="J111" s="37" t="s">
        <v>22</v>
      </c>
      <c r="K111" s="37" t="s">
        <v>23</v>
      </c>
      <c r="L111" s="37" t="s">
        <v>24</v>
      </c>
      <c r="M111" s="37" t="s">
        <v>25</v>
      </c>
      <c r="N111" s="37" t="s">
        <v>26</v>
      </c>
      <c r="O111" s="37" t="s">
        <v>27</v>
      </c>
      <c r="P111" s="37" t="s">
        <v>28</v>
      </c>
      <c r="Q111" s="37" t="s">
        <v>29</v>
      </c>
      <c r="R111" s="37" t="s">
        <v>30</v>
      </c>
      <c r="S111" s="37" t="s">
        <v>31</v>
      </c>
      <c r="T111" s="37" t="s">
        <v>32</v>
      </c>
      <c r="U111" s="37" t="s">
        <v>33</v>
      </c>
      <c r="V111" s="37" t="s">
        <v>34</v>
      </c>
      <c r="W111" s="37" t="s">
        <v>35</v>
      </c>
      <c r="X111" s="37" t="s">
        <v>36</v>
      </c>
      <c r="Y111" s="37" t="s">
        <v>37</v>
      </c>
      <c r="Z111" s="37" t="s">
        <v>38</v>
      </c>
      <c r="AA111" s="37" t="s">
        <v>39</v>
      </c>
      <c r="AB111" s="37" t="s">
        <v>40</v>
      </c>
      <c r="AC111" s="22"/>
      <c r="AD111" s="37" t="s">
        <v>17</v>
      </c>
      <c r="AE111" s="37" t="s">
        <v>18</v>
      </c>
      <c r="AF111" s="37" t="s">
        <v>19</v>
      </c>
      <c r="AG111" s="37" t="s">
        <v>20</v>
      </c>
      <c r="AH111" s="37" t="s">
        <v>21</v>
      </c>
      <c r="AI111" s="37" t="s">
        <v>22</v>
      </c>
      <c r="AJ111" s="37" t="s">
        <v>23</v>
      </c>
      <c r="AK111" s="37" t="s">
        <v>24</v>
      </c>
      <c r="AL111" s="37" t="s">
        <v>25</v>
      </c>
      <c r="AM111" s="37" t="s">
        <v>26</v>
      </c>
      <c r="AN111" s="37" t="s">
        <v>27</v>
      </c>
      <c r="AO111" s="37" t="s">
        <v>28</v>
      </c>
      <c r="AP111" s="37" t="s">
        <v>29</v>
      </c>
      <c r="AQ111" s="37" t="s">
        <v>30</v>
      </c>
      <c r="AR111" s="37" t="s">
        <v>31</v>
      </c>
      <c r="AS111" s="37" t="s">
        <v>32</v>
      </c>
      <c r="AT111" s="37" t="s">
        <v>33</v>
      </c>
      <c r="AU111" s="37" t="s">
        <v>34</v>
      </c>
      <c r="AV111" s="37" t="s">
        <v>35</v>
      </c>
      <c r="AW111" s="37" t="s">
        <v>36</v>
      </c>
      <c r="AX111" s="37" t="s">
        <v>37</v>
      </c>
      <c r="AY111" s="37" t="s">
        <v>38</v>
      </c>
      <c r="AZ111" s="37" t="s">
        <v>39</v>
      </c>
      <c r="BA111" s="37" t="s">
        <v>40</v>
      </c>
      <c r="BB111" s="23"/>
      <c r="BC111" s="120"/>
    </row>
    <row r="112" spans="1:60" x14ac:dyDescent="0.25">
      <c r="A112" s="11"/>
      <c r="B112" s="11"/>
      <c r="C112" s="20" t="s">
        <v>41</v>
      </c>
      <c r="E112" s="122"/>
      <c r="F112" s="122"/>
      <c r="G112" s="122"/>
      <c r="H112" s="122"/>
      <c r="I112" s="122"/>
      <c r="J112" s="122"/>
      <c r="K112" s="122"/>
      <c r="L112" s="122"/>
      <c r="M112" s="122"/>
      <c r="N112" s="122"/>
      <c r="O112" s="122"/>
      <c r="P112" s="122"/>
      <c r="Q112" s="122"/>
      <c r="R112" s="122"/>
      <c r="S112" s="122"/>
      <c r="T112" s="122"/>
      <c r="U112" s="122"/>
      <c r="V112" s="122"/>
      <c r="W112" s="122"/>
      <c r="X112" s="122"/>
      <c r="Y112" s="122"/>
      <c r="Z112" s="122"/>
      <c r="AA112" s="122"/>
      <c r="AB112" s="122"/>
      <c r="AC112" s="38"/>
      <c r="AD112" s="122"/>
      <c r="AE112" s="122"/>
      <c r="AF112" s="122"/>
      <c r="AG112" s="122"/>
      <c r="AH112" s="122"/>
      <c r="AI112" s="122"/>
      <c r="AJ112" s="122"/>
      <c r="AK112" s="122"/>
      <c r="AL112" s="122"/>
      <c r="AM112" s="122"/>
      <c r="AN112" s="122"/>
      <c r="AO112" s="122"/>
      <c r="AP112" s="122"/>
      <c r="AQ112" s="122"/>
      <c r="AR112" s="122"/>
      <c r="AS112" s="122"/>
      <c r="AT112" s="122"/>
      <c r="AU112" s="122"/>
      <c r="AV112" s="122"/>
      <c r="AW112" s="122"/>
      <c r="AX112" s="122"/>
      <c r="AY112" s="122"/>
      <c r="AZ112" s="122"/>
      <c r="BA112" s="122"/>
      <c r="BB112" s="8"/>
      <c r="BC112" s="59"/>
      <c r="BD112" s="7"/>
      <c r="BE112" s="7"/>
      <c r="BF112" s="7"/>
      <c r="BG112" s="7"/>
      <c r="BH112" s="7"/>
    </row>
    <row r="113" spans="1:60" x14ac:dyDescent="0.25">
      <c r="A113" s="11"/>
      <c r="B113" s="11"/>
      <c r="C113" s="20" t="s">
        <v>42</v>
      </c>
      <c r="E113" s="122"/>
      <c r="F113" s="122"/>
      <c r="G113" s="122"/>
      <c r="H113" s="122"/>
      <c r="I113" s="122"/>
      <c r="J113" s="122"/>
      <c r="K113" s="122"/>
      <c r="L113" s="122"/>
      <c r="M113" s="122"/>
      <c r="N113" s="122"/>
      <c r="O113" s="122"/>
      <c r="P113" s="122"/>
      <c r="Q113" s="122"/>
      <c r="R113" s="122"/>
      <c r="S113" s="122"/>
      <c r="T113" s="122"/>
      <c r="U113" s="122"/>
      <c r="V113" s="122"/>
      <c r="W113" s="122"/>
      <c r="X113" s="122"/>
      <c r="Y113" s="122"/>
      <c r="Z113" s="122"/>
      <c r="AA113" s="122"/>
      <c r="AB113" s="122"/>
      <c r="AC113" s="38"/>
      <c r="AD113" s="122"/>
      <c r="AE113" s="122"/>
      <c r="AF113" s="122"/>
      <c r="AG113" s="122"/>
      <c r="AH113" s="122"/>
      <c r="AI113" s="122"/>
      <c r="AJ113" s="122"/>
      <c r="AK113" s="122"/>
      <c r="AL113" s="122"/>
      <c r="AM113" s="122"/>
      <c r="AN113" s="122"/>
      <c r="AO113" s="122"/>
      <c r="AP113" s="122"/>
      <c r="AQ113" s="122"/>
      <c r="AR113" s="122"/>
      <c r="AS113" s="122"/>
      <c r="AT113" s="122"/>
      <c r="AU113" s="122"/>
      <c r="AV113" s="122"/>
      <c r="AW113" s="122"/>
      <c r="AX113" s="122"/>
      <c r="AY113" s="122"/>
      <c r="AZ113" s="122"/>
      <c r="BA113" s="122"/>
      <c r="BB113" s="8"/>
      <c r="BC113" s="59"/>
      <c r="BD113" s="7"/>
      <c r="BE113" s="7"/>
      <c r="BF113" s="7"/>
      <c r="BG113" s="7"/>
      <c r="BH113" s="7"/>
    </row>
    <row r="114" spans="1:60" x14ac:dyDescent="0.25">
      <c r="A114" s="11"/>
      <c r="B114" s="11"/>
      <c r="C114" s="20" t="s">
        <v>43</v>
      </c>
      <c r="E114" s="122"/>
      <c r="F114" s="122"/>
      <c r="G114" s="122"/>
      <c r="H114" s="122"/>
      <c r="I114" s="122"/>
      <c r="J114" s="122"/>
      <c r="K114" s="122"/>
      <c r="L114" s="122"/>
      <c r="M114" s="122"/>
      <c r="N114" s="122"/>
      <c r="O114" s="122"/>
      <c r="P114" s="122"/>
      <c r="Q114" s="122"/>
      <c r="R114" s="122"/>
      <c r="S114" s="122"/>
      <c r="T114" s="122"/>
      <c r="U114" s="122"/>
      <c r="V114" s="122"/>
      <c r="W114" s="122"/>
      <c r="X114" s="122"/>
      <c r="Y114" s="122"/>
      <c r="Z114" s="122"/>
      <c r="AA114" s="122"/>
      <c r="AB114" s="122"/>
      <c r="AC114" s="38"/>
      <c r="AD114" s="122"/>
      <c r="AE114" s="122"/>
      <c r="AF114" s="122"/>
      <c r="AG114" s="122"/>
      <c r="AH114" s="122"/>
      <c r="AI114" s="122"/>
      <c r="AJ114" s="122"/>
      <c r="AK114" s="122"/>
      <c r="AL114" s="122"/>
      <c r="AM114" s="122"/>
      <c r="AN114" s="122"/>
      <c r="AO114" s="122"/>
      <c r="AP114" s="122"/>
      <c r="AQ114" s="122"/>
      <c r="AR114" s="122"/>
      <c r="AS114" s="122"/>
      <c r="AT114" s="122"/>
      <c r="AU114" s="122"/>
      <c r="AV114" s="122"/>
      <c r="AW114" s="122"/>
      <c r="AX114" s="122"/>
      <c r="AY114" s="122"/>
      <c r="AZ114" s="122"/>
      <c r="BA114" s="122"/>
      <c r="BB114" s="8"/>
      <c r="BC114" s="59"/>
      <c r="BD114" s="7"/>
      <c r="BE114" s="7"/>
      <c r="BF114" s="7"/>
      <c r="BG114" s="7"/>
      <c r="BH114" s="7"/>
    </row>
    <row r="115" spans="1:60" x14ac:dyDescent="0.25">
      <c r="A115" s="11"/>
      <c r="B115" s="11"/>
      <c r="C115" s="20" t="s">
        <v>44</v>
      </c>
      <c r="E115" s="122"/>
      <c r="F115" s="122"/>
      <c r="G115" s="122"/>
      <c r="H115" s="122"/>
      <c r="I115" s="122"/>
      <c r="J115" s="122"/>
      <c r="K115" s="122"/>
      <c r="L115" s="122"/>
      <c r="M115" s="122"/>
      <c r="N115" s="122"/>
      <c r="O115" s="122"/>
      <c r="P115" s="122"/>
      <c r="Q115" s="122"/>
      <c r="R115" s="122"/>
      <c r="S115" s="122"/>
      <c r="T115" s="122"/>
      <c r="U115" s="122"/>
      <c r="V115" s="122"/>
      <c r="W115" s="122"/>
      <c r="X115" s="122"/>
      <c r="Y115" s="122"/>
      <c r="Z115" s="122"/>
      <c r="AA115" s="122"/>
      <c r="AB115" s="122"/>
      <c r="AC115" s="38"/>
      <c r="AD115" s="122"/>
      <c r="AE115" s="122"/>
      <c r="AF115" s="122"/>
      <c r="AG115" s="122"/>
      <c r="AH115" s="122"/>
      <c r="AI115" s="122"/>
      <c r="AJ115" s="122"/>
      <c r="AK115" s="122"/>
      <c r="AL115" s="122"/>
      <c r="AM115" s="122"/>
      <c r="AN115" s="122"/>
      <c r="AO115" s="122"/>
      <c r="AP115" s="122"/>
      <c r="AQ115" s="122"/>
      <c r="AR115" s="122"/>
      <c r="AS115" s="122"/>
      <c r="AT115" s="122"/>
      <c r="AU115" s="122"/>
      <c r="AV115" s="122"/>
      <c r="AW115" s="122"/>
      <c r="AX115" s="122"/>
      <c r="AY115" s="122"/>
      <c r="AZ115" s="122"/>
      <c r="BA115" s="122"/>
      <c r="BB115" s="8"/>
      <c r="BC115" s="59"/>
      <c r="BD115" s="7"/>
      <c r="BE115" s="7"/>
      <c r="BF115" s="7"/>
      <c r="BG115" s="7"/>
      <c r="BH115" s="7"/>
    </row>
    <row r="116" spans="1:60" x14ac:dyDescent="0.25">
      <c r="A116" s="11"/>
      <c r="B116" s="11"/>
      <c r="C116" s="20" t="s">
        <v>45</v>
      </c>
      <c r="E116" s="122"/>
      <c r="F116" s="122"/>
      <c r="G116" s="122"/>
      <c r="H116" s="122"/>
      <c r="I116" s="122"/>
      <c r="J116" s="122"/>
      <c r="K116" s="122"/>
      <c r="L116" s="122"/>
      <c r="M116" s="122"/>
      <c r="N116" s="122"/>
      <c r="O116" s="122"/>
      <c r="P116" s="122"/>
      <c r="Q116" s="122"/>
      <c r="R116" s="122"/>
      <c r="S116" s="122"/>
      <c r="T116" s="122"/>
      <c r="U116" s="122"/>
      <c r="V116" s="122"/>
      <c r="W116" s="122"/>
      <c r="X116" s="122"/>
      <c r="Y116" s="122"/>
      <c r="Z116" s="122"/>
      <c r="AA116" s="122"/>
      <c r="AB116" s="122"/>
      <c r="AC116" s="38"/>
      <c r="AD116" s="122"/>
      <c r="AE116" s="122"/>
      <c r="AF116" s="122"/>
      <c r="AG116" s="122"/>
      <c r="AH116" s="122"/>
      <c r="AI116" s="122"/>
      <c r="AJ116" s="122"/>
      <c r="AK116" s="122"/>
      <c r="AL116" s="122"/>
      <c r="AM116" s="122"/>
      <c r="AN116" s="122"/>
      <c r="AO116" s="122"/>
      <c r="AP116" s="122"/>
      <c r="AQ116" s="122"/>
      <c r="AR116" s="122"/>
      <c r="AS116" s="122"/>
      <c r="AT116" s="122"/>
      <c r="AU116" s="122"/>
      <c r="AV116" s="122"/>
      <c r="AW116" s="122"/>
      <c r="AX116" s="122"/>
      <c r="AY116" s="122"/>
      <c r="AZ116" s="122"/>
      <c r="BA116" s="122"/>
      <c r="BB116" s="8"/>
      <c r="BC116" s="113"/>
      <c r="BD116" s="11"/>
      <c r="BE116" s="11"/>
      <c r="BF116" s="11"/>
      <c r="BG116" s="11"/>
      <c r="BH116" s="11"/>
    </row>
    <row r="117" spans="1:60" x14ac:dyDescent="0.25">
      <c r="A117" s="11"/>
      <c r="B117" s="11"/>
      <c r="C117" s="20" t="s">
        <v>46</v>
      </c>
      <c r="E117" s="122"/>
      <c r="F117" s="122"/>
      <c r="G117" s="122"/>
      <c r="H117" s="122"/>
      <c r="I117" s="122"/>
      <c r="J117" s="122"/>
      <c r="K117" s="122"/>
      <c r="L117" s="122"/>
      <c r="M117" s="122"/>
      <c r="N117" s="122"/>
      <c r="O117" s="122"/>
      <c r="P117" s="122"/>
      <c r="Q117" s="122"/>
      <c r="R117" s="122"/>
      <c r="S117" s="122"/>
      <c r="T117" s="122"/>
      <c r="U117" s="122"/>
      <c r="V117" s="122"/>
      <c r="W117" s="122"/>
      <c r="X117" s="122"/>
      <c r="Y117" s="122"/>
      <c r="Z117" s="122"/>
      <c r="AA117" s="122"/>
      <c r="AB117" s="122"/>
      <c r="AC117" s="38"/>
      <c r="AD117" s="122"/>
      <c r="AE117" s="122"/>
      <c r="AF117" s="122"/>
      <c r="AG117" s="122"/>
      <c r="AH117" s="122"/>
      <c r="AI117" s="122"/>
      <c r="AJ117" s="122"/>
      <c r="AK117" s="122"/>
      <c r="AL117" s="122"/>
      <c r="AM117" s="122"/>
      <c r="AN117" s="122"/>
      <c r="AO117" s="122"/>
      <c r="AP117" s="122"/>
      <c r="AQ117" s="122"/>
      <c r="AR117" s="122"/>
      <c r="AS117" s="122"/>
      <c r="AT117" s="122"/>
      <c r="AU117" s="122"/>
      <c r="AV117" s="122"/>
      <c r="AW117" s="122"/>
      <c r="AX117" s="122"/>
      <c r="AY117" s="122"/>
      <c r="AZ117" s="122"/>
      <c r="BA117" s="122"/>
      <c r="BB117" s="8"/>
      <c r="BC117" s="113"/>
      <c r="BD117" s="11"/>
      <c r="BE117" s="11"/>
      <c r="BF117" s="11"/>
      <c r="BG117" s="11"/>
      <c r="BH117" s="11"/>
    </row>
    <row r="118" spans="1:60" ht="69.95" customHeight="1" x14ac:dyDescent="0.25">
      <c r="A118" s="11"/>
      <c r="B118" s="11"/>
      <c r="C118" s="21" t="s">
        <v>65</v>
      </c>
      <c r="E118" s="304"/>
      <c r="F118" s="304"/>
      <c r="G118" s="304"/>
      <c r="H118" s="304"/>
      <c r="I118" s="304"/>
      <c r="J118" s="304"/>
      <c r="K118" s="304"/>
      <c r="L118" s="304"/>
      <c r="M118" s="304"/>
      <c r="N118" s="304"/>
      <c r="O118" s="304"/>
      <c r="P118" s="304"/>
      <c r="Q118" s="304"/>
      <c r="R118" s="304"/>
      <c r="S118" s="304"/>
      <c r="T118" s="304"/>
      <c r="U118" s="304"/>
      <c r="V118" s="304"/>
      <c r="W118" s="304"/>
      <c r="X118" s="304"/>
      <c r="Y118" s="304"/>
      <c r="Z118" s="304"/>
      <c r="AA118" s="304"/>
      <c r="AB118" s="304"/>
      <c r="AC118" s="29"/>
      <c r="AD118" s="304"/>
      <c r="AE118" s="304"/>
      <c r="AF118" s="304"/>
      <c r="AG118" s="304"/>
      <c r="AH118" s="304"/>
      <c r="AI118" s="304"/>
      <c r="AJ118" s="304"/>
      <c r="AK118" s="304"/>
      <c r="AL118" s="304"/>
      <c r="AM118" s="304"/>
      <c r="AN118" s="304"/>
      <c r="AO118" s="304"/>
      <c r="AP118" s="304"/>
      <c r="AQ118" s="304"/>
      <c r="AR118" s="304"/>
      <c r="AS118" s="304"/>
      <c r="AT118" s="304"/>
      <c r="AU118" s="304"/>
      <c r="AV118" s="304"/>
      <c r="AW118" s="304"/>
      <c r="AX118" s="304"/>
      <c r="AY118" s="304"/>
      <c r="AZ118" s="304"/>
      <c r="BA118" s="304"/>
      <c r="BB118" s="8"/>
      <c r="BC118" s="113"/>
      <c r="BD118" s="11"/>
      <c r="BE118" s="11"/>
      <c r="BF118" s="11"/>
      <c r="BG118" s="11"/>
      <c r="BH118" s="11"/>
    </row>
    <row r="119" spans="1:60" ht="43.5" customHeight="1" x14ac:dyDescent="0.25">
      <c r="A119" s="11"/>
      <c r="B119" s="11"/>
      <c r="C119" s="21" t="s">
        <v>47</v>
      </c>
      <c r="E119" s="309"/>
      <c r="F119" s="310"/>
      <c r="G119" s="310"/>
      <c r="H119" s="310"/>
      <c r="I119" s="310"/>
      <c r="J119" s="310"/>
      <c r="K119" s="310"/>
      <c r="L119" s="310"/>
      <c r="M119" s="310"/>
      <c r="N119" s="310"/>
      <c r="O119" s="310"/>
      <c r="P119" s="311"/>
      <c r="Q119" s="312"/>
      <c r="R119" s="310"/>
      <c r="S119" s="310"/>
      <c r="T119" s="310"/>
      <c r="U119" s="310"/>
      <c r="V119" s="310"/>
      <c r="W119" s="310"/>
      <c r="X119" s="310"/>
      <c r="Y119" s="310"/>
      <c r="Z119" s="310"/>
      <c r="AA119" s="310"/>
      <c r="AB119" s="310"/>
      <c r="AC119" s="29"/>
      <c r="AD119" s="309"/>
      <c r="AE119" s="310"/>
      <c r="AF119" s="310"/>
      <c r="AG119" s="310"/>
      <c r="AH119" s="310"/>
      <c r="AI119" s="310"/>
      <c r="AJ119" s="310"/>
      <c r="AK119" s="310"/>
      <c r="AL119" s="310"/>
      <c r="AM119" s="310"/>
      <c r="AN119" s="310"/>
      <c r="AO119" s="311"/>
      <c r="AP119" s="312"/>
      <c r="AQ119" s="310"/>
      <c r="AR119" s="310"/>
      <c r="AS119" s="310"/>
      <c r="AT119" s="310"/>
      <c r="AU119" s="310"/>
      <c r="AV119" s="310"/>
      <c r="AW119" s="310"/>
      <c r="AX119" s="310"/>
      <c r="AY119" s="310"/>
      <c r="AZ119" s="310"/>
      <c r="BA119" s="310"/>
      <c r="BB119" s="8"/>
      <c r="BC119" s="113"/>
      <c r="BD119" s="11"/>
      <c r="BE119" s="11"/>
      <c r="BF119" s="11"/>
      <c r="BG119" s="11"/>
      <c r="BH119" s="11"/>
    </row>
    <row r="120" spans="1:60" s="12" customFormat="1" ht="18.75" x14ac:dyDescent="0.3">
      <c r="A120" s="26"/>
      <c r="B120" s="26"/>
      <c r="E120" s="13">
        <v>21</v>
      </c>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D120" s="13">
        <v>22</v>
      </c>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5"/>
      <c r="BC120" s="121"/>
      <c r="BD120" s="26"/>
      <c r="BE120" s="26"/>
      <c r="BF120" s="26"/>
      <c r="BG120" s="26"/>
      <c r="BH120" s="26"/>
    </row>
    <row r="121" spans="1:60" s="24" customFormat="1" x14ac:dyDescent="0.25">
      <c r="A121" s="11"/>
      <c r="B121" s="11"/>
      <c r="C121" s="22"/>
      <c r="D121" s="22"/>
      <c r="E121" s="36">
        <v>0</v>
      </c>
      <c r="F121" s="36">
        <v>1</v>
      </c>
      <c r="G121" s="36">
        <v>2</v>
      </c>
      <c r="H121" s="36">
        <v>3</v>
      </c>
      <c r="I121" s="36">
        <v>4</v>
      </c>
      <c r="J121" s="36">
        <v>5</v>
      </c>
      <c r="K121" s="36">
        <v>6</v>
      </c>
      <c r="L121" s="36">
        <v>7</v>
      </c>
      <c r="M121" s="36">
        <v>8</v>
      </c>
      <c r="N121" s="36">
        <v>9</v>
      </c>
      <c r="O121" s="36">
        <v>10</v>
      </c>
      <c r="P121" s="36">
        <v>11</v>
      </c>
      <c r="Q121" s="36">
        <v>12</v>
      </c>
      <c r="R121" s="36">
        <v>13</v>
      </c>
      <c r="S121" s="36">
        <v>14</v>
      </c>
      <c r="T121" s="36">
        <v>15</v>
      </c>
      <c r="U121" s="36">
        <v>16</v>
      </c>
      <c r="V121" s="36">
        <v>17</v>
      </c>
      <c r="W121" s="36">
        <v>18</v>
      </c>
      <c r="X121" s="36">
        <v>19</v>
      </c>
      <c r="Y121" s="36">
        <v>20</v>
      </c>
      <c r="Z121" s="36">
        <v>21</v>
      </c>
      <c r="AA121" s="36">
        <v>22</v>
      </c>
      <c r="AB121" s="36">
        <v>23</v>
      </c>
      <c r="AC121" s="22"/>
      <c r="AD121" s="36">
        <v>0</v>
      </c>
      <c r="AE121" s="36">
        <v>1</v>
      </c>
      <c r="AF121" s="36">
        <v>2</v>
      </c>
      <c r="AG121" s="36">
        <v>3</v>
      </c>
      <c r="AH121" s="36">
        <v>4</v>
      </c>
      <c r="AI121" s="36">
        <v>5</v>
      </c>
      <c r="AJ121" s="36">
        <v>6</v>
      </c>
      <c r="AK121" s="36">
        <v>7</v>
      </c>
      <c r="AL121" s="36">
        <v>8</v>
      </c>
      <c r="AM121" s="36">
        <v>9</v>
      </c>
      <c r="AN121" s="36">
        <v>10</v>
      </c>
      <c r="AO121" s="36">
        <v>11</v>
      </c>
      <c r="AP121" s="36">
        <v>12</v>
      </c>
      <c r="AQ121" s="36">
        <v>13</v>
      </c>
      <c r="AR121" s="36">
        <v>14</v>
      </c>
      <c r="AS121" s="36">
        <v>15</v>
      </c>
      <c r="AT121" s="36">
        <v>16</v>
      </c>
      <c r="AU121" s="36">
        <v>17</v>
      </c>
      <c r="AV121" s="36">
        <v>18</v>
      </c>
      <c r="AW121" s="36">
        <v>19</v>
      </c>
      <c r="AX121" s="36">
        <v>20</v>
      </c>
      <c r="AY121" s="36">
        <v>21</v>
      </c>
      <c r="AZ121" s="36">
        <v>22</v>
      </c>
      <c r="BA121" s="36">
        <v>23</v>
      </c>
      <c r="BB121" s="23"/>
      <c r="BC121" s="113"/>
      <c r="BD121" s="11"/>
      <c r="BE121" s="11"/>
      <c r="BF121" s="11"/>
      <c r="BG121" s="11"/>
      <c r="BH121" s="11"/>
    </row>
    <row r="122" spans="1:60" s="24" customFormat="1" ht="15" customHeight="1" x14ac:dyDescent="0.25">
      <c r="A122" s="11"/>
      <c r="B122" s="11"/>
      <c r="C122" s="22"/>
      <c r="D122" s="22"/>
      <c r="E122" s="37" t="s">
        <v>17</v>
      </c>
      <c r="F122" s="37" t="s">
        <v>18</v>
      </c>
      <c r="G122" s="37" t="s">
        <v>19</v>
      </c>
      <c r="H122" s="37" t="s">
        <v>20</v>
      </c>
      <c r="I122" s="37" t="s">
        <v>21</v>
      </c>
      <c r="J122" s="37" t="s">
        <v>22</v>
      </c>
      <c r="K122" s="37" t="s">
        <v>23</v>
      </c>
      <c r="L122" s="37" t="s">
        <v>24</v>
      </c>
      <c r="M122" s="37" t="s">
        <v>25</v>
      </c>
      <c r="N122" s="37" t="s">
        <v>26</v>
      </c>
      <c r="O122" s="37" t="s">
        <v>27</v>
      </c>
      <c r="P122" s="37" t="s">
        <v>28</v>
      </c>
      <c r="Q122" s="37" t="s">
        <v>29</v>
      </c>
      <c r="R122" s="37" t="s">
        <v>30</v>
      </c>
      <c r="S122" s="37" t="s">
        <v>31</v>
      </c>
      <c r="T122" s="37" t="s">
        <v>32</v>
      </c>
      <c r="U122" s="37" t="s">
        <v>33</v>
      </c>
      <c r="V122" s="37" t="s">
        <v>34</v>
      </c>
      <c r="W122" s="37" t="s">
        <v>35</v>
      </c>
      <c r="X122" s="37" t="s">
        <v>36</v>
      </c>
      <c r="Y122" s="37" t="s">
        <v>37</v>
      </c>
      <c r="Z122" s="37" t="s">
        <v>38</v>
      </c>
      <c r="AA122" s="37" t="s">
        <v>39</v>
      </c>
      <c r="AB122" s="37" t="s">
        <v>40</v>
      </c>
      <c r="AC122" s="22"/>
      <c r="AD122" s="37" t="s">
        <v>17</v>
      </c>
      <c r="AE122" s="37" t="s">
        <v>18</v>
      </c>
      <c r="AF122" s="37" t="s">
        <v>19</v>
      </c>
      <c r="AG122" s="37" t="s">
        <v>20</v>
      </c>
      <c r="AH122" s="37" t="s">
        <v>21</v>
      </c>
      <c r="AI122" s="37" t="s">
        <v>22</v>
      </c>
      <c r="AJ122" s="37" t="s">
        <v>23</v>
      </c>
      <c r="AK122" s="37" t="s">
        <v>24</v>
      </c>
      <c r="AL122" s="37" t="s">
        <v>25</v>
      </c>
      <c r="AM122" s="37" t="s">
        <v>26</v>
      </c>
      <c r="AN122" s="37" t="s">
        <v>27</v>
      </c>
      <c r="AO122" s="37" t="s">
        <v>28</v>
      </c>
      <c r="AP122" s="37" t="s">
        <v>29</v>
      </c>
      <c r="AQ122" s="37" t="s">
        <v>30</v>
      </c>
      <c r="AR122" s="37" t="s">
        <v>31</v>
      </c>
      <c r="AS122" s="37" t="s">
        <v>32</v>
      </c>
      <c r="AT122" s="37" t="s">
        <v>33</v>
      </c>
      <c r="AU122" s="37" t="s">
        <v>34</v>
      </c>
      <c r="AV122" s="37" t="s">
        <v>35</v>
      </c>
      <c r="AW122" s="37" t="s">
        <v>36</v>
      </c>
      <c r="AX122" s="37" t="s">
        <v>37</v>
      </c>
      <c r="AY122" s="37" t="s">
        <v>38</v>
      </c>
      <c r="AZ122" s="37" t="s">
        <v>39</v>
      </c>
      <c r="BA122" s="37" t="s">
        <v>40</v>
      </c>
      <c r="BB122" s="23"/>
      <c r="BC122" s="113"/>
      <c r="BD122" s="11"/>
      <c r="BE122" s="11"/>
      <c r="BF122" s="11"/>
      <c r="BG122" s="11"/>
      <c r="BH122" s="11"/>
    </row>
    <row r="123" spans="1:60" x14ac:dyDescent="0.25">
      <c r="A123" s="11"/>
      <c r="B123" s="11"/>
      <c r="C123" s="20" t="s">
        <v>41</v>
      </c>
      <c r="E123" s="122"/>
      <c r="F123" s="122"/>
      <c r="G123" s="122"/>
      <c r="H123" s="122"/>
      <c r="I123" s="122"/>
      <c r="J123" s="122"/>
      <c r="K123" s="122"/>
      <c r="L123" s="122"/>
      <c r="M123" s="122"/>
      <c r="N123" s="122"/>
      <c r="O123" s="122"/>
      <c r="P123" s="122"/>
      <c r="Q123" s="122"/>
      <c r="R123" s="122"/>
      <c r="S123" s="122"/>
      <c r="T123" s="122"/>
      <c r="U123" s="122"/>
      <c r="V123" s="122"/>
      <c r="W123" s="122"/>
      <c r="X123" s="122"/>
      <c r="Y123" s="122"/>
      <c r="Z123" s="122"/>
      <c r="AA123" s="122"/>
      <c r="AB123" s="122"/>
      <c r="AC123" s="38"/>
      <c r="AD123" s="122"/>
      <c r="AE123" s="122"/>
      <c r="AF123" s="122"/>
      <c r="AG123" s="122"/>
      <c r="AH123" s="122"/>
      <c r="AI123" s="122"/>
      <c r="AJ123" s="122"/>
      <c r="AK123" s="122"/>
      <c r="AL123" s="122"/>
      <c r="AM123" s="122"/>
      <c r="AN123" s="122"/>
      <c r="AO123" s="122"/>
      <c r="AP123" s="122"/>
      <c r="AQ123" s="122"/>
      <c r="AR123" s="122"/>
      <c r="AS123" s="122"/>
      <c r="AT123" s="122"/>
      <c r="AU123" s="122"/>
      <c r="AV123" s="122"/>
      <c r="AW123" s="122"/>
      <c r="AX123" s="122"/>
      <c r="AY123" s="122"/>
      <c r="AZ123" s="122"/>
      <c r="BA123" s="122"/>
      <c r="BB123" s="8"/>
      <c r="BC123" s="113"/>
      <c r="BD123" s="11"/>
      <c r="BE123" s="11"/>
      <c r="BF123" s="11"/>
      <c r="BG123" s="11"/>
      <c r="BH123" s="11"/>
    </row>
    <row r="124" spans="1:60" x14ac:dyDescent="0.25">
      <c r="A124" s="11"/>
      <c r="B124" s="11"/>
      <c r="C124" s="20" t="s">
        <v>42</v>
      </c>
      <c r="E124" s="122"/>
      <c r="F124" s="122"/>
      <c r="G124" s="122"/>
      <c r="H124" s="122"/>
      <c r="I124" s="122"/>
      <c r="J124" s="122"/>
      <c r="K124" s="122"/>
      <c r="L124" s="122"/>
      <c r="M124" s="122"/>
      <c r="N124" s="122"/>
      <c r="O124" s="122"/>
      <c r="P124" s="122"/>
      <c r="Q124" s="122"/>
      <c r="R124" s="122"/>
      <c r="S124" s="122"/>
      <c r="T124" s="122"/>
      <c r="U124" s="122"/>
      <c r="V124" s="122"/>
      <c r="W124" s="122"/>
      <c r="X124" s="122"/>
      <c r="Y124" s="122"/>
      <c r="Z124" s="122"/>
      <c r="AA124" s="122"/>
      <c r="AB124" s="122"/>
      <c r="AC124" s="38"/>
      <c r="AD124" s="122"/>
      <c r="AE124" s="122"/>
      <c r="AF124" s="122"/>
      <c r="AG124" s="122"/>
      <c r="AH124" s="122"/>
      <c r="AI124" s="122"/>
      <c r="AJ124" s="122"/>
      <c r="AK124" s="122"/>
      <c r="AL124" s="122"/>
      <c r="AM124" s="122"/>
      <c r="AN124" s="122"/>
      <c r="AO124" s="122"/>
      <c r="AP124" s="122"/>
      <c r="AQ124" s="122"/>
      <c r="AR124" s="122"/>
      <c r="AS124" s="122"/>
      <c r="AT124" s="122"/>
      <c r="AU124" s="122"/>
      <c r="AV124" s="122"/>
      <c r="AW124" s="122"/>
      <c r="AX124" s="122"/>
      <c r="AY124" s="122"/>
      <c r="AZ124" s="122"/>
      <c r="BA124" s="122"/>
      <c r="BB124" s="8"/>
      <c r="BC124" s="113"/>
      <c r="BD124" s="11"/>
      <c r="BE124" s="11"/>
      <c r="BF124" s="11"/>
      <c r="BG124" s="11"/>
      <c r="BH124" s="11"/>
    </row>
    <row r="125" spans="1:60" x14ac:dyDescent="0.25">
      <c r="A125" s="11"/>
      <c r="B125" s="11"/>
      <c r="C125" s="20" t="s">
        <v>43</v>
      </c>
      <c r="E125" s="122"/>
      <c r="F125" s="122"/>
      <c r="G125" s="122"/>
      <c r="H125" s="122"/>
      <c r="I125" s="122"/>
      <c r="J125" s="122"/>
      <c r="K125" s="122"/>
      <c r="L125" s="122"/>
      <c r="M125" s="122"/>
      <c r="N125" s="122"/>
      <c r="O125" s="122"/>
      <c r="P125" s="122"/>
      <c r="Q125" s="122"/>
      <c r="R125" s="122"/>
      <c r="S125" s="122"/>
      <c r="T125" s="122"/>
      <c r="U125" s="122"/>
      <c r="V125" s="122"/>
      <c r="W125" s="122"/>
      <c r="X125" s="122"/>
      <c r="Y125" s="122"/>
      <c r="Z125" s="122"/>
      <c r="AA125" s="122"/>
      <c r="AB125" s="122"/>
      <c r="AC125" s="38"/>
      <c r="AD125" s="122"/>
      <c r="AE125" s="122"/>
      <c r="AF125" s="122"/>
      <c r="AG125" s="122"/>
      <c r="AH125" s="122"/>
      <c r="AI125" s="122"/>
      <c r="AJ125" s="122"/>
      <c r="AK125" s="122"/>
      <c r="AL125" s="122"/>
      <c r="AM125" s="122"/>
      <c r="AN125" s="122"/>
      <c r="AO125" s="122"/>
      <c r="AP125" s="122"/>
      <c r="AQ125" s="122"/>
      <c r="AR125" s="122"/>
      <c r="AS125" s="122"/>
      <c r="AT125" s="122"/>
      <c r="AU125" s="122"/>
      <c r="AV125" s="122"/>
      <c r="AW125" s="122"/>
      <c r="AX125" s="122"/>
      <c r="AY125" s="122"/>
      <c r="AZ125" s="122"/>
      <c r="BA125" s="122"/>
      <c r="BB125" s="8"/>
      <c r="BC125" s="113"/>
      <c r="BD125" s="11"/>
      <c r="BE125" s="11"/>
      <c r="BF125" s="11"/>
      <c r="BG125" s="11"/>
      <c r="BH125" s="11"/>
    </row>
    <row r="126" spans="1:60" x14ac:dyDescent="0.25">
      <c r="A126" s="11"/>
      <c r="B126" s="11"/>
      <c r="C126" s="20" t="s">
        <v>44</v>
      </c>
      <c r="E126" s="122"/>
      <c r="F126" s="122"/>
      <c r="G126" s="122"/>
      <c r="H126" s="122"/>
      <c r="I126" s="122"/>
      <c r="J126" s="122"/>
      <c r="K126" s="122"/>
      <c r="L126" s="122"/>
      <c r="M126" s="122"/>
      <c r="N126" s="122"/>
      <c r="O126" s="122"/>
      <c r="P126" s="122"/>
      <c r="Q126" s="122"/>
      <c r="R126" s="122"/>
      <c r="S126" s="122"/>
      <c r="T126" s="122"/>
      <c r="U126" s="122"/>
      <c r="V126" s="122"/>
      <c r="W126" s="122"/>
      <c r="X126" s="122"/>
      <c r="Y126" s="122"/>
      <c r="Z126" s="122"/>
      <c r="AA126" s="122"/>
      <c r="AB126" s="122"/>
      <c r="AC126" s="38"/>
      <c r="AD126" s="122"/>
      <c r="AE126" s="122"/>
      <c r="AF126" s="122"/>
      <c r="AG126" s="122"/>
      <c r="AH126" s="122"/>
      <c r="AI126" s="122"/>
      <c r="AJ126" s="122"/>
      <c r="AK126" s="122"/>
      <c r="AL126" s="122"/>
      <c r="AM126" s="122"/>
      <c r="AN126" s="122"/>
      <c r="AO126" s="122"/>
      <c r="AP126" s="122"/>
      <c r="AQ126" s="122"/>
      <c r="AR126" s="122"/>
      <c r="AS126" s="122"/>
      <c r="AT126" s="122"/>
      <c r="AU126" s="122"/>
      <c r="AV126" s="122"/>
      <c r="AW126" s="122"/>
      <c r="AX126" s="122"/>
      <c r="AY126" s="122"/>
      <c r="AZ126" s="122"/>
      <c r="BA126" s="122"/>
      <c r="BB126" s="8"/>
      <c r="BC126" s="113"/>
      <c r="BD126" s="11"/>
      <c r="BE126" s="11"/>
      <c r="BF126" s="11"/>
      <c r="BG126" s="11"/>
      <c r="BH126" s="11"/>
    </row>
    <row r="127" spans="1:60" x14ac:dyDescent="0.25">
      <c r="A127" s="11"/>
      <c r="B127" s="11"/>
      <c r="C127" s="20" t="s">
        <v>45</v>
      </c>
      <c r="E127" s="122"/>
      <c r="F127" s="122"/>
      <c r="G127" s="122"/>
      <c r="H127" s="122"/>
      <c r="I127" s="122"/>
      <c r="J127" s="122"/>
      <c r="K127" s="122"/>
      <c r="L127" s="122"/>
      <c r="M127" s="122"/>
      <c r="N127" s="122"/>
      <c r="O127" s="122"/>
      <c r="P127" s="122"/>
      <c r="Q127" s="122"/>
      <c r="R127" s="122"/>
      <c r="S127" s="122"/>
      <c r="T127" s="122"/>
      <c r="U127" s="122"/>
      <c r="V127" s="122"/>
      <c r="W127" s="122"/>
      <c r="X127" s="122"/>
      <c r="Y127" s="122"/>
      <c r="Z127" s="122"/>
      <c r="AA127" s="122"/>
      <c r="AB127" s="122"/>
      <c r="AC127" s="38"/>
      <c r="AD127" s="122"/>
      <c r="AE127" s="122"/>
      <c r="AF127" s="122"/>
      <c r="AG127" s="122"/>
      <c r="AH127" s="122"/>
      <c r="AI127" s="122"/>
      <c r="AJ127" s="122"/>
      <c r="AK127" s="122"/>
      <c r="AL127" s="122"/>
      <c r="AM127" s="122"/>
      <c r="AN127" s="122"/>
      <c r="AO127" s="122"/>
      <c r="AP127" s="122"/>
      <c r="AQ127" s="122"/>
      <c r="AR127" s="122"/>
      <c r="AS127" s="122"/>
      <c r="AT127" s="122"/>
      <c r="AU127" s="122"/>
      <c r="AV127" s="122"/>
      <c r="AW127" s="122"/>
      <c r="AX127" s="122"/>
      <c r="AY127" s="122"/>
      <c r="AZ127" s="122"/>
      <c r="BA127" s="122"/>
      <c r="BB127" s="8"/>
      <c r="BC127" s="113"/>
      <c r="BD127" s="11"/>
      <c r="BE127" s="11"/>
      <c r="BF127" s="11"/>
      <c r="BG127" s="11"/>
      <c r="BH127" s="11"/>
    </row>
    <row r="128" spans="1:60" x14ac:dyDescent="0.25">
      <c r="A128" s="11"/>
      <c r="B128" s="11"/>
      <c r="C128" s="20" t="s">
        <v>46</v>
      </c>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38"/>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c r="AX128" s="122"/>
      <c r="AY128" s="122"/>
      <c r="AZ128" s="122"/>
      <c r="BA128" s="122"/>
      <c r="BB128" s="8"/>
      <c r="BC128" s="113"/>
      <c r="BD128" s="11"/>
      <c r="BE128" s="11"/>
      <c r="BF128" s="11"/>
      <c r="BG128" s="11"/>
      <c r="BH128" s="11"/>
    </row>
    <row r="129" spans="1:60" ht="69.95" customHeight="1" x14ac:dyDescent="0.25">
      <c r="A129" s="11"/>
      <c r="B129" s="11"/>
      <c r="C129" s="21" t="s">
        <v>65</v>
      </c>
      <c r="E129" s="304"/>
      <c r="F129" s="304"/>
      <c r="G129" s="304"/>
      <c r="H129" s="304"/>
      <c r="I129" s="304"/>
      <c r="J129" s="304"/>
      <c r="K129" s="304"/>
      <c r="L129" s="304"/>
      <c r="M129" s="304"/>
      <c r="N129" s="304"/>
      <c r="O129" s="304"/>
      <c r="P129" s="304"/>
      <c r="Q129" s="304"/>
      <c r="R129" s="304"/>
      <c r="S129" s="304"/>
      <c r="T129" s="304"/>
      <c r="U129" s="304"/>
      <c r="V129" s="304"/>
      <c r="W129" s="304"/>
      <c r="X129" s="304"/>
      <c r="Y129" s="304"/>
      <c r="Z129" s="304"/>
      <c r="AA129" s="304"/>
      <c r="AB129" s="304"/>
      <c r="AC129" s="29"/>
      <c r="AD129" s="304"/>
      <c r="AE129" s="304"/>
      <c r="AF129" s="304"/>
      <c r="AG129" s="304"/>
      <c r="AH129" s="304"/>
      <c r="AI129" s="304"/>
      <c r="AJ129" s="304"/>
      <c r="AK129" s="304"/>
      <c r="AL129" s="304"/>
      <c r="AM129" s="304"/>
      <c r="AN129" s="304"/>
      <c r="AO129" s="304"/>
      <c r="AP129" s="304"/>
      <c r="AQ129" s="304"/>
      <c r="AR129" s="304"/>
      <c r="AS129" s="304"/>
      <c r="AT129" s="304"/>
      <c r="AU129" s="304"/>
      <c r="AV129" s="304"/>
      <c r="AW129" s="304"/>
      <c r="AX129" s="304"/>
      <c r="AY129" s="304"/>
      <c r="AZ129" s="304"/>
      <c r="BA129" s="304"/>
      <c r="BB129" s="8"/>
      <c r="BC129" s="113"/>
      <c r="BD129" s="11"/>
      <c r="BE129" s="11"/>
      <c r="BF129" s="11"/>
      <c r="BG129" s="11"/>
      <c r="BH129" s="11"/>
    </row>
    <row r="130" spans="1:60" ht="43.5" customHeight="1" x14ac:dyDescent="0.25">
      <c r="A130" s="11"/>
      <c r="B130" s="11"/>
      <c r="C130" s="21" t="s">
        <v>47</v>
      </c>
      <c r="E130" s="309"/>
      <c r="F130" s="310"/>
      <c r="G130" s="310"/>
      <c r="H130" s="310"/>
      <c r="I130" s="310"/>
      <c r="J130" s="310"/>
      <c r="K130" s="310"/>
      <c r="L130" s="310"/>
      <c r="M130" s="310"/>
      <c r="N130" s="310"/>
      <c r="O130" s="310"/>
      <c r="P130" s="311"/>
      <c r="Q130" s="312"/>
      <c r="R130" s="310"/>
      <c r="S130" s="310"/>
      <c r="T130" s="310"/>
      <c r="U130" s="310"/>
      <c r="V130" s="310"/>
      <c r="W130" s="310"/>
      <c r="X130" s="310"/>
      <c r="Y130" s="310"/>
      <c r="Z130" s="310"/>
      <c r="AA130" s="310"/>
      <c r="AB130" s="310"/>
      <c r="AC130" s="29"/>
      <c r="AD130" s="309"/>
      <c r="AE130" s="310"/>
      <c r="AF130" s="310"/>
      <c r="AG130" s="310"/>
      <c r="AH130" s="310"/>
      <c r="AI130" s="310"/>
      <c r="AJ130" s="310"/>
      <c r="AK130" s="310"/>
      <c r="AL130" s="310"/>
      <c r="AM130" s="310"/>
      <c r="AN130" s="310"/>
      <c r="AO130" s="311"/>
      <c r="AP130" s="312"/>
      <c r="AQ130" s="310"/>
      <c r="AR130" s="310"/>
      <c r="AS130" s="310"/>
      <c r="AT130" s="310"/>
      <c r="AU130" s="310"/>
      <c r="AV130" s="310"/>
      <c r="AW130" s="310"/>
      <c r="AX130" s="310"/>
      <c r="AY130" s="310"/>
      <c r="AZ130" s="310"/>
      <c r="BA130" s="310"/>
      <c r="BB130" s="8"/>
      <c r="BC130" s="113"/>
      <c r="BD130" s="11"/>
      <c r="BE130" s="11"/>
      <c r="BF130" s="11"/>
      <c r="BG130" s="11"/>
      <c r="BH130" s="11"/>
    </row>
    <row r="131" spans="1:60" s="12" customFormat="1" ht="18.75" x14ac:dyDescent="0.3">
      <c r="A131" s="26"/>
      <c r="B131" s="26"/>
      <c r="E131" s="13">
        <v>23</v>
      </c>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D131" s="13">
        <v>24</v>
      </c>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5"/>
      <c r="BC131" s="121"/>
      <c r="BD131" s="26"/>
      <c r="BE131" s="26"/>
      <c r="BF131" s="26"/>
      <c r="BG131" s="26"/>
      <c r="BH131" s="26"/>
    </row>
    <row r="132" spans="1:60" s="24" customFormat="1" x14ac:dyDescent="0.25">
      <c r="A132" s="11"/>
      <c r="B132" s="11"/>
      <c r="C132" s="22"/>
      <c r="D132" s="22"/>
      <c r="E132" s="36">
        <v>0</v>
      </c>
      <c r="F132" s="36">
        <v>1</v>
      </c>
      <c r="G132" s="36">
        <v>2</v>
      </c>
      <c r="H132" s="36">
        <v>3</v>
      </c>
      <c r="I132" s="36">
        <v>4</v>
      </c>
      <c r="J132" s="36">
        <v>5</v>
      </c>
      <c r="K132" s="36">
        <v>6</v>
      </c>
      <c r="L132" s="36">
        <v>7</v>
      </c>
      <c r="M132" s="36">
        <v>8</v>
      </c>
      <c r="N132" s="36">
        <v>9</v>
      </c>
      <c r="O132" s="36">
        <v>10</v>
      </c>
      <c r="P132" s="36">
        <v>11</v>
      </c>
      <c r="Q132" s="36">
        <v>12</v>
      </c>
      <c r="R132" s="36">
        <v>13</v>
      </c>
      <c r="S132" s="36">
        <v>14</v>
      </c>
      <c r="T132" s="36">
        <v>15</v>
      </c>
      <c r="U132" s="36">
        <v>16</v>
      </c>
      <c r="V132" s="36">
        <v>17</v>
      </c>
      <c r="W132" s="36">
        <v>18</v>
      </c>
      <c r="X132" s="36">
        <v>19</v>
      </c>
      <c r="Y132" s="36">
        <v>20</v>
      </c>
      <c r="Z132" s="36">
        <v>21</v>
      </c>
      <c r="AA132" s="36">
        <v>22</v>
      </c>
      <c r="AB132" s="36">
        <v>23</v>
      </c>
      <c r="AC132" s="22"/>
      <c r="AD132" s="36">
        <v>0</v>
      </c>
      <c r="AE132" s="36">
        <v>1</v>
      </c>
      <c r="AF132" s="36">
        <v>2</v>
      </c>
      <c r="AG132" s="36">
        <v>3</v>
      </c>
      <c r="AH132" s="36">
        <v>4</v>
      </c>
      <c r="AI132" s="36">
        <v>5</v>
      </c>
      <c r="AJ132" s="36">
        <v>6</v>
      </c>
      <c r="AK132" s="36">
        <v>7</v>
      </c>
      <c r="AL132" s="36">
        <v>8</v>
      </c>
      <c r="AM132" s="36">
        <v>9</v>
      </c>
      <c r="AN132" s="36">
        <v>10</v>
      </c>
      <c r="AO132" s="36">
        <v>11</v>
      </c>
      <c r="AP132" s="36">
        <v>12</v>
      </c>
      <c r="AQ132" s="36">
        <v>13</v>
      </c>
      <c r="AR132" s="36">
        <v>14</v>
      </c>
      <c r="AS132" s="36">
        <v>15</v>
      </c>
      <c r="AT132" s="36">
        <v>16</v>
      </c>
      <c r="AU132" s="36">
        <v>17</v>
      </c>
      <c r="AV132" s="36">
        <v>18</v>
      </c>
      <c r="AW132" s="36">
        <v>19</v>
      </c>
      <c r="AX132" s="36">
        <v>20</v>
      </c>
      <c r="AY132" s="36">
        <v>21</v>
      </c>
      <c r="AZ132" s="36">
        <v>22</v>
      </c>
      <c r="BA132" s="36">
        <v>23</v>
      </c>
      <c r="BB132" s="23"/>
      <c r="BC132" s="113"/>
      <c r="BD132" s="11"/>
      <c r="BE132" s="11"/>
      <c r="BF132" s="11"/>
      <c r="BG132" s="11"/>
      <c r="BH132" s="11"/>
    </row>
    <row r="133" spans="1:60" s="24" customFormat="1" ht="15" customHeight="1" x14ac:dyDescent="0.25">
      <c r="A133" s="11"/>
      <c r="B133" s="11"/>
      <c r="C133" s="22"/>
      <c r="D133" s="22"/>
      <c r="E133" s="37" t="s">
        <v>17</v>
      </c>
      <c r="F133" s="37" t="s">
        <v>18</v>
      </c>
      <c r="G133" s="37" t="s">
        <v>19</v>
      </c>
      <c r="H133" s="37" t="s">
        <v>20</v>
      </c>
      <c r="I133" s="37" t="s">
        <v>21</v>
      </c>
      <c r="J133" s="37" t="s">
        <v>22</v>
      </c>
      <c r="K133" s="37" t="s">
        <v>23</v>
      </c>
      <c r="L133" s="37" t="s">
        <v>24</v>
      </c>
      <c r="M133" s="37" t="s">
        <v>25</v>
      </c>
      <c r="N133" s="37" t="s">
        <v>26</v>
      </c>
      <c r="O133" s="37" t="s">
        <v>27</v>
      </c>
      <c r="P133" s="37" t="s">
        <v>28</v>
      </c>
      <c r="Q133" s="37" t="s">
        <v>29</v>
      </c>
      <c r="R133" s="37" t="s">
        <v>30</v>
      </c>
      <c r="S133" s="37" t="s">
        <v>31</v>
      </c>
      <c r="T133" s="37" t="s">
        <v>32</v>
      </c>
      <c r="U133" s="37" t="s">
        <v>33</v>
      </c>
      <c r="V133" s="37" t="s">
        <v>34</v>
      </c>
      <c r="W133" s="37" t="s">
        <v>35</v>
      </c>
      <c r="X133" s="37" t="s">
        <v>36</v>
      </c>
      <c r="Y133" s="37" t="s">
        <v>37</v>
      </c>
      <c r="Z133" s="37" t="s">
        <v>38</v>
      </c>
      <c r="AA133" s="37" t="s">
        <v>39</v>
      </c>
      <c r="AB133" s="37" t="s">
        <v>40</v>
      </c>
      <c r="AC133" s="22"/>
      <c r="AD133" s="37" t="s">
        <v>17</v>
      </c>
      <c r="AE133" s="37" t="s">
        <v>18</v>
      </c>
      <c r="AF133" s="37" t="s">
        <v>19</v>
      </c>
      <c r="AG133" s="37" t="s">
        <v>20</v>
      </c>
      <c r="AH133" s="37" t="s">
        <v>21</v>
      </c>
      <c r="AI133" s="37" t="s">
        <v>22</v>
      </c>
      <c r="AJ133" s="37" t="s">
        <v>23</v>
      </c>
      <c r="AK133" s="37" t="s">
        <v>24</v>
      </c>
      <c r="AL133" s="37" t="s">
        <v>25</v>
      </c>
      <c r="AM133" s="37" t="s">
        <v>26</v>
      </c>
      <c r="AN133" s="37" t="s">
        <v>27</v>
      </c>
      <c r="AO133" s="37" t="s">
        <v>28</v>
      </c>
      <c r="AP133" s="37" t="s">
        <v>29</v>
      </c>
      <c r="AQ133" s="37" t="s">
        <v>30</v>
      </c>
      <c r="AR133" s="37" t="s">
        <v>31</v>
      </c>
      <c r="AS133" s="37" t="s">
        <v>32</v>
      </c>
      <c r="AT133" s="37" t="s">
        <v>33</v>
      </c>
      <c r="AU133" s="37" t="s">
        <v>34</v>
      </c>
      <c r="AV133" s="37" t="s">
        <v>35</v>
      </c>
      <c r="AW133" s="37" t="s">
        <v>36</v>
      </c>
      <c r="AX133" s="37" t="s">
        <v>37</v>
      </c>
      <c r="AY133" s="37" t="s">
        <v>38</v>
      </c>
      <c r="AZ133" s="37" t="s">
        <v>39</v>
      </c>
      <c r="BA133" s="37" t="s">
        <v>40</v>
      </c>
      <c r="BB133" s="23"/>
      <c r="BC133" s="113"/>
      <c r="BD133" s="11"/>
      <c r="BE133" s="11"/>
      <c r="BF133" s="11"/>
      <c r="BG133" s="11"/>
      <c r="BH133" s="11"/>
    </row>
    <row r="134" spans="1:60" x14ac:dyDescent="0.25">
      <c r="A134" s="11"/>
      <c r="B134" s="11"/>
      <c r="C134" s="20" t="s">
        <v>41</v>
      </c>
      <c r="E134" s="122"/>
      <c r="F134" s="122"/>
      <c r="G134" s="122"/>
      <c r="H134" s="122"/>
      <c r="I134" s="122"/>
      <c r="J134" s="122"/>
      <c r="K134" s="122"/>
      <c r="L134" s="122"/>
      <c r="M134" s="122"/>
      <c r="N134" s="122"/>
      <c r="O134" s="122"/>
      <c r="P134" s="122"/>
      <c r="Q134" s="122"/>
      <c r="R134" s="122"/>
      <c r="S134" s="122"/>
      <c r="T134" s="122"/>
      <c r="U134" s="122"/>
      <c r="V134" s="122"/>
      <c r="W134" s="122"/>
      <c r="X134" s="122"/>
      <c r="Y134" s="122"/>
      <c r="Z134" s="122"/>
      <c r="AA134" s="122"/>
      <c r="AB134" s="122"/>
      <c r="AC134" s="38"/>
      <c r="AD134" s="122"/>
      <c r="AE134" s="122"/>
      <c r="AF134" s="122"/>
      <c r="AG134" s="122"/>
      <c r="AH134" s="122"/>
      <c r="AI134" s="122"/>
      <c r="AJ134" s="122"/>
      <c r="AK134" s="122"/>
      <c r="AL134" s="122"/>
      <c r="AM134" s="122"/>
      <c r="AN134" s="122"/>
      <c r="AO134" s="122"/>
      <c r="AP134" s="122"/>
      <c r="AQ134" s="122"/>
      <c r="AR134" s="122"/>
      <c r="AS134" s="122"/>
      <c r="AT134" s="122"/>
      <c r="AU134" s="122"/>
      <c r="AV134" s="122"/>
      <c r="AW134" s="122"/>
      <c r="AX134" s="122"/>
      <c r="AY134" s="122"/>
      <c r="AZ134" s="122"/>
      <c r="BA134" s="122"/>
      <c r="BB134" s="8"/>
      <c r="BC134" s="113"/>
      <c r="BD134" s="11"/>
      <c r="BE134" s="11"/>
      <c r="BF134" s="11"/>
      <c r="BG134" s="11"/>
      <c r="BH134" s="11"/>
    </row>
    <row r="135" spans="1:60" x14ac:dyDescent="0.25">
      <c r="A135" s="11"/>
      <c r="B135" s="11"/>
      <c r="C135" s="20" t="s">
        <v>42</v>
      </c>
      <c r="E135" s="122"/>
      <c r="F135" s="122"/>
      <c r="G135" s="122"/>
      <c r="H135" s="122"/>
      <c r="I135" s="122"/>
      <c r="J135" s="122"/>
      <c r="K135" s="122"/>
      <c r="L135" s="122"/>
      <c r="M135" s="122"/>
      <c r="N135" s="122"/>
      <c r="O135" s="122"/>
      <c r="P135" s="122"/>
      <c r="Q135" s="122"/>
      <c r="R135" s="122"/>
      <c r="S135" s="122"/>
      <c r="T135" s="122"/>
      <c r="U135" s="122"/>
      <c r="V135" s="122"/>
      <c r="W135" s="122"/>
      <c r="X135" s="122"/>
      <c r="Y135" s="122"/>
      <c r="Z135" s="122"/>
      <c r="AA135" s="122"/>
      <c r="AB135" s="122"/>
      <c r="AC135" s="38"/>
      <c r="AD135" s="122"/>
      <c r="AE135" s="122"/>
      <c r="AF135" s="122"/>
      <c r="AG135" s="122"/>
      <c r="AH135" s="122"/>
      <c r="AI135" s="122"/>
      <c r="AJ135" s="122"/>
      <c r="AK135" s="122"/>
      <c r="AL135" s="122"/>
      <c r="AM135" s="122"/>
      <c r="AN135" s="122"/>
      <c r="AO135" s="122"/>
      <c r="AP135" s="122"/>
      <c r="AQ135" s="122"/>
      <c r="AR135" s="122"/>
      <c r="AS135" s="122"/>
      <c r="AT135" s="122"/>
      <c r="AU135" s="122"/>
      <c r="AV135" s="122"/>
      <c r="AW135" s="122"/>
      <c r="AX135" s="122"/>
      <c r="AY135" s="122"/>
      <c r="AZ135" s="122"/>
      <c r="BA135" s="122"/>
      <c r="BB135" s="8"/>
      <c r="BC135" s="113"/>
      <c r="BD135" s="11"/>
      <c r="BE135" s="11"/>
      <c r="BF135" s="11"/>
      <c r="BG135" s="11"/>
      <c r="BH135" s="11"/>
    </row>
    <row r="136" spans="1:60" x14ac:dyDescent="0.25">
      <c r="A136" s="11"/>
      <c r="B136" s="11"/>
      <c r="C136" s="20" t="s">
        <v>43</v>
      </c>
      <c r="E136" s="122"/>
      <c r="F136" s="122"/>
      <c r="G136" s="122"/>
      <c r="H136" s="122"/>
      <c r="I136" s="122"/>
      <c r="J136" s="122"/>
      <c r="K136" s="122"/>
      <c r="L136" s="122"/>
      <c r="M136" s="122"/>
      <c r="N136" s="122"/>
      <c r="O136" s="122"/>
      <c r="P136" s="122"/>
      <c r="Q136" s="122"/>
      <c r="R136" s="122"/>
      <c r="S136" s="122"/>
      <c r="T136" s="122"/>
      <c r="U136" s="122"/>
      <c r="V136" s="122"/>
      <c r="W136" s="122"/>
      <c r="X136" s="122"/>
      <c r="Y136" s="122"/>
      <c r="Z136" s="122"/>
      <c r="AA136" s="122"/>
      <c r="AB136" s="122"/>
      <c r="AC136" s="38"/>
      <c r="AD136" s="122"/>
      <c r="AE136" s="122"/>
      <c r="AF136" s="122"/>
      <c r="AG136" s="122"/>
      <c r="AH136" s="122"/>
      <c r="AI136" s="122"/>
      <c r="AJ136" s="122"/>
      <c r="AK136" s="122"/>
      <c r="AL136" s="122"/>
      <c r="AM136" s="122"/>
      <c r="AN136" s="122"/>
      <c r="AO136" s="122"/>
      <c r="AP136" s="122"/>
      <c r="AQ136" s="122"/>
      <c r="AR136" s="122"/>
      <c r="AS136" s="122"/>
      <c r="AT136" s="122"/>
      <c r="AU136" s="122"/>
      <c r="AV136" s="122"/>
      <c r="AW136" s="122"/>
      <c r="AX136" s="122"/>
      <c r="AY136" s="122"/>
      <c r="AZ136" s="122"/>
      <c r="BA136" s="122"/>
      <c r="BB136" s="8"/>
      <c r="BC136" s="113"/>
      <c r="BD136" s="11"/>
      <c r="BE136" s="11"/>
      <c r="BF136" s="11"/>
      <c r="BG136" s="11"/>
      <c r="BH136" s="11"/>
    </row>
    <row r="137" spans="1:60" x14ac:dyDescent="0.25">
      <c r="A137" s="11"/>
      <c r="B137" s="11"/>
      <c r="C137" s="20" t="s">
        <v>44</v>
      </c>
      <c r="E137" s="122"/>
      <c r="F137" s="122"/>
      <c r="G137" s="122"/>
      <c r="H137" s="122"/>
      <c r="I137" s="122"/>
      <c r="J137" s="122"/>
      <c r="K137" s="122"/>
      <c r="L137" s="122"/>
      <c r="M137" s="122"/>
      <c r="N137" s="122"/>
      <c r="O137" s="122"/>
      <c r="P137" s="122"/>
      <c r="Q137" s="122"/>
      <c r="R137" s="122"/>
      <c r="S137" s="122"/>
      <c r="T137" s="122"/>
      <c r="U137" s="122"/>
      <c r="V137" s="122"/>
      <c r="W137" s="122"/>
      <c r="X137" s="122"/>
      <c r="Y137" s="122"/>
      <c r="Z137" s="122"/>
      <c r="AA137" s="122"/>
      <c r="AB137" s="122"/>
      <c r="AC137" s="38"/>
      <c r="AD137" s="122"/>
      <c r="AE137" s="122"/>
      <c r="AF137" s="122"/>
      <c r="AG137" s="122"/>
      <c r="AH137" s="122"/>
      <c r="AI137" s="122"/>
      <c r="AJ137" s="122"/>
      <c r="AK137" s="122"/>
      <c r="AL137" s="122"/>
      <c r="AM137" s="122"/>
      <c r="AN137" s="122"/>
      <c r="AO137" s="122"/>
      <c r="AP137" s="122"/>
      <c r="AQ137" s="122"/>
      <c r="AR137" s="122"/>
      <c r="AS137" s="122"/>
      <c r="AT137" s="122"/>
      <c r="AU137" s="122"/>
      <c r="AV137" s="122"/>
      <c r="AW137" s="122"/>
      <c r="AX137" s="122"/>
      <c r="AY137" s="122"/>
      <c r="AZ137" s="122"/>
      <c r="BA137" s="122"/>
      <c r="BB137" s="8"/>
      <c r="BC137" s="113"/>
      <c r="BD137" s="11"/>
      <c r="BE137" s="11"/>
      <c r="BF137" s="11"/>
      <c r="BG137" s="11"/>
      <c r="BH137" s="11"/>
    </row>
    <row r="138" spans="1:60" x14ac:dyDescent="0.25">
      <c r="A138" s="11"/>
      <c r="B138" s="11"/>
      <c r="C138" s="20" t="s">
        <v>45</v>
      </c>
      <c r="E138" s="122"/>
      <c r="F138" s="122"/>
      <c r="G138" s="122"/>
      <c r="H138" s="122"/>
      <c r="I138" s="122"/>
      <c r="J138" s="122"/>
      <c r="K138" s="122"/>
      <c r="L138" s="122"/>
      <c r="M138" s="122"/>
      <c r="N138" s="122"/>
      <c r="O138" s="122"/>
      <c r="P138" s="122"/>
      <c r="Q138" s="122"/>
      <c r="R138" s="122"/>
      <c r="S138" s="122"/>
      <c r="T138" s="122"/>
      <c r="U138" s="122"/>
      <c r="V138" s="122"/>
      <c r="W138" s="122"/>
      <c r="X138" s="122"/>
      <c r="Y138" s="122"/>
      <c r="Z138" s="122"/>
      <c r="AA138" s="122"/>
      <c r="AB138" s="122"/>
      <c r="AC138" s="38"/>
      <c r="AD138" s="122"/>
      <c r="AE138" s="122"/>
      <c r="AF138" s="122"/>
      <c r="AG138" s="122"/>
      <c r="AH138" s="122"/>
      <c r="AI138" s="122"/>
      <c r="AJ138" s="122"/>
      <c r="AK138" s="122"/>
      <c r="AL138" s="122"/>
      <c r="AM138" s="122"/>
      <c r="AN138" s="122"/>
      <c r="AO138" s="122"/>
      <c r="AP138" s="122"/>
      <c r="AQ138" s="122"/>
      <c r="AR138" s="122"/>
      <c r="AS138" s="122"/>
      <c r="AT138" s="122"/>
      <c r="AU138" s="122"/>
      <c r="AV138" s="122"/>
      <c r="AW138" s="122"/>
      <c r="AX138" s="122"/>
      <c r="AY138" s="122"/>
      <c r="AZ138" s="122"/>
      <c r="BA138" s="122"/>
      <c r="BB138" s="8"/>
      <c r="BC138" s="113"/>
      <c r="BD138" s="11"/>
      <c r="BE138" s="11"/>
      <c r="BF138" s="11"/>
      <c r="BG138" s="11"/>
      <c r="BH138" s="11"/>
    </row>
    <row r="139" spans="1:60" x14ac:dyDescent="0.25">
      <c r="A139" s="11"/>
      <c r="B139" s="11"/>
      <c r="C139" s="20" t="s">
        <v>46</v>
      </c>
      <c r="E139" s="122"/>
      <c r="F139" s="122"/>
      <c r="G139" s="122"/>
      <c r="H139" s="122"/>
      <c r="I139" s="122"/>
      <c r="J139" s="122"/>
      <c r="K139" s="122"/>
      <c r="L139" s="122"/>
      <c r="M139" s="122"/>
      <c r="N139" s="122"/>
      <c r="O139" s="122"/>
      <c r="P139" s="122"/>
      <c r="Q139" s="122"/>
      <c r="R139" s="122"/>
      <c r="S139" s="122"/>
      <c r="T139" s="122"/>
      <c r="U139" s="122"/>
      <c r="V139" s="122"/>
      <c r="W139" s="122"/>
      <c r="X139" s="122"/>
      <c r="Y139" s="122"/>
      <c r="Z139" s="122"/>
      <c r="AA139" s="122"/>
      <c r="AB139" s="122"/>
      <c r="AC139" s="38"/>
      <c r="AD139" s="122"/>
      <c r="AE139" s="122"/>
      <c r="AF139" s="122"/>
      <c r="AG139" s="122"/>
      <c r="AH139" s="122"/>
      <c r="AI139" s="122"/>
      <c r="AJ139" s="122"/>
      <c r="AK139" s="122"/>
      <c r="AL139" s="122"/>
      <c r="AM139" s="122"/>
      <c r="AN139" s="122"/>
      <c r="AO139" s="122"/>
      <c r="AP139" s="122"/>
      <c r="AQ139" s="122"/>
      <c r="AR139" s="122"/>
      <c r="AS139" s="122"/>
      <c r="AT139" s="122"/>
      <c r="AU139" s="122"/>
      <c r="AV139" s="122"/>
      <c r="AW139" s="122"/>
      <c r="AX139" s="122"/>
      <c r="AY139" s="122"/>
      <c r="AZ139" s="122"/>
      <c r="BA139" s="122"/>
      <c r="BB139" s="8"/>
      <c r="BC139" s="113"/>
      <c r="BD139" s="11"/>
      <c r="BE139" s="11"/>
      <c r="BF139" s="11"/>
      <c r="BG139" s="11"/>
      <c r="BH139" s="11"/>
    </row>
    <row r="140" spans="1:60" ht="80.25" customHeight="1" x14ac:dyDescent="0.25">
      <c r="A140" s="11"/>
      <c r="B140" s="11"/>
      <c r="C140" s="21" t="s">
        <v>65</v>
      </c>
      <c r="E140" s="304"/>
      <c r="F140" s="304"/>
      <c r="G140" s="304"/>
      <c r="H140" s="304"/>
      <c r="I140" s="304"/>
      <c r="J140" s="304"/>
      <c r="K140" s="304"/>
      <c r="L140" s="304"/>
      <c r="M140" s="304"/>
      <c r="N140" s="304"/>
      <c r="O140" s="304"/>
      <c r="P140" s="304"/>
      <c r="Q140" s="304"/>
      <c r="R140" s="304"/>
      <c r="S140" s="304"/>
      <c r="T140" s="304"/>
      <c r="U140" s="304"/>
      <c r="V140" s="304"/>
      <c r="W140" s="304"/>
      <c r="X140" s="304"/>
      <c r="Y140" s="304"/>
      <c r="Z140" s="304"/>
      <c r="AA140" s="304"/>
      <c r="AB140" s="304"/>
      <c r="AC140" s="29"/>
      <c r="AD140" s="304"/>
      <c r="AE140" s="304"/>
      <c r="AF140" s="304"/>
      <c r="AG140" s="304"/>
      <c r="AH140" s="304"/>
      <c r="AI140" s="304"/>
      <c r="AJ140" s="304"/>
      <c r="AK140" s="304"/>
      <c r="AL140" s="304"/>
      <c r="AM140" s="304"/>
      <c r="AN140" s="304"/>
      <c r="AO140" s="304"/>
      <c r="AP140" s="304"/>
      <c r="AQ140" s="304"/>
      <c r="AR140" s="304"/>
      <c r="AS140" s="304"/>
      <c r="AT140" s="304"/>
      <c r="AU140" s="304"/>
      <c r="AV140" s="304"/>
      <c r="AW140" s="304"/>
      <c r="AX140" s="304"/>
      <c r="AY140" s="304"/>
      <c r="AZ140" s="304"/>
      <c r="BA140" s="304"/>
      <c r="BB140" s="8"/>
      <c r="BC140" s="113"/>
      <c r="BD140" s="11"/>
      <c r="BE140" s="11"/>
      <c r="BF140" s="11"/>
      <c r="BG140" s="11"/>
      <c r="BH140" s="11"/>
    </row>
    <row r="141" spans="1:60" ht="43.5" customHeight="1" x14ac:dyDescent="0.25">
      <c r="A141" s="11"/>
      <c r="B141" s="11"/>
      <c r="C141" s="21" t="s">
        <v>47</v>
      </c>
      <c r="E141" s="309"/>
      <c r="F141" s="310"/>
      <c r="G141" s="310"/>
      <c r="H141" s="310"/>
      <c r="I141" s="310"/>
      <c r="J141" s="310"/>
      <c r="K141" s="310"/>
      <c r="L141" s="310"/>
      <c r="M141" s="310"/>
      <c r="N141" s="310"/>
      <c r="O141" s="310"/>
      <c r="P141" s="311"/>
      <c r="Q141" s="312"/>
      <c r="R141" s="310"/>
      <c r="S141" s="310"/>
      <c r="T141" s="310"/>
      <c r="U141" s="310"/>
      <c r="V141" s="310"/>
      <c r="W141" s="310"/>
      <c r="X141" s="310"/>
      <c r="Y141" s="310"/>
      <c r="Z141" s="310"/>
      <c r="AA141" s="310"/>
      <c r="AB141" s="310"/>
      <c r="AC141" s="29"/>
      <c r="AD141" s="309"/>
      <c r="AE141" s="310"/>
      <c r="AF141" s="310"/>
      <c r="AG141" s="310"/>
      <c r="AH141" s="310"/>
      <c r="AI141" s="310"/>
      <c r="AJ141" s="310"/>
      <c r="AK141" s="310"/>
      <c r="AL141" s="310"/>
      <c r="AM141" s="310"/>
      <c r="AN141" s="310"/>
      <c r="AO141" s="311"/>
      <c r="AP141" s="312"/>
      <c r="AQ141" s="310"/>
      <c r="AR141" s="310"/>
      <c r="AS141" s="310"/>
      <c r="AT141" s="310"/>
      <c r="AU141" s="310"/>
      <c r="AV141" s="310"/>
      <c r="AW141" s="310"/>
      <c r="AX141" s="310"/>
      <c r="AY141" s="310"/>
      <c r="AZ141" s="310"/>
      <c r="BA141" s="310"/>
      <c r="BB141" s="8"/>
      <c r="BC141" s="113"/>
      <c r="BD141" s="11"/>
      <c r="BE141" s="11"/>
      <c r="BF141" s="11"/>
      <c r="BG141" s="11"/>
      <c r="BH141" s="11"/>
    </row>
    <row r="142" spans="1:60" x14ac:dyDescent="0.25">
      <c r="A142" s="11"/>
      <c r="B142" s="11"/>
      <c r="BB142" s="8"/>
      <c r="BC142" s="113"/>
      <c r="BD142" s="11"/>
      <c r="BE142" s="11"/>
      <c r="BF142" s="11"/>
      <c r="BG142" s="11"/>
      <c r="BH142" s="11"/>
    </row>
    <row r="143" spans="1:60" ht="16.5" thickBot="1" x14ac:dyDescent="0.3">
      <c r="A143" s="11"/>
      <c r="B143" s="11"/>
      <c r="C143" s="303" t="s">
        <v>13</v>
      </c>
      <c r="D143" s="303"/>
      <c r="E143" s="303"/>
      <c r="F143" s="303"/>
      <c r="G143" s="303"/>
      <c r="H143" s="303"/>
      <c r="I143" s="303"/>
      <c r="J143" s="303"/>
      <c r="N143" s="9" t="s">
        <v>14</v>
      </c>
      <c r="O143" s="10"/>
      <c r="P143" s="302">
        <f>P2</f>
        <v>0</v>
      </c>
      <c r="Q143" s="302"/>
      <c r="R143" s="302"/>
      <c r="S143" s="302"/>
      <c r="T143" s="302"/>
      <c r="U143" s="302"/>
      <c r="V143" s="9" t="s">
        <v>15</v>
      </c>
      <c r="W143" s="10"/>
      <c r="X143" s="10"/>
      <c r="Y143" s="10"/>
      <c r="Z143" s="302">
        <f>Z2</f>
        <v>0</v>
      </c>
      <c r="AA143" s="302"/>
      <c r="AB143" s="302"/>
      <c r="AC143" s="302"/>
      <c r="AD143" s="302"/>
      <c r="AE143" s="302"/>
      <c r="AZ143" s="7" t="s">
        <v>16</v>
      </c>
      <c r="BA143" s="7">
        <v>4</v>
      </c>
      <c r="BB143" s="8"/>
      <c r="BC143" s="113"/>
      <c r="BD143" s="11"/>
      <c r="BE143" s="11"/>
      <c r="BF143" s="11"/>
      <c r="BG143" s="11"/>
      <c r="BH143" s="11"/>
    </row>
    <row r="144" spans="1:60" x14ac:dyDescent="0.25">
      <c r="A144" s="11"/>
      <c r="B144" s="11"/>
      <c r="C144" s="303"/>
      <c r="D144" s="303"/>
      <c r="E144" s="303"/>
      <c r="F144" s="303"/>
      <c r="G144" s="303"/>
      <c r="H144" s="303"/>
      <c r="I144" s="303"/>
      <c r="J144" s="303"/>
      <c r="N144" s="9"/>
      <c r="V144" s="9"/>
      <c r="BB144" s="8"/>
      <c r="BC144" s="113"/>
      <c r="BD144" s="11"/>
      <c r="BE144" s="11"/>
      <c r="BF144" s="11"/>
      <c r="BG144" s="11"/>
      <c r="BH144" s="11"/>
    </row>
    <row r="145" spans="1:60" s="12" customFormat="1" ht="18.75" x14ac:dyDescent="0.3">
      <c r="A145" s="26"/>
      <c r="B145" s="26"/>
      <c r="E145" s="13">
        <v>25</v>
      </c>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D145" s="13">
        <v>26</v>
      </c>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5"/>
      <c r="BC145" s="114"/>
      <c r="BD145" s="313" t="s">
        <v>59</v>
      </c>
      <c r="BE145" s="313"/>
      <c r="BF145" s="313"/>
      <c r="BG145" s="313"/>
      <c r="BH145" s="313"/>
    </row>
    <row r="146" spans="1:60" s="24" customFormat="1" x14ac:dyDescent="0.25">
      <c r="A146" s="11"/>
      <c r="B146" s="11"/>
      <c r="C146" s="22"/>
      <c r="D146" s="22"/>
      <c r="E146" s="36">
        <v>0</v>
      </c>
      <c r="F146" s="36">
        <v>1</v>
      </c>
      <c r="G146" s="36">
        <v>2</v>
      </c>
      <c r="H146" s="36">
        <v>3</v>
      </c>
      <c r="I146" s="36">
        <v>4</v>
      </c>
      <c r="J146" s="36">
        <v>5</v>
      </c>
      <c r="K146" s="36">
        <v>6</v>
      </c>
      <c r="L146" s="36">
        <v>7</v>
      </c>
      <c r="M146" s="36">
        <v>8</v>
      </c>
      <c r="N146" s="36">
        <v>9</v>
      </c>
      <c r="O146" s="36">
        <v>10</v>
      </c>
      <c r="P146" s="36">
        <v>11</v>
      </c>
      <c r="Q146" s="36">
        <v>12</v>
      </c>
      <c r="R146" s="36">
        <v>13</v>
      </c>
      <c r="S146" s="36">
        <v>14</v>
      </c>
      <c r="T146" s="36">
        <v>15</v>
      </c>
      <c r="U146" s="36">
        <v>16</v>
      </c>
      <c r="V146" s="36">
        <v>17</v>
      </c>
      <c r="W146" s="36">
        <v>18</v>
      </c>
      <c r="X146" s="36">
        <v>19</v>
      </c>
      <c r="Y146" s="36">
        <v>20</v>
      </c>
      <c r="Z146" s="36">
        <v>21</v>
      </c>
      <c r="AA146" s="36">
        <v>22</v>
      </c>
      <c r="AB146" s="36">
        <v>23</v>
      </c>
      <c r="AC146" s="22"/>
      <c r="AD146" s="36">
        <v>0</v>
      </c>
      <c r="AE146" s="36">
        <v>1</v>
      </c>
      <c r="AF146" s="36">
        <v>2</v>
      </c>
      <c r="AG146" s="36">
        <v>3</v>
      </c>
      <c r="AH146" s="36">
        <v>4</v>
      </c>
      <c r="AI146" s="36">
        <v>5</v>
      </c>
      <c r="AJ146" s="36">
        <v>6</v>
      </c>
      <c r="AK146" s="36">
        <v>7</v>
      </c>
      <c r="AL146" s="36">
        <v>8</v>
      </c>
      <c r="AM146" s="36">
        <v>9</v>
      </c>
      <c r="AN146" s="36">
        <v>10</v>
      </c>
      <c r="AO146" s="36">
        <v>11</v>
      </c>
      <c r="AP146" s="36">
        <v>12</v>
      </c>
      <c r="AQ146" s="36">
        <v>13</v>
      </c>
      <c r="AR146" s="36">
        <v>14</v>
      </c>
      <c r="AS146" s="36">
        <v>15</v>
      </c>
      <c r="AT146" s="36">
        <v>16</v>
      </c>
      <c r="AU146" s="36">
        <v>17</v>
      </c>
      <c r="AV146" s="36">
        <v>18</v>
      </c>
      <c r="AW146" s="36">
        <v>19</v>
      </c>
      <c r="AX146" s="36">
        <v>20</v>
      </c>
      <c r="AY146" s="36">
        <v>21</v>
      </c>
      <c r="AZ146" s="36">
        <v>22</v>
      </c>
      <c r="BA146" s="36">
        <v>23</v>
      </c>
      <c r="BB146" s="23"/>
      <c r="BC146" s="25"/>
      <c r="BD146" s="314" t="s">
        <v>60</v>
      </c>
      <c r="BE146" s="314"/>
      <c r="BF146" s="314"/>
      <c r="BG146" s="314"/>
      <c r="BH146" s="314"/>
    </row>
    <row r="147" spans="1:60" s="24" customFormat="1" ht="15" customHeight="1" x14ac:dyDescent="0.25">
      <c r="A147" s="11"/>
      <c r="B147" s="11"/>
      <c r="C147" s="22"/>
      <c r="D147" s="22"/>
      <c r="E147" s="37" t="s">
        <v>17</v>
      </c>
      <c r="F147" s="37" t="s">
        <v>18</v>
      </c>
      <c r="G147" s="37" t="s">
        <v>19</v>
      </c>
      <c r="H147" s="37" t="s">
        <v>20</v>
      </c>
      <c r="I147" s="37" t="s">
        <v>21</v>
      </c>
      <c r="J147" s="37" t="s">
        <v>22</v>
      </c>
      <c r="K147" s="37" t="s">
        <v>23</v>
      </c>
      <c r="L147" s="37" t="s">
        <v>24</v>
      </c>
      <c r="M147" s="37" t="s">
        <v>25</v>
      </c>
      <c r="N147" s="37" t="s">
        <v>26</v>
      </c>
      <c r="O147" s="37" t="s">
        <v>27</v>
      </c>
      <c r="P147" s="37" t="s">
        <v>28</v>
      </c>
      <c r="Q147" s="37" t="s">
        <v>29</v>
      </c>
      <c r="R147" s="37" t="s">
        <v>30</v>
      </c>
      <c r="S147" s="37" t="s">
        <v>31</v>
      </c>
      <c r="T147" s="37" t="s">
        <v>32</v>
      </c>
      <c r="U147" s="37" t="s">
        <v>33</v>
      </c>
      <c r="V147" s="37" t="s">
        <v>34</v>
      </c>
      <c r="W147" s="37" t="s">
        <v>35</v>
      </c>
      <c r="X147" s="37" t="s">
        <v>36</v>
      </c>
      <c r="Y147" s="37" t="s">
        <v>37</v>
      </c>
      <c r="Z147" s="37" t="s">
        <v>38</v>
      </c>
      <c r="AA147" s="37" t="s">
        <v>39</v>
      </c>
      <c r="AB147" s="37" t="s">
        <v>40</v>
      </c>
      <c r="AC147" s="22"/>
      <c r="AD147" s="37" t="s">
        <v>17</v>
      </c>
      <c r="AE147" s="37" t="s">
        <v>18</v>
      </c>
      <c r="AF147" s="37" t="s">
        <v>19</v>
      </c>
      <c r="AG147" s="37" t="s">
        <v>20</v>
      </c>
      <c r="AH147" s="37" t="s">
        <v>21</v>
      </c>
      <c r="AI147" s="37" t="s">
        <v>22</v>
      </c>
      <c r="AJ147" s="37" t="s">
        <v>23</v>
      </c>
      <c r="AK147" s="37" t="s">
        <v>24</v>
      </c>
      <c r="AL147" s="37" t="s">
        <v>25</v>
      </c>
      <c r="AM147" s="37" t="s">
        <v>26</v>
      </c>
      <c r="AN147" s="37" t="s">
        <v>27</v>
      </c>
      <c r="AO147" s="37" t="s">
        <v>28</v>
      </c>
      <c r="AP147" s="37" t="s">
        <v>29</v>
      </c>
      <c r="AQ147" s="37" t="s">
        <v>30</v>
      </c>
      <c r="AR147" s="37" t="s">
        <v>31</v>
      </c>
      <c r="AS147" s="37" t="s">
        <v>32</v>
      </c>
      <c r="AT147" s="37" t="s">
        <v>33</v>
      </c>
      <c r="AU147" s="37" t="s">
        <v>34</v>
      </c>
      <c r="AV147" s="37" t="s">
        <v>35</v>
      </c>
      <c r="AW147" s="37" t="s">
        <v>36</v>
      </c>
      <c r="AX147" s="37" t="s">
        <v>37</v>
      </c>
      <c r="AY147" s="37" t="s">
        <v>38</v>
      </c>
      <c r="AZ147" s="37" t="s">
        <v>39</v>
      </c>
      <c r="BA147" s="37" t="s">
        <v>40</v>
      </c>
      <c r="BB147" s="23"/>
      <c r="BC147" s="109"/>
      <c r="BD147" s="305" t="s">
        <v>61</v>
      </c>
      <c r="BE147" s="305"/>
      <c r="BF147" s="305"/>
      <c r="BG147" s="305"/>
      <c r="BH147" s="305"/>
    </row>
    <row r="148" spans="1:60" x14ac:dyDescent="0.25">
      <c r="A148" s="11"/>
      <c r="B148" s="11"/>
      <c r="C148" s="20" t="s">
        <v>41</v>
      </c>
      <c r="E148" s="122"/>
      <c r="F148" s="122"/>
      <c r="G148" s="122"/>
      <c r="H148" s="122"/>
      <c r="I148" s="122"/>
      <c r="J148" s="122"/>
      <c r="K148" s="122"/>
      <c r="L148" s="122"/>
      <c r="M148" s="122"/>
      <c r="N148" s="122"/>
      <c r="O148" s="122"/>
      <c r="P148" s="122"/>
      <c r="Q148" s="122"/>
      <c r="R148" s="122"/>
      <c r="S148" s="122"/>
      <c r="T148" s="122"/>
      <c r="U148" s="122"/>
      <c r="V148" s="122"/>
      <c r="W148" s="122"/>
      <c r="X148" s="122"/>
      <c r="Y148" s="122"/>
      <c r="Z148" s="122"/>
      <c r="AA148" s="122"/>
      <c r="AB148" s="122"/>
      <c r="AC148" s="38"/>
      <c r="AD148" s="122"/>
      <c r="AE148" s="122"/>
      <c r="AF148" s="122"/>
      <c r="AG148" s="122"/>
      <c r="AH148" s="122"/>
      <c r="AI148" s="122"/>
      <c r="AJ148" s="122"/>
      <c r="AK148" s="122"/>
      <c r="AL148" s="122"/>
      <c r="AM148" s="122"/>
      <c r="AN148" s="122"/>
      <c r="AO148" s="122"/>
      <c r="AP148" s="122"/>
      <c r="AQ148" s="122"/>
      <c r="AR148" s="122"/>
      <c r="AS148" s="122"/>
      <c r="AT148" s="122"/>
      <c r="AU148" s="122"/>
      <c r="AV148" s="122"/>
      <c r="AW148" s="122"/>
      <c r="AX148" s="122"/>
      <c r="AY148" s="122"/>
      <c r="AZ148" s="122"/>
      <c r="BA148" s="122"/>
      <c r="BB148" s="8"/>
      <c r="BC148" s="110"/>
      <c r="BD148" s="305" t="s">
        <v>62</v>
      </c>
      <c r="BE148" s="305"/>
      <c r="BF148" s="305"/>
      <c r="BG148" s="305"/>
      <c r="BH148" s="305"/>
    </row>
    <row r="149" spans="1:60" x14ac:dyDescent="0.25">
      <c r="A149" s="11"/>
      <c r="B149" s="11"/>
      <c r="C149" s="20" t="s">
        <v>42</v>
      </c>
      <c r="E149" s="122"/>
      <c r="F149" s="122"/>
      <c r="G149" s="122"/>
      <c r="H149" s="122"/>
      <c r="I149" s="122"/>
      <c r="J149" s="122"/>
      <c r="K149" s="122"/>
      <c r="L149" s="122"/>
      <c r="M149" s="122"/>
      <c r="N149" s="122"/>
      <c r="O149" s="122"/>
      <c r="P149" s="122"/>
      <c r="Q149" s="122"/>
      <c r="R149" s="122"/>
      <c r="S149" s="122"/>
      <c r="T149" s="122"/>
      <c r="U149" s="122"/>
      <c r="V149" s="122"/>
      <c r="W149" s="122"/>
      <c r="X149" s="122"/>
      <c r="Y149" s="122"/>
      <c r="Z149" s="122"/>
      <c r="AA149" s="122"/>
      <c r="AB149" s="122"/>
      <c r="AC149" s="38"/>
      <c r="AD149" s="122"/>
      <c r="AE149" s="122"/>
      <c r="AF149" s="122"/>
      <c r="AG149" s="122"/>
      <c r="AH149" s="122"/>
      <c r="AI149" s="122"/>
      <c r="AJ149" s="122"/>
      <c r="AK149" s="122"/>
      <c r="AL149" s="122"/>
      <c r="AM149" s="122"/>
      <c r="AN149" s="122"/>
      <c r="AO149" s="122"/>
      <c r="AP149" s="122"/>
      <c r="AQ149" s="122"/>
      <c r="AR149" s="122"/>
      <c r="AS149" s="122"/>
      <c r="AT149" s="122"/>
      <c r="AU149" s="122"/>
      <c r="AV149" s="122"/>
      <c r="AW149" s="122"/>
      <c r="AX149" s="122"/>
      <c r="AY149" s="122"/>
      <c r="AZ149" s="122"/>
      <c r="BA149" s="122"/>
      <c r="BB149" s="8"/>
      <c r="BC149" s="111"/>
      <c r="BD149" s="306" t="s">
        <v>120</v>
      </c>
      <c r="BE149" s="307"/>
      <c r="BF149" s="307"/>
      <c r="BG149" s="307"/>
      <c r="BH149" s="308"/>
    </row>
    <row r="150" spans="1:60" x14ac:dyDescent="0.25">
      <c r="A150" s="11"/>
      <c r="B150" s="11"/>
      <c r="C150" s="20" t="s">
        <v>43</v>
      </c>
      <c r="E150" s="122"/>
      <c r="F150" s="122"/>
      <c r="G150" s="122"/>
      <c r="H150" s="122"/>
      <c r="I150" s="122"/>
      <c r="J150" s="122"/>
      <c r="K150" s="122"/>
      <c r="L150" s="122"/>
      <c r="M150" s="122"/>
      <c r="N150" s="122"/>
      <c r="O150" s="122"/>
      <c r="P150" s="122"/>
      <c r="Q150" s="122"/>
      <c r="R150" s="122"/>
      <c r="S150" s="122"/>
      <c r="T150" s="122"/>
      <c r="U150" s="122"/>
      <c r="V150" s="122"/>
      <c r="W150" s="122"/>
      <c r="X150" s="122"/>
      <c r="Y150" s="122"/>
      <c r="Z150" s="122"/>
      <c r="AA150" s="122"/>
      <c r="AB150" s="122"/>
      <c r="AC150" s="38"/>
      <c r="AD150" s="122"/>
      <c r="AE150" s="122"/>
      <c r="AF150" s="122"/>
      <c r="AG150" s="122"/>
      <c r="AH150" s="122"/>
      <c r="AI150" s="122"/>
      <c r="AJ150" s="122"/>
      <c r="AK150" s="122"/>
      <c r="AL150" s="122"/>
      <c r="AM150" s="122"/>
      <c r="AN150" s="122"/>
      <c r="AO150" s="122"/>
      <c r="AP150" s="122"/>
      <c r="AQ150" s="122"/>
      <c r="AR150" s="122"/>
      <c r="AS150" s="122"/>
      <c r="AT150" s="122"/>
      <c r="AU150" s="122"/>
      <c r="AV150" s="122"/>
      <c r="AW150" s="122"/>
      <c r="AX150" s="122"/>
      <c r="AY150" s="122"/>
      <c r="AZ150" s="122"/>
      <c r="BA150" s="122"/>
      <c r="BB150" s="8"/>
      <c r="BC150" s="115"/>
      <c r="BD150" s="305" t="s">
        <v>63</v>
      </c>
      <c r="BE150" s="305"/>
      <c r="BF150" s="305"/>
      <c r="BG150" s="305"/>
      <c r="BH150" s="305"/>
    </row>
    <row r="151" spans="1:60" x14ac:dyDescent="0.25">
      <c r="A151" s="11"/>
      <c r="B151" s="11"/>
      <c r="C151" s="20" t="s">
        <v>44</v>
      </c>
      <c r="E151" s="122"/>
      <c r="F151" s="122"/>
      <c r="G151" s="122"/>
      <c r="H151" s="122"/>
      <c r="I151" s="122"/>
      <c r="J151" s="122"/>
      <c r="K151" s="122"/>
      <c r="L151" s="122"/>
      <c r="M151" s="122"/>
      <c r="N151" s="122"/>
      <c r="O151" s="122"/>
      <c r="P151" s="122"/>
      <c r="Q151" s="122"/>
      <c r="R151" s="122"/>
      <c r="S151" s="122"/>
      <c r="T151" s="122"/>
      <c r="U151" s="122"/>
      <c r="V151" s="122"/>
      <c r="W151" s="122"/>
      <c r="X151" s="122"/>
      <c r="Y151" s="122"/>
      <c r="Z151" s="122"/>
      <c r="AA151" s="122"/>
      <c r="AB151" s="122"/>
      <c r="AC151" s="38"/>
      <c r="AD151" s="122"/>
      <c r="AE151" s="122"/>
      <c r="AF151" s="122"/>
      <c r="AG151" s="122"/>
      <c r="AH151" s="122"/>
      <c r="AI151" s="122"/>
      <c r="AJ151" s="122"/>
      <c r="AK151" s="122"/>
      <c r="AL151" s="122"/>
      <c r="AM151" s="122"/>
      <c r="AN151" s="122"/>
      <c r="AO151" s="122"/>
      <c r="AP151" s="122"/>
      <c r="AQ151" s="122"/>
      <c r="AR151" s="122"/>
      <c r="AS151" s="122"/>
      <c r="AT151" s="122"/>
      <c r="AU151" s="122"/>
      <c r="AV151" s="122"/>
      <c r="AW151" s="122"/>
      <c r="AX151" s="122"/>
      <c r="AY151" s="122"/>
      <c r="AZ151" s="122"/>
      <c r="BA151" s="122"/>
      <c r="BB151" s="8"/>
      <c r="BC151" s="112"/>
      <c r="BD151" s="305" t="s">
        <v>64</v>
      </c>
      <c r="BE151" s="305"/>
      <c r="BF151" s="305"/>
      <c r="BG151" s="305"/>
      <c r="BH151" s="305"/>
    </row>
    <row r="152" spans="1:60" x14ac:dyDescent="0.25">
      <c r="A152" s="11"/>
      <c r="B152" s="11"/>
      <c r="C152" s="20" t="s">
        <v>45</v>
      </c>
      <c r="E152" s="122"/>
      <c r="F152" s="122"/>
      <c r="G152" s="122"/>
      <c r="H152" s="122"/>
      <c r="I152" s="122"/>
      <c r="J152" s="122"/>
      <c r="K152" s="122"/>
      <c r="L152" s="122"/>
      <c r="M152" s="122"/>
      <c r="N152" s="122"/>
      <c r="O152" s="122"/>
      <c r="P152" s="122"/>
      <c r="Q152" s="122"/>
      <c r="R152" s="122"/>
      <c r="S152" s="122"/>
      <c r="T152" s="122"/>
      <c r="U152" s="122"/>
      <c r="V152" s="122"/>
      <c r="W152" s="122"/>
      <c r="X152" s="122"/>
      <c r="Y152" s="122"/>
      <c r="Z152" s="122"/>
      <c r="AA152" s="122"/>
      <c r="AB152" s="122"/>
      <c r="AC152" s="38"/>
      <c r="AD152" s="122"/>
      <c r="AE152" s="122"/>
      <c r="AF152" s="122"/>
      <c r="AG152" s="122"/>
      <c r="AH152" s="122"/>
      <c r="AI152" s="122"/>
      <c r="AJ152" s="122"/>
      <c r="AK152" s="122"/>
      <c r="AL152" s="122"/>
      <c r="AM152" s="122"/>
      <c r="AN152" s="122"/>
      <c r="AO152" s="122"/>
      <c r="AP152" s="122"/>
      <c r="AQ152" s="122"/>
      <c r="AR152" s="122"/>
      <c r="AS152" s="122"/>
      <c r="AT152" s="122"/>
      <c r="AU152" s="122"/>
      <c r="AV152" s="122"/>
      <c r="AW152" s="122"/>
      <c r="AX152" s="122"/>
      <c r="AY152" s="122"/>
      <c r="AZ152" s="122"/>
      <c r="BA152" s="122"/>
      <c r="BB152" s="8"/>
      <c r="BC152" s="116"/>
      <c r="BD152" s="301" t="s">
        <v>81</v>
      </c>
      <c r="BE152" s="301"/>
      <c r="BF152" s="301"/>
      <c r="BG152" s="301"/>
      <c r="BH152" s="301"/>
    </row>
    <row r="153" spans="1:60" x14ac:dyDescent="0.25">
      <c r="A153" s="11"/>
      <c r="B153" s="11"/>
      <c r="C153" s="20" t="s">
        <v>46</v>
      </c>
      <c r="E153" s="122"/>
      <c r="F153" s="122"/>
      <c r="G153" s="122"/>
      <c r="H153" s="122"/>
      <c r="I153" s="122"/>
      <c r="J153" s="122"/>
      <c r="K153" s="122"/>
      <c r="L153" s="122"/>
      <c r="M153" s="122"/>
      <c r="N153" s="122"/>
      <c r="O153" s="122"/>
      <c r="P153" s="122"/>
      <c r="Q153" s="122"/>
      <c r="R153" s="122"/>
      <c r="S153" s="122"/>
      <c r="T153" s="122"/>
      <c r="U153" s="122"/>
      <c r="V153" s="122"/>
      <c r="W153" s="122"/>
      <c r="X153" s="122"/>
      <c r="Y153" s="122"/>
      <c r="Z153" s="122"/>
      <c r="AA153" s="122"/>
      <c r="AB153" s="122"/>
      <c r="AC153" s="40"/>
      <c r="AD153" s="122"/>
      <c r="AE153" s="122"/>
      <c r="AF153" s="122"/>
      <c r="AG153" s="122"/>
      <c r="AH153" s="122"/>
      <c r="AI153" s="122"/>
      <c r="AJ153" s="122"/>
      <c r="AK153" s="122"/>
      <c r="AL153" s="122"/>
      <c r="AM153" s="122"/>
      <c r="AN153" s="122"/>
      <c r="AO153" s="122"/>
      <c r="AP153" s="122"/>
      <c r="AQ153" s="122"/>
      <c r="AR153" s="122"/>
      <c r="AS153" s="122"/>
      <c r="AT153" s="122"/>
      <c r="AU153" s="122"/>
      <c r="AV153" s="122"/>
      <c r="AW153" s="122"/>
      <c r="AX153" s="122"/>
      <c r="AY153" s="122"/>
      <c r="AZ153" s="122"/>
      <c r="BA153" s="122"/>
      <c r="BB153" s="8"/>
      <c r="BC153" s="93" t="s">
        <v>77</v>
      </c>
      <c r="BD153" s="301" t="s">
        <v>76</v>
      </c>
      <c r="BE153" s="301"/>
      <c r="BF153" s="301"/>
      <c r="BG153" s="301"/>
      <c r="BH153" s="301"/>
    </row>
    <row r="154" spans="1:60" ht="69.95" customHeight="1" x14ac:dyDescent="0.25">
      <c r="A154" s="11"/>
      <c r="B154" s="11"/>
      <c r="C154" s="21" t="s">
        <v>65</v>
      </c>
      <c r="E154" s="304"/>
      <c r="F154" s="304"/>
      <c r="G154" s="304"/>
      <c r="H154" s="304"/>
      <c r="I154" s="304"/>
      <c r="J154" s="304"/>
      <c r="K154" s="304"/>
      <c r="L154" s="304"/>
      <c r="M154" s="304"/>
      <c r="N154" s="304"/>
      <c r="O154" s="304"/>
      <c r="P154" s="304"/>
      <c r="Q154" s="304"/>
      <c r="R154" s="304"/>
      <c r="S154" s="304"/>
      <c r="T154" s="304"/>
      <c r="U154" s="304"/>
      <c r="V154" s="304"/>
      <c r="W154" s="304"/>
      <c r="X154" s="304"/>
      <c r="Y154" s="304"/>
      <c r="Z154" s="304"/>
      <c r="AA154" s="304"/>
      <c r="AB154" s="304"/>
      <c r="AC154" s="29"/>
      <c r="AD154" s="304"/>
      <c r="AE154" s="304"/>
      <c r="AF154" s="304"/>
      <c r="AG154" s="304"/>
      <c r="AH154" s="304"/>
      <c r="AI154" s="304"/>
      <c r="AJ154" s="304"/>
      <c r="AK154" s="304"/>
      <c r="AL154" s="304"/>
      <c r="AM154" s="304"/>
      <c r="AN154" s="304"/>
      <c r="AO154" s="304"/>
      <c r="AP154" s="304"/>
      <c r="AQ154" s="304"/>
      <c r="AR154" s="304"/>
      <c r="AS154" s="304"/>
      <c r="AT154" s="304"/>
      <c r="AU154" s="304"/>
      <c r="AV154" s="304"/>
      <c r="AW154" s="304"/>
      <c r="AX154" s="304"/>
      <c r="AY154" s="304"/>
      <c r="AZ154" s="304"/>
      <c r="BA154" s="304"/>
      <c r="BB154" s="8"/>
      <c r="BC154" s="117" t="s">
        <v>82</v>
      </c>
      <c r="BD154" s="301" t="s">
        <v>83</v>
      </c>
      <c r="BE154" s="301"/>
      <c r="BF154" s="301"/>
      <c r="BG154" s="301"/>
      <c r="BH154" s="301"/>
    </row>
    <row r="155" spans="1:60" ht="43.5" customHeight="1" x14ac:dyDescent="0.25">
      <c r="A155" s="11"/>
      <c r="B155" s="11"/>
      <c r="C155" s="21" t="s">
        <v>47</v>
      </c>
      <c r="E155" s="309"/>
      <c r="F155" s="310"/>
      <c r="G155" s="310"/>
      <c r="H155" s="310"/>
      <c r="I155" s="310"/>
      <c r="J155" s="310"/>
      <c r="K155" s="310"/>
      <c r="L155" s="310"/>
      <c r="M155" s="310"/>
      <c r="N155" s="310"/>
      <c r="O155" s="310"/>
      <c r="P155" s="311"/>
      <c r="Q155" s="312"/>
      <c r="R155" s="310"/>
      <c r="S155" s="310"/>
      <c r="T155" s="310"/>
      <c r="U155" s="310"/>
      <c r="V155" s="310"/>
      <c r="W155" s="310"/>
      <c r="X155" s="310"/>
      <c r="Y155" s="310"/>
      <c r="Z155" s="310"/>
      <c r="AA155" s="310"/>
      <c r="AB155" s="310"/>
      <c r="AC155" s="29"/>
      <c r="AD155" s="309"/>
      <c r="AE155" s="310"/>
      <c r="AF155" s="310"/>
      <c r="AG155" s="310"/>
      <c r="AH155" s="310"/>
      <c r="AI155" s="310"/>
      <c r="AJ155" s="310"/>
      <c r="AK155" s="310"/>
      <c r="AL155" s="310"/>
      <c r="AM155" s="310"/>
      <c r="AN155" s="310"/>
      <c r="AO155" s="311"/>
      <c r="AP155" s="312"/>
      <c r="AQ155" s="310"/>
      <c r="AR155" s="310"/>
      <c r="AS155" s="310"/>
      <c r="AT155" s="310"/>
      <c r="AU155" s="310"/>
      <c r="AV155" s="310"/>
      <c r="AW155" s="310"/>
      <c r="AX155" s="310"/>
      <c r="AY155" s="310"/>
      <c r="AZ155" s="310"/>
      <c r="BA155" s="310"/>
      <c r="BB155" s="8"/>
      <c r="BC155" s="118"/>
      <c r="BD155" s="306" t="s">
        <v>119</v>
      </c>
      <c r="BE155" s="307"/>
      <c r="BF155" s="307"/>
      <c r="BG155" s="307"/>
      <c r="BH155" s="308"/>
    </row>
    <row r="156" spans="1:60" s="12" customFormat="1" ht="18.75" x14ac:dyDescent="0.3">
      <c r="A156" s="26"/>
      <c r="B156" s="26"/>
      <c r="E156" s="13">
        <v>27</v>
      </c>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D156" s="13">
        <v>28</v>
      </c>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5"/>
      <c r="BC156" s="119"/>
      <c r="BD156" s="301" t="s">
        <v>121</v>
      </c>
      <c r="BE156" s="301"/>
      <c r="BF156" s="301"/>
      <c r="BG156" s="301"/>
      <c r="BH156" s="301"/>
    </row>
    <row r="157" spans="1:60" s="24" customFormat="1" x14ac:dyDescent="0.25">
      <c r="A157" s="11"/>
      <c r="B157" s="11"/>
      <c r="C157" s="22"/>
      <c r="D157" s="22"/>
      <c r="E157" s="36">
        <v>0</v>
      </c>
      <c r="F157" s="36">
        <v>1</v>
      </c>
      <c r="G157" s="36">
        <v>2</v>
      </c>
      <c r="H157" s="36">
        <v>3</v>
      </c>
      <c r="I157" s="36">
        <v>4</v>
      </c>
      <c r="J157" s="36">
        <v>5</v>
      </c>
      <c r="K157" s="36">
        <v>6</v>
      </c>
      <c r="L157" s="36">
        <v>7</v>
      </c>
      <c r="M157" s="36">
        <v>8</v>
      </c>
      <c r="N157" s="36">
        <v>9</v>
      </c>
      <c r="O157" s="36">
        <v>10</v>
      </c>
      <c r="P157" s="36">
        <v>11</v>
      </c>
      <c r="Q157" s="36">
        <v>12</v>
      </c>
      <c r="R157" s="36">
        <v>13</v>
      </c>
      <c r="S157" s="36">
        <v>14</v>
      </c>
      <c r="T157" s="36">
        <v>15</v>
      </c>
      <c r="U157" s="36">
        <v>16</v>
      </c>
      <c r="V157" s="36">
        <v>17</v>
      </c>
      <c r="W157" s="36">
        <v>18</v>
      </c>
      <c r="X157" s="36">
        <v>19</v>
      </c>
      <c r="Y157" s="36">
        <v>20</v>
      </c>
      <c r="Z157" s="36">
        <v>21</v>
      </c>
      <c r="AA157" s="36">
        <v>22</v>
      </c>
      <c r="AB157" s="36">
        <v>23</v>
      </c>
      <c r="AC157" s="22"/>
      <c r="AD157" s="36">
        <v>0</v>
      </c>
      <c r="AE157" s="36">
        <v>1</v>
      </c>
      <c r="AF157" s="36">
        <v>2</v>
      </c>
      <c r="AG157" s="36">
        <v>3</v>
      </c>
      <c r="AH157" s="36">
        <v>4</v>
      </c>
      <c r="AI157" s="36">
        <v>5</v>
      </c>
      <c r="AJ157" s="36">
        <v>6</v>
      </c>
      <c r="AK157" s="36">
        <v>7</v>
      </c>
      <c r="AL157" s="36">
        <v>8</v>
      </c>
      <c r="AM157" s="36">
        <v>9</v>
      </c>
      <c r="AN157" s="36">
        <v>10</v>
      </c>
      <c r="AO157" s="36">
        <v>11</v>
      </c>
      <c r="AP157" s="36">
        <v>12</v>
      </c>
      <c r="AQ157" s="36">
        <v>13</v>
      </c>
      <c r="AR157" s="36">
        <v>14</v>
      </c>
      <c r="AS157" s="36">
        <v>15</v>
      </c>
      <c r="AT157" s="36">
        <v>16</v>
      </c>
      <c r="AU157" s="36">
        <v>17</v>
      </c>
      <c r="AV157" s="36">
        <v>18</v>
      </c>
      <c r="AW157" s="36">
        <v>19</v>
      </c>
      <c r="AX157" s="36">
        <v>20</v>
      </c>
      <c r="AY157" s="36">
        <v>21</v>
      </c>
      <c r="AZ157" s="36">
        <v>22</v>
      </c>
      <c r="BA157" s="36">
        <v>23</v>
      </c>
      <c r="BC157" s="117" t="s">
        <v>123</v>
      </c>
      <c r="BD157" s="301" t="s">
        <v>124</v>
      </c>
      <c r="BE157" s="301"/>
      <c r="BF157" s="301"/>
      <c r="BG157" s="301"/>
      <c r="BH157" s="301"/>
    </row>
    <row r="158" spans="1:60" s="24" customFormat="1" ht="15" customHeight="1" x14ac:dyDescent="0.25">
      <c r="A158" s="11"/>
      <c r="B158" s="11"/>
      <c r="C158" s="22"/>
      <c r="D158" s="22"/>
      <c r="E158" s="37" t="s">
        <v>17</v>
      </c>
      <c r="F158" s="37" t="s">
        <v>18</v>
      </c>
      <c r="G158" s="37" t="s">
        <v>19</v>
      </c>
      <c r="H158" s="37" t="s">
        <v>20</v>
      </c>
      <c r="I158" s="37" t="s">
        <v>21</v>
      </c>
      <c r="J158" s="37" t="s">
        <v>22</v>
      </c>
      <c r="K158" s="37" t="s">
        <v>23</v>
      </c>
      <c r="L158" s="37" t="s">
        <v>24</v>
      </c>
      <c r="M158" s="37" t="s">
        <v>25</v>
      </c>
      <c r="N158" s="37" t="s">
        <v>26</v>
      </c>
      <c r="O158" s="37" t="s">
        <v>27</v>
      </c>
      <c r="P158" s="37" t="s">
        <v>28</v>
      </c>
      <c r="Q158" s="37" t="s">
        <v>29</v>
      </c>
      <c r="R158" s="37" t="s">
        <v>30</v>
      </c>
      <c r="S158" s="37" t="s">
        <v>31</v>
      </c>
      <c r="T158" s="37" t="s">
        <v>32</v>
      </c>
      <c r="U158" s="37" t="s">
        <v>33</v>
      </c>
      <c r="V158" s="37" t="s">
        <v>34</v>
      </c>
      <c r="W158" s="37" t="s">
        <v>35</v>
      </c>
      <c r="X158" s="37" t="s">
        <v>36</v>
      </c>
      <c r="Y158" s="37" t="s">
        <v>37</v>
      </c>
      <c r="Z158" s="37" t="s">
        <v>38</v>
      </c>
      <c r="AA158" s="37" t="s">
        <v>39</v>
      </c>
      <c r="AB158" s="37" t="s">
        <v>40</v>
      </c>
      <c r="AC158" s="22"/>
      <c r="AD158" s="37" t="s">
        <v>17</v>
      </c>
      <c r="AE158" s="37" t="s">
        <v>18</v>
      </c>
      <c r="AF158" s="37" t="s">
        <v>19</v>
      </c>
      <c r="AG158" s="37" t="s">
        <v>20</v>
      </c>
      <c r="AH158" s="37" t="s">
        <v>21</v>
      </c>
      <c r="AI158" s="37" t="s">
        <v>22</v>
      </c>
      <c r="AJ158" s="37" t="s">
        <v>23</v>
      </c>
      <c r="AK158" s="37" t="s">
        <v>24</v>
      </c>
      <c r="AL158" s="37" t="s">
        <v>25</v>
      </c>
      <c r="AM158" s="37" t="s">
        <v>26</v>
      </c>
      <c r="AN158" s="37" t="s">
        <v>27</v>
      </c>
      <c r="AO158" s="37" t="s">
        <v>28</v>
      </c>
      <c r="AP158" s="37" t="s">
        <v>29</v>
      </c>
      <c r="AQ158" s="37" t="s">
        <v>30</v>
      </c>
      <c r="AR158" s="37" t="s">
        <v>31</v>
      </c>
      <c r="AS158" s="37" t="s">
        <v>32</v>
      </c>
      <c r="AT158" s="37" t="s">
        <v>33</v>
      </c>
      <c r="AU158" s="37" t="s">
        <v>34</v>
      </c>
      <c r="AV158" s="37" t="s">
        <v>35</v>
      </c>
      <c r="AW158" s="37" t="s">
        <v>36</v>
      </c>
      <c r="AX158" s="37" t="s">
        <v>37</v>
      </c>
      <c r="AY158" s="37" t="s">
        <v>38</v>
      </c>
      <c r="AZ158" s="37" t="s">
        <v>39</v>
      </c>
      <c r="BA158" s="37" t="s">
        <v>40</v>
      </c>
      <c r="BC158" s="120"/>
    </row>
    <row r="159" spans="1:60" x14ac:dyDescent="0.25">
      <c r="A159" s="11"/>
      <c r="B159" s="11"/>
      <c r="C159" s="20" t="s">
        <v>41</v>
      </c>
      <c r="E159" s="122"/>
      <c r="F159" s="122"/>
      <c r="G159" s="122"/>
      <c r="H159" s="122"/>
      <c r="I159" s="122"/>
      <c r="J159" s="122"/>
      <c r="K159" s="122"/>
      <c r="L159" s="122"/>
      <c r="M159" s="122"/>
      <c r="N159" s="122"/>
      <c r="O159" s="122"/>
      <c r="P159" s="122"/>
      <c r="Q159" s="122"/>
      <c r="R159" s="122"/>
      <c r="S159" s="122"/>
      <c r="T159" s="122"/>
      <c r="U159" s="122"/>
      <c r="V159" s="122"/>
      <c r="W159" s="122"/>
      <c r="X159" s="122"/>
      <c r="Y159" s="122"/>
      <c r="Z159" s="122"/>
      <c r="AA159" s="122"/>
      <c r="AB159" s="122"/>
      <c r="AC159" s="38"/>
      <c r="AD159" s="122"/>
      <c r="AE159" s="122"/>
      <c r="AF159" s="122"/>
      <c r="AG159" s="122"/>
      <c r="AH159" s="122"/>
      <c r="AI159" s="122"/>
      <c r="AJ159" s="122"/>
      <c r="AK159" s="122"/>
      <c r="AL159" s="122"/>
      <c r="AM159" s="122"/>
      <c r="AN159" s="122"/>
      <c r="AO159" s="122"/>
      <c r="AP159" s="122"/>
      <c r="AQ159" s="122"/>
      <c r="AR159" s="122"/>
      <c r="AS159" s="122"/>
      <c r="AT159" s="122"/>
      <c r="AU159" s="122"/>
      <c r="AV159" s="122"/>
      <c r="AW159" s="122"/>
      <c r="AX159" s="122"/>
      <c r="AY159" s="122"/>
      <c r="AZ159" s="122"/>
      <c r="BA159" s="122"/>
      <c r="BC159" s="59"/>
      <c r="BD159" s="7"/>
      <c r="BE159" s="7"/>
      <c r="BF159" s="7"/>
      <c r="BG159" s="7"/>
      <c r="BH159" s="7"/>
    </row>
    <row r="160" spans="1:60" x14ac:dyDescent="0.25">
      <c r="A160" s="11"/>
      <c r="B160" s="11"/>
      <c r="C160" s="20" t="s">
        <v>42</v>
      </c>
      <c r="E160" s="122"/>
      <c r="F160" s="122"/>
      <c r="G160" s="122"/>
      <c r="H160" s="122"/>
      <c r="I160" s="122"/>
      <c r="J160" s="122"/>
      <c r="K160" s="122"/>
      <c r="L160" s="122"/>
      <c r="M160" s="122"/>
      <c r="N160" s="122"/>
      <c r="O160" s="122"/>
      <c r="P160" s="122"/>
      <c r="Q160" s="122"/>
      <c r="R160" s="122"/>
      <c r="S160" s="122"/>
      <c r="T160" s="122"/>
      <c r="U160" s="122"/>
      <c r="V160" s="122"/>
      <c r="W160" s="122"/>
      <c r="X160" s="122"/>
      <c r="Y160" s="122"/>
      <c r="Z160" s="122"/>
      <c r="AA160" s="122"/>
      <c r="AB160" s="122"/>
      <c r="AC160" s="38"/>
      <c r="AD160" s="122"/>
      <c r="AE160" s="122"/>
      <c r="AF160" s="122"/>
      <c r="AG160" s="122"/>
      <c r="AH160" s="122"/>
      <c r="AI160" s="122"/>
      <c r="AJ160" s="122"/>
      <c r="AK160" s="122"/>
      <c r="AL160" s="122"/>
      <c r="AM160" s="122"/>
      <c r="AN160" s="122"/>
      <c r="AO160" s="122"/>
      <c r="AP160" s="122"/>
      <c r="AQ160" s="122"/>
      <c r="AR160" s="122"/>
      <c r="AS160" s="122"/>
      <c r="AT160" s="122"/>
      <c r="AU160" s="122"/>
      <c r="AV160" s="122"/>
      <c r="AW160" s="122"/>
      <c r="AX160" s="122"/>
      <c r="AY160" s="122"/>
      <c r="AZ160" s="122"/>
      <c r="BA160" s="122"/>
      <c r="BC160" s="59"/>
      <c r="BD160" s="7"/>
      <c r="BE160" s="7"/>
      <c r="BF160" s="7"/>
      <c r="BG160" s="7"/>
      <c r="BH160" s="7"/>
    </row>
    <row r="161" spans="1:60" x14ac:dyDescent="0.25">
      <c r="A161" s="11"/>
      <c r="B161" s="11"/>
      <c r="C161" s="20" t="s">
        <v>43</v>
      </c>
      <c r="E161" s="122"/>
      <c r="F161" s="122"/>
      <c r="G161" s="122"/>
      <c r="H161" s="122"/>
      <c r="I161" s="122"/>
      <c r="J161" s="122"/>
      <c r="K161" s="122"/>
      <c r="L161" s="122"/>
      <c r="M161" s="122"/>
      <c r="N161" s="122"/>
      <c r="O161" s="122"/>
      <c r="P161" s="122"/>
      <c r="Q161" s="122"/>
      <c r="R161" s="122"/>
      <c r="S161" s="122"/>
      <c r="T161" s="122"/>
      <c r="U161" s="122"/>
      <c r="V161" s="122"/>
      <c r="W161" s="122"/>
      <c r="X161" s="122"/>
      <c r="Y161" s="122"/>
      <c r="Z161" s="122"/>
      <c r="AA161" s="122"/>
      <c r="AB161" s="122"/>
      <c r="AC161" s="38"/>
      <c r="AD161" s="122"/>
      <c r="AE161" s="122"/>
      <c r="AF161" s="122"/>
      <c r="AG161" s="122"/>
      <c r="AH161" s="122"/>
      <c r="AI161" s="122"/>
      <c r="AJ161" s="122"/>
      <c r="AK161" s="122"/>
      <c r="AL161" s="122"/>
      <c r="AM161" s="122"/>
      <c r="AN161" s="122"/>
      <c r="AO161" s="122"/>
      <c r="AP161" s="122"/>
      <c r="AQ161" s="122"/>
      <c r="AR161" s="122"/>
      <c r="AS161" s="122"/>
      <c r="AT161" s="122"/>
      <c r="AU161" s="122"/>
      <c r="AV161" s="122"/>
      <c r="AW161" s="122"/>
      <c r="AX161" s="122"/>
      <c r="AY161" s="122"/>
      <c r="AZ161" s="122"/>
      <c r="BA161" s="122"/>
      <c r="BC161" s="59"/>
      <c r="BD161" s="7"/>
      <c r="BE161" s="7"/>
      <c r="BF161" s="7"/>
      <c r="BG161" s="7"/>
      <c r="BH161" s="7"/>
    </row>
    <row r="162" spans="1:60" x14ac:dyDescent="0.25">
      <c r="A162" s="11"/>
      <c r="B162" s="11"/>
      <c r="C162" s="20" t="s">
        <v>44</v>
      </c>
      <c r="E162" s="122"/>
      <c r="F162" s="122"/>
      <c r="G162" s="122"/>
      <c r="H162" s="122"/>
      <c r="I162" s="122"/>
      <c r="J162" s="122"/>
      <c r="K162" s="122"/>
      <c r="L162" s="122"/>
      <c r="M162" s="122"/>
      <c r="N162" s="122"/>
      <c r="O162" s="122"/>
      <c r="P162" s="122"/>
      <c r="Q162" s="122"/>
      <c r="R162" s="122"/>
      <c r="S162" s="122"/>
      <c r="T162" s="122"/>
      <c r="U162" s="122"/>
      <c r="V162" s="122"/>
      <c r="W162" s="122"/>
      <c r="X162" s="122"/>
      <c r="Y162" s="122"/>
      <c r="Z162" s="122"/>
      <c r="AA162" s="122"/>
      <c r="AB162" s="122"/>
      <c r="AC162" s="38"/>
      <c r="AD162" s="122"/>
      <c r="AE162" s="122"/>
      <c r="AF162" s="122"/>
      <c r="AG162" s="122"/>
      <c r="AH162" s="122"/>
      <c r="AI162" s="122"/>
      <c r="AJ162" s="122"/>
      <c r="AK162" s="122"/>
      <c r="AL162" s="122"/>
      <c r="AM162" s="122"/>
      <c r="AN162" s="122"/>
      <c r="AO162" s="122"/>
      <c r="AP162" s="122"/>
      <c r="AQ162" s="122"/>
      <c r="AR162" s="122"/>
      <c r="AS162" s="122"/>
      <c r="AT162" s="122"/>
      <c r="AU162" s="122"/>
      <c r="AV162" s="122"/>
      <c r="AW162" s="122"/>
      <c r="AX162" s="122"/>
      <c r="AY162" s="122"/>
      <c r="AZ162" s="122"/>
      <c r="BA162" s="122"/>
      <c r="BC162" s="59"/>
      <c r="BD162" s="7"/>
      <c r="BE162" s="7"/>
      <c r="BF162" s="7"/>
      <c r="BG162" s="7"/>
      <c r="BH162" s="7"/>
    </row>
    <row r="163" spans="1:60" x14ac:dyDescent="0.25">
      <c r="A163" s="11"/>
      <c r="B163" s="11"/>
      <c r="C163" s="20" t="s">
        <v>45</v>
      </c>
      <c r="E163" s="122"/>
      <c r="F163" s="122"/>
      <c r="G163" s="122"/>
      <c r="H163" s="122"/>
      <c r="I163" s="122"/>
      <c r="J163" s="122"/>
      <c r="K163" s="122"/>
      <c r="L163" s="122"/>
      <c r="M163" s="122"/>
      <c r="N163" s="122"/>
      <c r="O163" s="122"/>
      <c r="P163" s="122"/>
      <c r="Q163" s="122"/>
      <c r="R163" s="122"/>
      <c r="S163" s="122"/>
      <c r="T163" s="122"/>
      <c r="U163" s="122"/>
      <c r="V163" s="122"/>
      <c r="W163" s="122"/>
      <c r="X163" s="122"/>
      <c r="Y163" s="122"/>
      <c r="Z163" s="122"/>
      <c r="AA163" s="122"/>
      <c r="AB163" s="122"/>
      <c r="AC163" s="38"/>
      <c r="AD163" s="122"/>
      <c r="AE163" s="122"/>
      <c r="AF163" s="122"/>
      <c r="AG163" s="122"/>
      <c r="AH163" s="122"/>
      <c r="AI163" s="122"/>
      <c r="AJ163" s="122"/>
      <c r="AK163" s="122"/>
      <c r="AL163" s="122"/>
      <c r="AM163" s="122"/>
      <c r="AN163" s="122"/>
      <c r="AO163" s="122"/>
      <c r="AP163" s="122"/>
      <c r="AQ163" s="122"/>
      <c r="AR163" s="122"/>
      <c r="AS163" s="122"/>
      <c r="AT163" s="122"/>
      <c r="AU163" s="122"/>
      <c r="AV163" s="122"/>
      <c r="AW163" s="122"/>
      <c r="AX163" s="122"/>
      <c r="AY163" s="122"/>
      <c r="AZ163" s="122"/>
      <c r="BA163" s="122"/>
      <c r="BB163" s="11"/>
      <c r="BC163" s="113"/>
      <c r="BD163" s="11"/>
      <c r="BE163" s="11"/>
      <c r="BF163" s="11"/>
      <c r="BG163" s="11"/>
      <c r="BH163" s="11"/>
    </row>
    <row r="164" spans="1:60" x14ac:dyDescent="0.25">
      <c r="A164" s="11"/>
      <c r="B164" s="11"/>
      <c r="C164" s="20" t="s">
        <v>46</v>
      </c>
      <c r="E164" s="122"/>
      <c r="F164" s="122"/>
      <c r="G164" s="122"/>
      <c r="H164" s="122"/>
      <c r="I164" s="122"/>
      <c r="J164" s="122"/>
      <c r="K164" s="122"/>
      <c r="L164" s="122"/>
      <c r="M164" s="122"/>
      <c r="N164" s="122"/>
      <c r="O164" s="122"/>
      <c r="P164" s="122"/>
      <c r="Q164" s="122"/>
      <c r="R164" s="122"/>
      <c r="S164" s="122"/>
      <c r="T164" s="122"/>
      <c r="U164" s="122"/>
      <c r="V164" s="122"/>
      <c r="W164" s="122"/>
      <c r="X164" s="122"/>
      <c r="Y164" s="122"/>
      <c r="Z164" s="122"/>
      <c r="AA164" s="122"/>
      <c r="AB164" s="122"/>
      <c r="AC164" s="40"/>
      <c r="AD164" s="122"/>
      <c r="AE164" s="122"/>
      <c r="AF164" s="122"/>
      <c r="AG164" s="122"/>
      <c r="AH164" s="122"/>
      <c r="AI164" s="122"/>
      <c r="AJ164" s="122"/>
      <c r="AK164" s="122"/>
      <c r="AL164" s="122"/>
      <c r="AM164" s="122"/>
      <c r="AN164" s="122"/>
      <c r="AO164" s="122"/>
      <c r="AP164" s="122"/>
      <c r="AQ164" s="122"/>
      <c r="AR164" s="122"/>
      <c r="AS164" s="122"/>
      <c r="AT164" s="122"/>
      <c r="AU164" s="122"/>
      <c r="AV164" s="122"/>
      <c r="AW164" s="122"/>
      <c r="AX164" s="122"/>
      <c r="AY164" s="122"/>
      <c r="AZ164" s="122"/>
      <c r="BA164" s="122"/>
      <c r="BB164" s="11"/>
      <c r="BC164" s="113"/>
      <c r="BD164" s="11"/>
      <c r="BE164" s="11"/>
      <c r="BF164" s="11"/>
      <c r="BG164" s="11"/>
      <c r="BH164" s="11"/>
    </row>
    <row r="165" spans="1:60" ht="69.95" customHeight="1" x14ac:dyDescent="0.25">
      <c r="A165" s="11"/>
      <c r="B165" s="11"/>
      <c r="C165" s="21" t="s">
        <v>65</v>
      </c>
      <c r="E165" s="304"/>
      <c r="F165" s="304"/>
      <c r="G165" s="304"/>
      <c r="H165" s="304"/>
      <c r="I165" s="304"/>
      <c r="J165" s="304"/>
      <c r="K165" s="304"/>
      <c r="L165" s="304"/>
      <c r="M165" s="304"/>
      <c r="N165" s="304"/>
      <c r="O165" s="304"/>
      <c r="P165" s="304"/>
      <c r="Q165" s="304"/>
      <c r="R165" s="304"/>
      <c r="S165" s="304"/>
      <c r="T165" s="304"/>
      <c r="U165" s="304"/>
      <c r="V165" s="304"/>
      <c r="W165" s="304"/>
      <c r="X165" s="304"/>
      <c r="Y165" s="304"/>
      <c r="Z165" s="304"/>
      <c r="AA165" s="304"/>
      <c r="AB165" s="304"/>
      <c r="AC165" s="29"/>
      <c r="AD165" s="304"/>
      <c r="AE165" s="304"/>
      <c r="AF165" s="304"/>
      <c r="AG165" s="304"/>
      <c r="AH165" s="304"/>
      <c r="AI165" s="304"/>
      <c r="AJ165" s="304"/>
      <c r="AK165" s="304"/>
      <c r="AL165" s="304"/>
      <c r="AM165" s="304"/>
      <c r="AN165" s="304"/>
      <c r="AO165" s="304"/>
      <c r="AP165" s="304"/>
      <c r="AQ165" s="304"/>
      <c r="AR165" s="304"/>
      <c r="AS165" s="304"/>
      <c r="AT165" s="304"/>
      <c r="AU165" s="304"/>
      <c r="AV165" s="304"/>
      <c r="AW165" s="304"/>
      <c r="AX165" s="304"/>
      <c r="AY165" s="304"/>
      <c r="AZ165" s="304"/>
      <c r="BA165" s="304"/>
      <c r="BB165" s="8"/>
      <c r="BC165" s="113"/>
      <c r="BD165" s="11"/>
      <c r="BE165" s="11"/>
      <c r="BF165" s="11"/>
      <c r="BG165" s="11"/>
      <c r="BH165" s="11"/>
    </row>
    <row r="166" spans="1:60" ht="43.5" customHeight="1" x14ac:dyDescent="0.25">
      <c r="A166" s="11"/>
      <c r="B166" s="11"/>
      <c r="C166" s="21" t="s">
        <v>47</v>
      </c>
      <c r="E166" s="309"/>
      <c r="F166" s="310"/>
      <c r="G166" s="310"/>
      <c r="H166" s="310"/>
      <c r="I166" s="310"/>
      <c r="J166" s="310"/>
      <c r="K166" s="310"/>
      <c r="L166" s="310"/>
      <c r="M166" s="310"/>
      <c r="N166" s="310"/>
      <c r="O166" s="310"/>
      <c r="P166" s="311"/>
      <c r="Q166" s="312"/>
      <c r="R166" s="310"/>
      <c r="S166" s="310"/>
      <c r="T166" s="310"/>
      <c r="U166" s="310"/>
      <c r="V166" s="310"/>
      <c r="W166" s="310"/>
      <c r="X166" s="310"/>
      <c r="Y166" s="310"/>
      <c r="Z166" s="310"/>
      <c r="AA166" s="310"/>
      <c r="AB166" s="310"/>
      <c r="AC166" s="29"/>
      <c r="AD166" s="309"/>
      <c r="AE166" s="310"/>
      <c r="AF166" s="310"/>
      <c r="AG166" s="310"/>
      <c r="AH166" s="310"/>
      <c r="AI166" s="310"/>
      <c r="AJ166" s="310"/>
      <c r="AK166" s="310"/>
      <c r="AL166" s="310"/>
      <c r="AM166" s="310"/>
      <c r="AN166" s="310"/>
      <c r="AO166" s="311"/>
      <c r="AP166" s="312"/>
      <c r="AQ166" s="310"/>
      <c r="AR166" s="310"/>
      <c r="AS166" s="310"/>
      <c r="AT166" s="310"/>
      <c r="AU166" s="310"/>
      <c r="AV166" s="310"/>
      <c r="AW166" s="310"/>
      <c r="AX166" s="310"/>
      <c r="AY166" s="310"/>
      <c r="AZ166" s="310"/>
      <c r="BA166" s="310"/>
      <c r="BB166" s="8"/>
      <c r="BC166" s="113"/>
      <c r="BD166" s="11"/>
      <c r="BE166" s="11"/>
      <c r="BF166" s="11"/>
      <c r="BG166" s="11"/>
      <c r="BH166" s="11"/>
    </row>
    <row r="167" spans="1:60" s="12" customFormat="1" ht="18.75" x14ac:dyDescent="0.3">
      <c r="A167" s="26"/>
      <c r="B167" s="26"/>
      <c r="E167" s="13">
        <v>29</v>
      </c>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D167" s="13">
        <v>30</v>
      </c>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5"/>
      <c r="BC167" s="121"/>
      <c r="BD167" s="26"/>
      <c r="BE167" s="26"/>
      <c r="BF167" s="26"/>
      <c r="BG167" s="26"/>
      <c r="BH167" s="26"/>
    </row>
    <row r="168" spans="1:60" s="24" customFormat="1" x14ac:dyDescent="0.25">
      <c r="A168" s="11"/>
      <c r="B168" s="11"/>
      <c r="C168" s="22"/>
      <c r="D168" s="22"/>
      <c r="E168" s="36">
        <v>0</v>
      </c>
      <c r="F168" s="36">
        <v>1</v>
      </c>
      <c r="G168" s="36">
        <v>2</v>
      </c>
      <c r="H168" s="36">
        <v>3</v>
      </c>
      <c r="I168" s="36">
        <v>4</v>
      </c>
      <c r="J168" s="36">
        <v>5</v>
      </c>
      <c r="K168" s="36">
        <v>6</v>
      </c>
      <c r="L168" s="36">
        <v>7</v>
      </c>
      <c r="M168" s="36">
        <v>8</v>
      </c>
      <c r="N168" s="36">
        <v>9</v>
      </c>
      <c r="O168" s="36">
        <v>10</v>
      </c>
      <c r="P168" s="36">
        <v>11</v>
      </c>
      <c r="Q168" s="36">
        <v>12</v>
      </c>
      <c r="R168" s="36">
        <v>13</v>
      </c>
      <c r="S168" s="36">
        <v>14</v>
      </c>
      <c r="T168" s="36">
        <v>15</v>
      </c>
      <c r="U168" s="36">
        <v>16</v>
      </c>
      <c r="V168" s="36">
        <v>17</v>
      </c>
      <c r="W168" s="36">
        <v>18</v>
      </c>
      <c r="X168" s="36">
        <v>19</v>
      </c>
      <c r="Y168" s="36">
        <v>20</v>
      </c>
      <c r="Z168" s="36">
        <v>21</v>
      </c>
      <c r="AA168" s="36">
        <v>22</v>
      </c>
      <c r="AB168" s="36">
        <v>23</v>
      </c>
      <c r="AC168" s="22"/>
      <c r="AD168" s="36">
        <v>0</v>
      </c>
      <c r="AE168" s="36">
        <v>1</v>
      </c>
      <c r="AF168" s="36">
        <v>2</v>
      </c>
      <c r="AG168" s="36">
        <v>3</v>
      </c>
      <c r="AH168" s="36">
        <v>4</v>
      </c>
      <c r="AI168" s="36">
        <v>5</v>
      </c>
      <c r="AJ168" s="36">
        <v>6</v>
      </c>
      <c r="AK168" s="36">
        <v>7</v>
      </c>
      <c r="AL168" s="36">
        <v>8</v>
      </c>
      <c r="AM168" s="36">
        <v>9</v>
      </c>
      <c r="AN168" s="36">
        <v>10</v>
      </c>
      <c r="AO168" s="36">
        <v>11</v>
      </c>
      <c r="AP168" s="36">
        <v>12</v>
      </c>
      <c r="AQ168" s="36">
        <v>13</v>
      </c>
      <c r="AR168" s="36">
        <v>14</v>
      </c>
      <c r="AS168" s="36">
        <v>15</v>
      </c>
      <c r="AT168" s="36">
        <v>16</v>
      </c>
      <c r="AU168" s="36">
        <v>17</v>
      </c>
      <c r="AV168" s="36">
        <v>18</v>
      </c>
      <c r="AW168" s="36">
        <v>19</v>
      </c>
      <c r="AX168" s="36">
        <v>20</v>
      </c>
      <c r="AY168" s="36">
        <v>21</v>
      </c>
      <c r="AZ168" s="36">
        <v>22</v>
      </c>
      <c r="BA168" s="36">
        <v>23</v>
      </c>
      <c r="BB168" s="23"/>
      <c r="BC168" s="113"/>
      <c r="BD168" s="11"/>
      <c r="BE168" s="11"/>
      <c r="BF168" s="11"/>
      <c r="BG168" s="11"/>
      <c r="BH168" s="11"/>
    </row>
    <row r="169" spans="1:60" s="24" customFormat="1" ht="15" customHeight="1" x14ac:dyDescent="0.25">
      <c r="A169" s="11"/>
      <c r="B169" s="11"/>
      <c r="C169" s="22"/>
      <c r="D169" s="22"/>
      <c r="E169" s="37" t="s">
        <v>17</v>
      </c>
      <c r="F169" s="37" t="s">
        <v>18</v>
      </c>
      <c r="G169" s="37" t="s">
        <v>19</v>
      </c>
      <c r="H169" s="37" t="s">
        <v>20</v>
      </c>
      <c r="I169" s="37" t="s">
        <v>21</v>
      </c>
      <c r="J169" s="37" t="s">
        <v>22</v>
      </c>
      <c r="K169" s="37" t="s">
        <v>23</v>
      </c>
      <c r="L169" s="37" t="s">
        <v>24</v>
      </c>
      <c r="M169" s="37" t="s">
        <v>25</v>
      </c>
      <c r="N169" s="37" t="s">
        <v>26</v>
      </c>
      <c r="O169" s="37" t="s">
        <v>27</v>
      </c>
      <c r="P169" s="37" t="s">
        <v>28</v>
      </c>
      <c r="Q169" s="37" t="s">
        <v>29</v>
      </c>
      <c r="R169" s="37" t="s">
        <v>30</v>
      </c>
      <c r="S169" s="37" t="s">
        <v>31</v>
      </c>
      <c r="T169" s="37" t="s">
        <v>32</v>
      </c>
      <c r="U169" s="37" t="s">
        <v>33</v>
      </c>
      <c r="V169" s="37" t="s">
        <v>34</v>
      </c>
      <c r="W169" s="37" t="s">
        <v>35</v>
      </c>
      <c r="X169" s="37" t="s">
        <v>36</v>
      </c>
      <c r="Y169" s="37" t="s">
        <v>37</v>
      </c>
      <c r="Z169" s="37" t="s">
        <v>38</v>
      </c>
      <c r="AA169" s="37" t="s">
        <v>39</v>
      </c>
      <c r="AB169" s="37" t="s">
        <v>40</v>
      </c>
      <c r="AC169" s="22"/>
      <c r="AD169" s="37" t="s">
        <v>17</v>
      </c>
      <c r="AE169" s="37" t="s">
        <v>18</v>
      </c>
      <c r="AF169" s="37" t="s">
        <v>19</v>
      </c>
      <c r="AG169" s="37" t="s">
        <v>20</v>
      </c>
      <c r="AH169" s="37" t="s">
        <v>21</v>
      </c>
      <c r="AI169" s="37" t="s">
        <v>22</v>
      </c>
      <c r="AJ169" s="37" t="s">
        <v>23</v>
      </c>
      <c r="AK169" s="37" t="s">
        <v>24</v>
      </c>
      <c r="AL169" s="37" t="s">
        <v>25</v>
      </c>
      <c r="AM169" s="37" t="s">
        <v>26</v>
      </c>
      <c r="AN169" s="37" t="s">
        <v>27</v>
      </c>
      <c r="AO169" s="37" t="s">
        <v>28</v>
      </c>
      <c r="AP169" s="37" t="s">
        <v>29</v>
      </c>
      <c r="AQ169" s="37" t="s">
        <v>30</v>
      </c>
      <c r="AR169" s="37" t="s">
        <v>31</v>
      </c>
      <c r="AS169" s="37" t="s">
        <v>32</v>
      </c>
      <c r="AT169" s="37" t="s">
        <v>33</v>
      </c>
      <c r="AU169" s="37" t="s">
        <v>34</v>
      </c>
      <c r="AV169" s="37" t="s">
        <v>35</v>
      </c>
      <c r="AW169" s="37" t="s">
        <v>36</v>
      </c>
      <c r="AX169" s="37" t="s">
        <v>37</v>
      </c>
      <c r="AY169" s="37" t="s">
        <v>38</v>
      </c>
      <c r="AZ169" s="37" t="s">
        <v>39</v>
      </c>
      <c r="BA169" s="37" t="s">
        <v>40</v>
      </c>
      <c r="BB169" s="23"/>
      <c r="BC169" s="113"/>
      <c r="BD169" s="11"/>
      <c r="BE169" s="11"/>
      <c r="BF169" s="11"/>
      <c r="BG169" s="11"/>
      <c r="BH169" s="11"/>
    </row>
    <row r="170" spans="1:60" x14ac:dyDescent="0.25">
      <c r="A170" s="11"/>
      <c r="B170" s="11"/>
      <c r="C170" s="20" t="s">
        <v>41</v>
      </c>
      <c r="E170" s="122"/>
      <c r="F170" s="122"/>
      <c r="G170" s="122"/>
      <c r="H170" s="122"/>
      <c r="I170" s="122"/>
      <c r="J170" s="122"/>
      <c r="K170" s="122"/>
      <c r="L170" s="122"/>
      <c r="M170" s="122"/>
      <c r="N170" s="122"/>
      <c r="O170" s="122"/>
      <c r="P170" s="122"/>
      <c r="Q170" s="122"/>
      <c r="R170" s="122"/>
      <c r="S170" s="122"/>
      <c r="T170" s="122"/>
      <c r="U170" s="122"/>
      <c r="V170" s="122"/>
      <c r="W170" s="122"/>
      <c r="X170" s="122"/>
      <c r="Y170" s="122"/>
      <c r="Z170" s="122"/>
      <c r="AA170" s="122"/>
      <c r="AB170" s="122"/>
      <c r="AC170" s="38"/>
      <c r="AD170" s="122"/>
      <c r="AE170" s="122"/>
      <c r="AF170" s="122"/>
      <c r="AG170" s="122"/>
      <c r="AH170" s="122"/>
      <c r="AI170" s="122"/>
      <c r="AJ170" s="122"/>
      <c r="AK170" s="122"/>
      <c r="AL170" s="122"/>
      <c r="AM170" s="122"/>
      <c r="AN170" s="122"/>
      <c r="AO170" s="122"/>
      <c r="AP170" s="122"/>
      <c r="AQ170" s="122"/>
      <c r="AR170" s="122"/>
      <c r="AS170" s="122"/>
      <c r="AT170" s="122"/>
      <c r="AU170" s="122"/>
      <c r="AV170" s="122"/>
      <c r="AW170" s="122"/>
      <c r="AX170" s="122"/>
      <c r="AY170" s="122"/>
      <c r="AZ170" s="122"/>
      <c r="BA170" s="122"/>
      <c r="BB170" s="8"/>
      <c r="BC170" s="113"/>
      <c r="BD170" s="11"/>
      <c r="BE170" s="11"/>
      <c r="BF170" s="11"/>
      <c r="BG170" s="11"/>
      <c r="BH170" s="11"/>
    </row>
    <row r="171" spans="1:60" x14ac:dyDescent="0.25">
      <c r="A171" s="11"/>
      <c r="B171" s="11"/>
      <c r="C171" s="20" t="s">
        <v>42</v>
      </c>
      <c r="E171" s="122"/>
      <c r="F171" s="122"/>
      <c r="G171" s="122"/>
      <c r="H171" s="122"/>
      <c r="I171" s="122"/>
      <c r="J171" s="122"/>
      <c r="K171" s="122"/>
      <c r="L171" s="122"/>
      <c r="M171" s="122"/>
      <c r="N171" s="122"/>
      <c r="O171" s="122"/>
      <c r="P171" s="122"/>
      <c r="Q171" s="122"/>
      <c r="R171" s="122"/>
      <c r="S171" s="122"/>
      <c r="T171" s="122"/>
      <c r="U171" s="122"/>
      <c r="V171" s="122"/>
      <c r="W171" s="122"/>
      <c r="X171" s="122"/>
      <c r="Y171" s="122"/>
      <c r="Z171" s="122"/>
      <c r="AA171" s="122"/>
      <c r="AB171" s="122"/>
      <c r="AC171" s="38"/>
      <c r="AD171" s="122"/>
      <c r="AE171" s="122"/>
      <c r="AF171" s="122"/>
      <c r="AG171" s="122"/>
      <c r="AH171" s="122"/>
      <c r="AI171" s="122"/>
      <c r="AJ171" s="122"/>
      <c r="AK171" s="122"/>
      <c r="AL171" s="122"/>
      <c r="AM171" s="122"/>
      <c r="AN171" s="122"/>
      <c r="AO171" s="122"/>
      <c r="AP171" s="122"/>
      <c r="AQ171" s="122"/>
      <c r="AR171" s="122"/>
      <c r="AS171" s="122"/>
      <c r="AT171" s="122"/>
      <c r="AU171" s="122"/>
      <c r="AV171" s="122"/>
      <c r="AW171" s="122"/>
      <c r="AX171" s="122"/>
      <c r="AY171" s="122"/>
      <c r="AZ171" s="122"/>
      <c r="BA171" s="122"/>
      <c r="BB171" s="8"/>
      <c r="BC171" s="113"/>
      <c r="BD171" s="11"/>
      <c r="BE171" s="11"/>
      <c r="BF171" s="11"/>
      <c r="BG171" s="11"/>
      <c r="BH171" s="11"/>
    </row>
    <row r="172" spans="1:60" x14ac:dyDescent="0.25">
      <c r="A172" s="11"/>
      <c r="B172" s="11"/>
      <c r="C172" s="20" t="s">
        <v>43</v>
      </c>
      <c r="E172" s="122"/>
      <c r="F172" s="122"/>
      <c r="G172" s="122"/>
      <c r="H172" s="122"/>
      <c r="I172" s="122"/>
      <c r="J172" s="122"/>
      <c r="K172" s="122"/>
      <c r="L172" s="122"/>
      <c r="M172" s="122"/>
      <c r="N172" s="122"/>
      <c r="O172" s="122"/>
      <c r="P172" s="122"/>
      <c r="Q172" s="122"/>
      <c r="R172" s="122"/>
      <c r="S172" s="122"/>
      <c r="T172" s="122"/>
      <c r="U172" s="122"/>
      <c r="V172" s="122"/>
      <c r="W172" s="122"/>
      <c r="X172" s="122"/>
      <c r="Y172" s="122"/>
      <c r="Z172" s="122"/>
      <c r="AA172" s="122"/>
      <c r="AB172" s="122"/>
      <c r="AC172" s="38"/>
      <c r="AD172" s="122"/>
      <c r="AE172" s="122"/>
      <c r="AF172" s="122"/>
      <c r="AG172" s="122"/>
      <c r="AH172" s="122"/>
      <c r="AI172" s="122"/>
      <c r="AJ172" s="122"/>
      <c r="AK172" s="122"/>
      <c r="AL172" s="122"/>
      <c r="AM172" s="122"/>
      <c r="AN172" s="122"/>
      <c r="AO172" s="122"/>
      <c r="AP172" s="122"/>
      <c r="AQ172" s="122"/>
      <c r="AR172" s="122"/>
      <c r="AS172" s="122"/>
      <c r="AT172" s="122"/>
      <c r="AU172" s="122"/>
      <c r="AV172" s="122"/>
      <c r="AW172" s="122"/>
      <c r="AX172" s="122"/>
      <c r="AY172" s="122"/>
      <c r="AZ172" s="122"/>
      <c r="BA172" s="122"/>
      <c r="BB172" s="8"/>
      <c r="BC172" s="113"/>
      <c r="BD172" s="11"/>
      <c r="BE172" s="11"/>
      <c r="BF172" s="11"/>
      <c r="BG172" s="11"/>
      <c r="BH172" s="11"/>
    </row>
    <row r="173" spans="1:60" x14ac:dyDescent="0.25">
      <c r="A173" s="11"/>
      <c r="B173" s="11"/>
      <c r="C173" s="20" t="s">
        <v>44</v>
      </c>
      <c r="E173" s="122"/>
      <c r="F173" s="122"/>
      <c r="G173" s="122"/>
      <c r="H173" s="122"/>
      <c r="I173" s="122"/>
      <c r="J173" s="122"/>
      <c r="K173" s="122"/>
      <c r="L173" s="122"/>
      <c r="M173" s="122"/>
      <c r="N173" s="122"/>
      <c r="O173" s="122"/>
      <c r="P173" s="122"/>
      <c r="Q173" s="122"/>
      <c r="R173" s="122"/>
      <c r="S173" s="122"/>
      <c r="T173" s="122"/>
      <c r="U173" s="122"/>
      <c r="V173" s="122"/>
      <c r="W173" s="122"/>
      <c r="X173" s="122"/>
      <c r="Y173" s="122"/>
      <c r="Z173" s="122"/>
      <c r="AA173" s="122"/>
      <c r="AB173" s="122"/>
      <c r="AC173" s="38"/>
      <c r="AD173" s="122"/>
      <c r="AE173" s="122"/>
      <c r="AF173" s="122"/>
      <c r="AG173" s="122"/>
      <c r="AH173" s="122"/>
      <c r="AI173" s="122"/>
      <c r="AJ173" s="122"/>
      <c r="AK173" s="122"/>
      <c r="AL173" s="122"/>
      <c r="AM173" s="122"/>
      <c r="AN173" s="122"/>
      <c r="AO173" s="122"/>
      <c r="AP173" s="122"/>
      <c r="AQ173" s="122"/>
      <c r="AR173" s="122"/>
      <c r="AS173" s="122"/>
      <c r="AT173" s="122"/>
      <c r="AU173" s="122"/>
      <c r="AV173" s="122"/>
      <c r="AW173" s="122"/>
      <c r="AX173" s="122"/>
      <c r="AY173" s="122"/>
      <c r="AZ173" s="122"/>
      <c r="BA173" s="122"/>
      <c r="BB173" s="8"/>
      <c r="BC173" s="113"/>
      <c r="BD173" s="11"/>
      <c r="BE173" s="11"/>
      <c r="BF173" s="11"/>
      <c r="BG173" s="11"/>
      <c r="BH173" s="11"/>
    </row>
    <row r="174" spans="1:60" x14ac:dyDescent="0.25">
      <c r="A174" s="11"/>
      <c r="B174" s="11"/>
      <c r="C174" s="20" t="s">
        <v>45</v>
      </c>
      <c r="E174" s="122"/>
      <c r="F174" s="122"/>
      <c r="G174" s="122"/>
      <c r="H174" s="122"/>
      <c r="I174" s="122"/>
      <c r="J174" s="122"/>
      <c r="K174" s="122"/>
      <c r="L174" s="122"/>
      <c r="M174" s="122"/>
      <c r="N174" s="122"/>
      <c r="O174" s="122"/>
      <c r="P174" s="122"/>
      <c r="Q174" s="122"/>
      <c r="R174" s="122"/>
      <c r="S174" s="122"/>
      <c r="T174" s="122"/>
      <c r="U174" s="122"/>
      <c r="V174" s="122"/>
      <c r="W174" s="122"/>
      <c r="X174" s="122"/>
      <c r="Y174" s="122"/>
      <c r="Z174" s="122"/>
      <c r="AA174" s="122"/>
      <c r="AB174" s="122"/>
      <c r="AC174" s="38"/>
      <c r="AD174" s="122"/>
      <c r="AE174" s="122"/>
      <c r="AF174" s="122"/>
      <c r="AG174" s="122"/>
      <c r="AH174" s="122"/>
      <c r="AI174" s="122"/>
      <c r="AJ174" s="122"/>
      <c r="AK174" s="122"/>
      <c r="AL174" s="122"/>
      <c r="AM174" s="122"/>
      <c r="AN174" s="122"/>
      <c r="AO174" s="122"/>
      <c r="AP174" s="122"/>
      <c r="AQ174" s="122"/>
      <c r="AR174" s="122"/>
      <c r="AS174" s="122"/>
      <c r="AT174" s="122"/>
      <c r="AU174" s="122"/>
      <c r="AV174" s="122"/>
      <c r="AW174" s="122"/>
      <c r="AX174" s="122"/>
      <c r="AY174" s="122"/>
      <c r="AZ174" s="122"/>
      <c r="BA174" s="122"/>
      <c r="BB174" s="8"/>
      <c r="BC174" s="113"/>
      <c r="BD174" s="11"/>
      <c r="BE174" s="11"/>
      <c r="BF174" s="11"/>
      <c r="BG174" s="11"/>
      <c r="BH174" s="11"/>
    </row>
    <row r="175" spans="1:60" x14ac:dyDescent="0.25">
      <c r="A175" s="11"/>
      <c r="B175" s="11"/>
      <c r="C175" s="20" t="s">
        <v>46</v>
      </c>
      <c r="E175" s="122"/>
      <c r="F175" s="122"/>
      <c r="G175" s="122"/>
      <c r="H175" s="122"/>
      <c r="I175" s="122"/>
      <c r="J175" s="122"/>
      <c r="K175" s="122"/>
      <c r="L175" s="122"/>
      <c r="M175" s="122"/>
      <c r="N175" s="122"/>
      <c r="O175" s="122"/>
      <c r="P175" s="122"/>
      <c r="Q175" s="122"/>
      <c r="R175" s="122"/>
      <c r="S175" s="122"/>
      <c r="T175" s="122"/>
      <c r="U175" s="122"/>
      <c r="V175" s="122"/>
      <c r="W175" s="122"/>
      <c r="X175" s="122"/>
      <c r="Y175" s="122"/>
      <c r="Z175" s="122"/>
      <c r="AA175" s="122"/>
      <c r="AB175" s="122"/>
      <c r="AC175" s="38"/>
      <c r="AD175" s="122"/>
      <c r="AE175" s="122"/>
      <c r="AF175" s="122"/>
      <c r="AG175" s="122"/>
      <c r="AH175" s="122"/>
      <c r="AI175" s="122"/>
      <c r="AJ175" s="122"/>
      <c r="AK175" s="122"/>
      <c r="AL175" s="122"/>
      <c r="AM175" s="122"/>
      <c r="AN175" s="122"/>
      <c r="AO175" s="122"/>
      <c r="AP175" s="122"/>
      <c r="AQ175" s="122"/>
      <c r="AR175" s="122"/>
      <c r="AS175" s="122"/>
      <c r="AT175" s="122"/>
      <c r="AU175" s="122"/>
      <c r="AV175" s="122"/>
      <c r="AW175" s="122"/>
      <c r="AX175" s="122"/>
      <c r="AY175" s="122"/>
      <c r="AZ175" s="122"/>
      <c r="BA175" s="122"/>
      <c r="BB175" s="8"/>
      <c r="BC175" s="113"/>
      <c r="BD175" s="11"/>
      <c r="BE175" s="11"/>
      <c r="BF175" s="11"/>
      <c r="BG175" s="11"/>
      <c r="BH175" s="11"/>
    </row>
    <row r="176" spans="1:60" ht="69.95" customHeight="1" x14ac:dyDescent="0.25">
      <c r="A176" s="11"/>
      <c r="B176" s="11"/>
      <c r="C176" s="21" t="s">
        <v>65</v>
      </c>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100"/>
      <c r="AD176" s="304"/>
      <c r="AE176" s="304"/>
      <c r="AF176" s="304"/>
      <c r="AG176" s="304"/>
      <c r="AH176" s="304"/>
      <c r="AI176" s="304"/>
      <c r="AJ176" s="304"/>
      <c r="AK176" s="304"/>
      <c r="AL176" s="304"/>
      <c r="AM176" s="304"/>
      <c r="AN176" s="304"/>
      <c r="AO176" s="304"/>
      <c r="AP176" s="304"/>
      <c r="AQ176" s="304"/>
      <c r="AR176" s="304"/>
      <c r="AS176" s="304"/>
      <c r="AT176" s="304"/>
      <c r="AU176" s="304"/>
      <c r="AV176" s="304"/>
      <c r="AW176" s="304"/>
      <c r="AX176" s="304"/>
      <c r="AY176" s="304"/>
      <c r="AZ176" s="304"/>
      <c r="BA176" s="304"/>
      <c r="BB176" s="8"/>
      <c r="BC176" s="113"/>
      <c r="BD176" s="11"/>
      <c r="BE176" s="11"/>
      <c r="BF176" s="11"/>
      <c r="BG176" s="11"/>
      <c r="BH176" s="11"/>
    </row>
    <row r="177" spans="1:60" ht="43.5" customHeight="1" x14ac:dyDescent="0.25">
      <c r="A177" s="11"/>
      <c r="B177" s="11"/>
      <c r="C177" s="21" t="s">
        <v>47</v>
      </c>
      <c r="E177" s="309"/>
      <c r="F177" s="310"/>
      <c r="G177" s="310"/>
      <c r="H177" s="310"/>
      <c r="I177" s="310"/>
      <c r="J177" s="310"/>
      <c r="K177" s="310"/>
      <c r="L177" s="310"/>
      <c r="M177" s="310"/>
      <c r="N177" s="310"/>
      <c r="O177" s="310"/>
      <c r="P177" s="311"/>
      <c r="Q177" s="312"/>
      <c r="R177" s="310"/>
      <c r="S177" s="310"/>
      <c r="T177" s="310"/>
      <c r="U177" s="310"/>
      <c r="V177" s="310"/>
      <c r="W177" s="310"/>
      <c r="X177" s="310"/>
      <c r="Y177" s="310"/>
      <c r="Z177" s="310"/>
      <c r="AA177" s="310"/>
      <c r="AB177" s="310"/>
      <c r="AC177" s="100"/>
      <c r="AD177" s="309"/>
      <c r="AE177" s="310"/>
      <c r="AF177" s="310"/>
      <c r="AG177" s="310"/>
      <c r="AH177" s="310"/>
      <c r="AI177" s="310"/>
      <c r="AJ177" s="310"/>
      <c r="AK177" s="310"/>
      <c r="AL177" s="310"/>
      <c r="AM177" s="310"/>
      <c r="AN177" s="310"/>
      <c r="AO177" s="311"/>
      <c r="AP177" s="312"/>
      <c r="AQ177" s="310"/>
      <c r="AR177" s="310"/>
      <c r="AS177" s="310"/>
      <c r="AT177" s="310"/>
      <c r="AU177" s="310"/>
      <c r="AV177" s="310"/>
      <c r="AW177" s="310"/>
      <c r="AX177" s="310"/>
      <c r="AY177" s="310"/>
      <c r="AZ177" s="310"/>
      <c r="BA177" s="310"/>
      <c r="BB177" s="8"/>
      <c r="BC177" s="113"/>
      <c r="BD177" s="11"/>
      <c r="BE177" s="11"/>
      <c r="BF177" s="11"/>
      <c r="BG177" s="11"/>
      <c r="BH177" s="11"/>
    </row>
    <row r="178" spans="1:60" s="12" customFormat="1" ht="18.75" x14ac:dyDescent="0.3">
      <c r="A178" s="26"/>
      <c r="B178" s="26"/>
      <c r="E178" s="13">
        <v>31</v>
      </c>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5"/>
      <c r="AD178" s="316" t="s">
        <v>84</v>
      </c>
      <c r="AE178" s="316"/>
      <c r="AF178" s="316"/>
      <c r="AG178" s="316"/>
      <c r="AH178" s="316"/>
      <c r="AI178" s="316"/>
      <c r="AJ178" s="316"/>
      <c r="AK178" s="316"/>
      <c r="AL178" s="316"/>
      <c r="AM178" s="316"/>
      <c r="AN178" s="316"/>
      <c r="AO178" s="316"/>
      <c r="AP178" s="316"/>
      <c r="AQ178" s="316"/>
      <c r="AR178" s="316"/>
      <c r="AS178" s="316"/>
      <c r="AT178" s="316"/>
      <c r="AU178" s="316"/>
      <c r="AV178" s="316"/>
      <c r="AW178" s="316"/>
      <c r="AX178" s="316"/>
      <c r="AY178" s="316"/>
      <c r="AZ178" s="316"/>
      <c r="BA178" s="316"/>
      <c r="BB178" s="15"/>
      <c r="BC178" s="121"/>
      <c r="BD178" s="26"/>
      <c r="BE178" s="26"/>
      <c r="BF178" s="26"/>
      <c r="BG178" s="26"/>
      <c r="BH178" s="26"/>
    </row>
    <row r="179" spans="1:60" s="24" customFormat="1" ht="15.75" customHeight="1" x14ac:dyDescent="0.3">
      <c r="A179" s="11"/>
      <c r="B179" s="11"/>
      <c r="C179" s="22"/>
      <c r="D179" s="22"/>
      <c r="E179" s="36">
        <v>0</v>
      </c>
      <c r="F179" s="36">
        <v>1</v>
      </c>
      <c r="G179" s="36">
        <v>2</v>
      </c>
      <c r="H179" s="36">
        <v>3</v>
      </c>
      <c r="I179" s="36">
        <v>4</v>
      </c>
      <c r="J179" s="36">
        <v>5</v>
      </c>
      <c r="K179" s="36">
        <v>6</v>
      </c>
      <c r="L179" s="36">
        <v>7</v>
      </c>
      <c r="M179" s="36">
        <v>8</v>
      </c>
      <c r="N179" s="36">
        <v>9</v>
      </c>
      <c r="O179" s="36">
        <v>10</v>
      </c>
      <c r="P179" s="36">
        <v>11</v>
      </c>
      <c r="Q179" s="36">
        <v>12</v>
      </c>
      <c r="R179" s="36">
        <v>13</v>
      </c>
      <c r="S179" s="36">
        <v>14</v>
      </c>
      <c r="T179" s="36">
        <v>15</v>
      </c>
      <c r="U179" s="36">
        <v>16</v>
      </c>
      <c r="V179" s="36">
        <v>17</v>
      </c>
      <c r="W179" s="36">
        <v>18</v>
      </c>
      <c r="X179" s="36">
        <v>19</v>
      </c>
      <c r="Y179" s="36">
        <v>20</v>
      </c>
      <c r="Z179" s="36">
        <v>21</v>
      </c>
      <c r="AA179" s="36">
        <v>22</v>
      </c>
      <c r="AB179" s="36">
        <v>23</v>
      </c>
      <c r="AC179" s="23"/>
      <c r="AD179" s="317"/>
      <c r="AE179" s="317"/>
      <c r="AF179" s="317"/>
      <c r="AG179" s="317"/>
      <c r="AH179" s="317"/>
      <c r="AI179" s="317"/>
      <c r="AJ179" s="317"/>
      <c r="AK179" s="317"/>
      <c r="AL179" s="317"/>
      <c r="AM179" s="317"/>
      <c r="AN179" s="317"/>
      <c r="AO179" s="317"/>
      <c r="AP179" s="317"/>
      <c r="AQ179" s="317"/>
      <c r="AR179" s="317"/>
      <c r="AS179" s="317"/>
      <c r="AT179" s="317"/>
      <c r="AU179" s="317"/>
      <c r="AV179" s="317"/>
      <c r="AW179" s="317"/>
      <c r="AX179" s="317"/>
      <c r="AY179" s="317"/>
      <c r="AZ179" s="317"/>
      <c r="BA179" s="317"/>
      <c r="BB179" s="15"/>
      <c r="BC179" s="113"/>
      <c r="BD179" s="11"/>
      <c r="BE179" s="11"/>
      <c r="BF179" s="11"/>
      <c r="BG179" s="11"/>
      <c r="BH179" s="11"/>
    </row>
    <row r="180" spans="1:60" s="24" customFormat="1" ht="15" customHeight="1" x14ac:dyDescent="0.3">
      <c r="B180" s="11"/>
      <c r="C180" s="22"/>
      <c r="D180" s="22"/>
      <c r="E180" s="37" t="s">
        <v>17</v>
      </c>
      <c r="F180" s="37" t="s">
        <v>18</v>
      </c>
      <c r="G180" s="37" t="s">
        <v>19</v>
      </c>
      <c r="H180" s="37" t="s">
        <v>20</v>
      </c>
      <c r="I180" s="37" t="s">
        <v>21</v>
      </c>
      <c r="J180" s="37" t="s">
        <v>22</v>
      </c>
      <c r="K180" s="37" t="s">
        <v>23</v>
      </c>
      <c r="L180" s="37" t="s">
        <v>24</v>
      </c>
      <c r="M180" s="37" t="s">
        <v>25</v>
      </c>
      <c r="N180" s="37" t="s">
        <v>26</v>
      </c>
      <c r="O180" s="37" t="s">
        <v>27</v>
      </c>
      <c r="P180" s="37" t="s">
        <v>28</v>
      </c>
      <c r="Q180" s="37" t="s">
        <v>29</v>
      </c>
      <c r="R180" s="37" t="s">
        <v>30</v>
      </c>
      <c r="S180" s="37" t="s">
        <v>31</v>
      </c>
      <c r="T180" s="37" t="s">
        <v>32</v>
      </c>
      <c r="U180" s="37" t="s">
        <v>33</v>
      </c>
      <c r="V180" s="37" t="s">
        <v>34</v>
      </c>
      <c r="W180" s="37" t="s">
        <v>35</v>
      </c>
      <c r="X180" s="37" t="s">
        <v>36</v>
      </c>
      <c r="Y180" s="37" t="s">
        <v>37</v>
      </c>
      <c r="Z180" s="37" t="s">
        <v>38</v>
      </c>
      <c r="AA180" s="37" t="s">
        <v>39</v>
      </c>
      <c r="AB180" s="37" t="s">
        <v>40</v>
      </c>
      <c r="AC180" s="23"/>
      <c r="AD180" s="317"/>
      <c r="AE180" s="317"/>
      <c r="AF180" s="317"/>
      <c r="AG180" s="317"/>
      <c r="AH180" s="317"/>
      <c r="AI180" s="317"/>
      <c r="AJ180" s="317"/>
      <c r="AK180" s="317"/>
      <c r="AL180" s="317"/>
      <c r="AM180" s="317"/>
      <c r="AN180" s="317"/>
      <c r="AO180" s="317"/>
      <c r="AP180" s="317"/>
      <c r="AQ180" s="317"/>
      <c r="AR180" s="317"/>
      <c r="AS180" s="317"/>
      <c r="AT180" s="317"/>
      <c r="AU180" s="317"/>
      <c r="AV180" s="317"/>
      <c r="AW180" s="317"/>
      <c r="AX180" s="317"/>
      <c r="AY180" s="317"/>
      <c r="AZ180" s="317"/>
      <c r="BA180" s="317"/>
      <c r="BB180" s="15"/>
      <c r="BC180" s="120"/>
      <c r="BE180" s="11"/>
      <c r="BF180" s="11"/>
      <c r="BG180" s="11"/>
      <c r="BH180" s="11"/>
    </row>
    <row r="181" spans="1:60" ht="15.75" customHeight="1" x14ac:dyDescent="0.3">
      <c r="A181" s="7"/>
      <c r="B181" s="11"/>
      <c r="C181" s="20" t="s">
        <v>41</v>
      </c>
      <c r="E181" s="122"/>
      <c r="F181" s="122"/>
      <c r="G181" s="122"/>
      <c r="H181" s="122"/>
      <c r="I181" s="122"/>
      <c r="J181" s="122"/>
      <c r="K181" s="122"/>
      <c r="L181" s="122"/>
      <c r="M181" s="122"/>
      <c r="N181" s="122"/>
      <c r="O181" s="122"/>
      <c r="P181" s="122"/>
      <c r="Q181" s="122"/>
      <c r="R181" s="122"/>
      <c r="S181" s="122"/>
      <c r="T181" s="122"/>
      <c r="U181" s="122"/>
      <c r="V181" s="122"/>
      <c r="W181" s="122"/>
      <c r="X181" s="122"/>
      <c r="Y181" s="122"/>
      <c r="Z181" s="122"/>
      <c r="AA181" s="122"/>
      <c r="AB181" s="122"/>
      <c r="AC181" s="8"/>
      <c r="AD181" s="317"/>
      <c r="AE181" s="317"/>
      <c r="AF181" s="317"/>
      <c r="AG181" s="317"/>
      <c r="AH181" s="317"/>
      <c r="AI181" s="317"/>
      <c r="AJ181" s="317"/>
      <c r="AK181" s="317"/>
      <c r="AL181" s="317"/>
      <c r="AM181" s="317"/>
      <c r="AN181" s="317"/>
      <c r="AO181" s="317"/>
      <c r="AP181" s="317"/>
      <c r="AQ181" s="317"/>
      <c r="AR181" s="317"/>
      <c r="AS181" s="317"/>
      <c r="AT181" s="317"/>
      <c r="AU181" s="317"/>
      <c r="AV181" s="317"/>
      <c r="AW181" s="317"/>
      <c r="AX181" s="317"/>
      <c r="AY181" s="317"/>
      <c r="AZ181" s="317"/>
      <c r="BA181" s="317"/>
      <c r="BB181" s="15"/>
      <c r="BC181" s="59"/>
      <c r="BD181" s="7"/>
      <c r="BE181" s="11"/>
      <c r="BF181" s="11"/>
      <c r="BG181" s="11"/>
      <c r="BH181" s="11"/>
    </row>
    <row r="182" spans="1:60" ht="15.75" customHeight="1" x14ac:dyDescent="0.3">
      <c r="A182" s="7"/>
      <c r="B182" s="11"/>
      <c r="C182" s="20" t="s">
        <v>42</v>
      </c>
      <c r="E182" s="122"/>
      <c r="F182" s="122"/>
      <c r="G182" s="122"/>
      <c r="H182" s="122"/>
      <c r="I182" s="122"/>
      <c r="J182" s="122"/>
      <c r="K182" s="122"/>
      <c r="L182" s="122"/>
      <c r="M182" s="122"/>
      <c r="N182" s="122"/>
      <c r="O182" s="122"/>
      <c r="P182" s="122"/>
      <c r="Q182" s="122"/>
      <c r="R182" s="122"/>
      <c r="S182" s="122"/>
      <c r="T182" s="122"/>
      <c r="U182" s="122"/>
      <c r="V182" s="122"/>
      <c r="W182" s="122"/>
      <c r="X182" s="122"/>
      <c r="Y182" s="122"/>
      <c r="Z182" s="122"/>
      <c r="AA182" s="122"/>
      <c r="AB182" s="122"/>
      <c r="AC182" s="8"/>
      <c r="AD182" s="317"/>
      <c r="AE182" s="317"/>
      <c r="AF182" s="317"/>
      <c r="AG182" s="317"/>
      <c r="AH182" s="317"/>
      <c r="AI182" s="317"/>
      <c r="AJ182" s="317"/>
      <c r="AK182" s="317"/>
      <c r="AL182" s="317"/>
      <c r="AM182" s="317"/>
      <c r="AN182" s="317"/>
      <c r="AO182" s="317"/>
      <c r="AP182" s="317"/>
      <c r="AQ182" s="317"/>
      <c r="AR182" s="317"/>
      <c r="AS182" s="317"/>
      <c r="AT182" s="317"/>
      <c r="AU182" s="317"/>
      <c r="AV182" s="317"/>
      <c r="AW182" s="317"/>
      <c r="AX182" s="317"/>
      <c r="AY182" s="317"/>
      <c r="AZ182" s="317"/>
      <c r="BA182" s="317"/>
      <c r="BB182" s="15"/>
      <c r="BC182" s="59"/>
      <c r="BD182" s="7"/>
      <c r="BE182" s="11"/>
      <c r="BF182" s="11"/>
      <c r="BG182" s="11"/>
      <c r="BH182" s="11"/>
    </row>
    <row r="183" spans="1:60" ht="15.75" customHeight="1" x14ac:dyDescent="0.3">
      <c r="A183" s="11"/>
      <c r="B183" s="11"/>
      <c r="C183" s="20" t="s">
        <v>43</v>
      </c>
      <c r="E183" s="122"/>
      <c r="F183" s="122"/>
      <c r="G183" s="122"/>
      <c r="H183" s="122"/>
      <c r="I183" s="122"/>
      <c r="J183" s="122"/>
      <c r="K183" s="122"/>
      <c r="L183" s="122"/>
      <c r="M183" s="122"/>
      <c r="N183" s="122"/>
      <c r="O183" s="122"/>
      <c r="P183" s="122"/>
      <c r="Q183" s="122"/>
      <c r="R183" s="122"/>
      <c r="S183" s="122"/>
      <c r="T183" s="122"/>
      <c r="U183" s="122"/>
      <c r="V183" s="122"/>
      <c r="W183" s="122"/>
      <c r="X183" s="122"/>
      <c r="Y183" s="122"/>
      <c r="Z183" s="122"/>
      <c r="AA183" s="122"/>
      <c r="AB183" s="122"/>
      <c r="AC183" s="8"/>
      <c r="AD183" s="317"/>
      <c r="AE183" s="317"/>
      <c r="AF183" s="317"/>
      <c r="AG183" s="317"/>
      <c r="AH183" s="317"/>
      <c r="AI183" s="317"/>
      <c r="AJ183" s="317"/>
      <c r="AK183" s="317"/>
      <c r="AL183" s="317"/>
      <c r="AM183" s="317"/>
      <c r="AN183" s="317"/>
      <c r="AO183" s="317"/>
      <c r="AP183" s="317"/>
      <c r="AQ183" s="317"/>
      <c r="AR183" s="317"/>
      <c r="AS183" s="317"/>
      <c r="AT183" s="317"/>
      <c r="AU183" s="317"/>
      <c r="AV183" s="317"/>
      <c r="AW183" s="317"/>
      <c r="AX183" s="317"/>
      <c r="AY183" s="317"/>
      <c r="AZ183" s="317"/>
      <c r="BA183" s="317"/>
      <c r="BB183" s="15"/>
      <c r="BC183" s="113"/>
      <c r="BD183" s="11"/>
      <c r="BE183" s="11"/>
      <c r="BF183" s="11"/>
      <c r="BG183" s="11"/>
      <c r="BH183" s="11"/>
    </row>
    <row r="184" spans="1:60" ht="15.75" customHeight="1" x14ac:dyDescent="0.3">
      <c r="A184" s="11"/>
      <c r="B184" s="11"/>
      <c r="C184" s="20" t="s">
        <v>44</v>
      </c>
      <c r="E184" s="122"/>
      <c r="F184" s="122"/>
      <c r="G184" s="122"/>
      <c r="H184" s="122"/>
      <c r="I184" s="122"/>
      <c r="J184" s="122"/>
      <c r="K184" s="122"/>
      <c r="L184" s="122"/>
      <c r="M184" s="122"/>
      <c r="N184" s="122"/>
      <c r="O184" s="122"/>
      <c r="P184" s="122"/>
      <c r="Q184" s="122"/>
      <c r="R184" s="122"/>
      <c r="S184" s="122"/>
      <c r="T184" s="122"/>
      <c r="U184" s="122"/>
      <c r="V184" s="122"/>
      <c r="W184" s="122"/>
      <c r="X184" s="122"/>
      <c r="Y184" s="122"/>
      <c r="Z184" s="122"/>
      <c r="AA184" s="122"/>
      <c r="AB184" s="122"/>
      <c r="AC184" s="8"/>
      <c r="AD184" s="317"/>
      <c r="AE184" s="317"/>
      <c r="AF184" s="317"/>
      <c r="AG184" s="317"/>
      <c r="AH184" s="317"/>
      <c r="AI184" s="317"/>
      <c r="AJ184" s="317"/>
      <c r="AK184" s="317"/>
      <c r="AL184" s="317"/>
      <c r="AM184" s="317"/>
      <c r="AN184" s="317"/>
      <c r="AO184" s="317"/>
      <c r="AP184" s="317"/>
      <c r="AQ184" s="317"/>
      <c r="AR184" s="317"/>
      <c r="AS184" s="317"/>
      <c r="AT184" s="317"/>
      <c r="AU184" s="317"/>
      <c r="AV184" s="317"/>
      <c r="AW184" s="317"/>
      <c r="AX184" s="317"/>
      <c r="AY184" s="317"/>
      <c r="AZ184" s="317"/>
      <c r="BA184" s="317"/>
      <c r="BB184" s="15"/>
      <c r="BC184" s="113"/>
      <c r="BD184" s="11"/>
      <c r="BE184" s="11"/>
      <c r="BF184" s="11"/>
      <c r="BG184" s="11"/>
      <c r="BH184" s="11"/>
    </row>
    <row r="185" spans="1:60" ht="15.75" customHeight="1" x14ac:dyDescent="0.3">
      <c r="A185" s="11"/>
      <c r="B185" s="11"/>
      <c r="C185" s="20" t="s">
        <v>45</v>
      </c>
      <c r="E185" s="122"/>
      <c r="F185" s="122"/>
      <c r="G185" s="122"/>
      <c r="H185" s="122"/>
      <c r="I185" s="122"/>
      <c r="J185" s="122"/>
      <c r="K185" s="122"/>
      <c r="L185" s="122"/>
      <c r="M185" s="122"/>
      <c r="N185" s="122"/>
      <c r="O185" s="122"/>
      <c r="P185" s="122"/>
      <c r="Q185" s="122"/>
      <c r="R185" s="122"/>
      <c r="S185" s="122"/>
      <c r="T185" s="122"/>
      <c r="U185" s="122"/>
      <c r="V185" s="122"/>
      <c r="W185" s="122"/>
      <c r="X185" s="122"/>
      <c r="Y185" s="122"/>
      <c r="Z185" s="122"/>
      <c r="AA185" s="122"/>
      <c r="AB185" s="122"/>
      <c r="AC185" s="8"/>
      <c r="AD185" s="317"/>
      <c r="AE185" s="317"/>
      <c r="AF185" s="317"/>
      <c r="AG185" s="317"/>
      <c r="AH185" s="317"/>
      <c r="AI185" s="317"/>
      <c r="AJ185" s="317"/>
      <c r="AK185" s="317"/>
      <c r="AL185" s="317"/>
      <c r="AM185" s="317"/>
      <c r="AN185" s="317"/>
      <c r="AO185" s="317"/>
      <c r="AP185" s="317"/>
      <c r="AQ185" s="317"/>
      <c r="AR185" s="317"/>
      <c r="AS185" s="317"/>
      <c r="AT185" s="317"/>
      <c r="AU185" s="317"/>
      <c r="AV185" s="317"/>
      <c r="AW185" s="317"/>
      <c r="AX185" s="317"/>
      <c r="AY185" s="317"/>
      <c r="AZ185" s="317"/>
      <c r="BA185" s="317"/>
      <c r="BB185" s="15"/>
      <c r="BC185" s="113"/>
      <c r="BD185" s="11"/>
      <c r="BE185" s="11"/>
      <c r="BF185" s="11"/>
      <c r="BG185" s="11"/>
      <c r="BH185" s="11"/>
    </row>
    <row r="186" spans="1:60" ht="16.5" customHeight="1" x14ac:dyDescent="0.3">
      <c r="A186" s="11"/>
      <c r="B186" s="11"/>
      <c r="C186" s="20" t="s">
        <v>46</v>
      </c>
      <c r="E186" s="122"/>
      <c r="F186" s="122"/>
      <c r="G186" s="122"/>
      <c r="H186" s="122"/>
      <c r="I186" s="122"/>
      <c r="J186" s="122"/>
      <c r="K186" s="122"/>
      <c r="L186" s="122"/>
      <c r="M186" s="122"/>
      <c r="N186" s="122"/>
      <c r="O186" s="122"/>
      <c r="P186" s="122"/>
      <c r="Q186" s="122"/>
      <c r="R186" s="122"/>
      <c r="S186" s="122"/>
      <c r="T186" s="122"/>
      <c r="U186" s="122"/>
      <c r="V186" s="122"/>
      <c r="W186" s="122"/>
      <c r="X186" s="122"/>
      <c r="Y186" s="122"/>
      <c r="Z186" s="122"/>
      <c r="AA186" s="122"/>
      <c r="AB186" s="122"/>
      <c r="AC186" s="8"/>
      <c r="AD186" s="317"/>
      <c r="AE186" s="317"/>
      <c r="AF186" s="317"/>
      <c r="AG186" s="317"/>
      <c r="AH186" s="317"/>
      <c r="AI186" s="317"/>
      <c r="AJ186" s="317"/>
      <c r="AK186" s="317"/>
      <c r="AL186" s="317"/>
      <c r="AM186" s="317"/>
      <c r="AN186" s="317"/>
      <c r="AO186" s="317"/>
      <c r="AP186" s="317"/>
      <c r="AQ186" s="317"/>
      <c r="AR186" s="317"/>
      <c r="AS186" s="317"/>
      <c r="AT186" s="317"/>
      <c r="AU186" s="317"/>
      <c r="AV186" s="317"/>
      <c r="AW186" s="317"/>
      <c r="AX186" s="317"/>
      <c r="AY186" s="317"/>
      <c r="AZ186" s="317"/>
      <c r="BA186" s="317"/>
      <c r="BB186" s="15"/>
      <c r="BC186" s="113"/>
      <c r="BD186" s="11"/>
      <c r="BE186" s="11"/>
      <c r="BF186" s="11"/>
      <c r="BG186" s="11"/>
      <c r="BH186" s="11"/>
    </row>
    <row r="187" spans="1:60" ht="66.75" customHeight="1" x14ac:dyDescent="0.3">
      <c r="A187" s="11"/>
      <c r="B187" s="11"/>
      <c r="C187" s="21" t="s">
        <v>65</v>
      </c>
      <c r="E187" s="304"/>
      <c r="F187" s="304"/>
      <c r="G187" s="304"/>
      <c r="H187" s="304"/>
      <c r="I187" s="304"/>
      <c r="J187" s="304"/>
      <c r="K187" s="304"/>
      <c r="L187" s="304"/>
      <c r="M187" s="304"/>
      <c r="N187" s="304"/>
      <c r="O187" s="304"/>
      <c r="P187" s="304"/>
      <c r="Q187" s="304"/>
      <c r="R187" s="304"/>
      <c r="S187" s="304"/>
      <c r="T187" s="304"/>
      <c r="U187" s="304"/>
      <c r="V187" s="304"/>
      <c r="W187" s="304"/>
      <c r="X187" s="304"/>
      <c r="Y187" s="304"/>
      <c r="Z187" s="304"/>
      <c r="AA187" s="304"/>
      <c r="AB187" s="304"/>
      <c r="AC187" s="8"/>
      <c r="AD187" s="317"/>
      <c r="AE187" s="317"/>
      <c r="AF187" s="317"/>
      <c r="AG187" s="317"/>
      <c r="AH187" s="317"/>
      <c r="AI187" s="317"/>
      <c r="AJ187" s="317"/>
      <c r="AK187" s="317"/>
      <c r="AL187" s="317"/>
      <c r="AM187" s="317"/>
      <c r="AN187" s="317"/>
      <c r="AO187" s="317"/>
      <c r="AP187" s="317"/>
      <c r="AQ187" s="317"/>
      <c r="AR187" s="317"/>
      <c r="AS187" s="317"/>
      <c r="AT187" s="317"/>
      <c r="AU187" s="317"/>
      <c r="AV187" s="317"/>
      <c r="AW187" s="317"/>
      <c r="AX187" s="317"/>
      <c r="AY187" s="317"/>
      <c r="AZ187" s="317"/>
      <c r="BA187" s="317"/>
      <c r="BB187" s="15"/>
      <c r="BC187" s="113"/>
      <c r="BD187" s="11"/>
      <c r="BE187" s="11"/>
      <c r="BF187" s="11"/>
      <c r="BG187" s="11"/>
      <c r="BH187" s="11"/>
    </row>
    <row r="188" spans="1:60" ht="43.5" customHeight="1" x14ac:dyDescent="0.3">
      <c r="A188" s="7"/>
      <c r="B188" s="7"/>
      <c r="C188" s="21" t="s">
        <v>47</v>
      </c>
      <c r="E188" s="309"/>
      <c r="F188" s="310"/>
      <c r="G188" s="310"/>
      <c r="H188" s="310"/>
      <c r="I188" s="310"/>
      <c r="J188" s="310"/>
      <c r="K188" s="310"/>
      <c r="L188" s="310"/>
      <c r="M188" s="310"/>
      <c r="N188" s="310"/>
      <c r="O188" s="310"/>
      <c r="P188" s="311"/>
      <c r="Q188" s="312"/>
      <c r="R188" s="310"/>
      <c r="S188" s="310"/>
      <c r="T188" s="310"/>
      <c r="U188" s="310"/>
      <c r="V188" s="310"/>
      <c r="W188" s="310"/>
      <c r="X188" s="310"/>
      <c r="Y188" s="310"/>
      <c r="Z188" s="310"/>
      <c r="AA188" s="310"/>
      <c r="AB188" s="310"/>
      <c r="AC188" s="29"/>
      <c r="AD188" s="317"/>
      <c r="AE188" s="317"/>
      <c r="AF188" s="317"/>
      <c r="AG188" s="317"/>
      <c r="AH188" s="317"/>
      <c r="AI188" s="317"/>
      <c r="AJ188" s="317"/>
      <c r="AK188" s="317"/>
      <c r="AL188" s="317"/>
      <c r="AM188" s="317"/>
      <c r="AN188" s="317"/>
      <c r="AO188" s="317"/>
      <c r="AP188" s="317"/>
      <c r="AQ188" s="317"/>
      <c r="AR188" s="317"/>
      <c r="AS188" s="317"/>
      <c r="AT188" s="317"/>
      <c r="AU188" s="317"/>
      <c r="AV188" s="317"/>
      <c r="AW188" s="317"/>
      <c r="AX188" s="317"/>
      <c r="AY188" s="317"/>
      <c r="AZ188" s="317"/>
      <c r="BA188" s="317"/>
      <c r="BB188" s="15"/>
      <c r="BC188" s="59"/>
      <c r="BD188" s="7"/>
      <c r="BE188" s="7"/>
      <c r="BF188" s="7"/>
      <c r="BG188" s="7"/>
      <c r="BH188" s="7"/>
    </row>
    <row r="189" spans="1:60" x14ac:dyDescent="0.25">
      <c r="C189" s="20"/>
      <c r="E189" s="35"/>
      <c r="F189" s="35"/>
      <c r="G189" s="35"/>
      <c r="H189" s="35"/>
      <c r="I189" s="35"/>
      <c r="J189" s="35"/>
      <c r="K189" s="35"/>
      <c r="L189" s="35"/>
      <c r="M189" s="35"/>
      <c r="N189" s="35"/>
      <c r="O189" s="35"/>
      <c r="P189" s="35"/>
      <c r="Q189" s="35"/>
      <c r="R189" s="35"/>
      <c r="S189" s="35"/>
      <c r="T189" s="35"/>
      <c r="U189" s="35"/>
      <c r="V189" s="35"/>
      <c r="W189" s="35"/>
      <c r="X189" s="35"/>
      <c r="Y189" s="35"/>
      <c r="Z189" s="35"/>
      <c r="AA189" s="35"/>
      <c r="AB189" s="35"/>
    </row>
    <row r="190" spans="1:60" x14ac:dyDescent="0.25">
      <c r="C190" s="20"/>
    </row>
    <row r="191" spans="1:60" x14ac:dyDescent="0.25">
      <c r="C191" s="20"/>
    </row>
    <row r="192" spans="1:60" x14ac:dyDescent="0.25">
      <c r="C192" s="20"/>
    </row>
    <row r="193" spans="3:3" x14ac:dyDescent="0.25">
      <c r="C193" s="20"/>
    </row>
  </sheetData>
  <mergeCells count="159">
    <mergeCell ref="E188:P188"/>
    <mergeCell ref="Q188:AB188"/>
    <mergeCell ref="E155:P155"/>
    <mergeCell ref="Q155:AB155"/>
    <mergeCell ref="AD155:AO155"/>
    <mergeCell ref="AP155:BA155"/>
    <mergeCell ref="E166:P166"/>
    <mergeCell ref="Q166:AB166"/>
    <mergeCell ref="AD166:AO166"/>
    <mergeCell ref="AP166:BA166"/>
    <mergeCell ref="E177:P177"/>
    <mergeCell ref="Q177:AB177"/>
    <mergeCell ref="AD177:AO177"/>
    <mergeCell ref="AP177:BA177"/>
    <mergeCell ref="AD178:BA178"/>
    <mergeCell ref="AD179:BA188"/>
    <mergeCell ref="E187:AB187"/>
    <mergeCell ref="E119:P119"/>
    <mergeCell ref="Q119:AB119"/>
    <mergeCell ref="AD119:AO119"/>
    <mergeCell ref="AP119:BA119"/>
    <mergeCell ref="E130:P130"/>
    <mergeCell ref="Q130:AB130"/>
    <mergeCell ref="AD130:AO130"/>
    <mergeCell ref="AP130:BA130"/>
    <mergeCell ref="E141:P141"/>
    <mergeCell ref="Q141:AB141"/>
    <mergeCell ref="AD141:AO141"/>
    <mergeCell ref="AP141:BA141"/>
    <mergeCell ref="Q47:AB47"/>
    <mergeCell ref="AD47:AO47"/>
    <mergeCell ref="AP47:BA47"/>
    <mergeCell ref="E61:P61"/>
    <mergeCell ref="Q61:AB61"/>
    <mergeCell ref="AD61:AO61"/>
    <mergeCell ref="AP61:BA61"/>
    <mergeCell ref="P49:U49"/>
    <mergeCell ref="Q83:AB83"/>
    <mergeCell ref="AD83:AO83"/>
    <mergeCell ref="AP83:BA83"/>
    <mergeCell ref="BD61:BH61"/>
    <mergeCell ref="BD99:BH99"/>
    <mergeCell ref="BD101:BH101"/>
    <mergeCell ref="BD100:BH100"/>
    <mergeCell ref="BD110:BH110"/>
    <mergeCell ref="BD63:BH63"/>
    <mergeCell ref="E72:P72"/>
    <mergeCell ref="Q72:AB72"/>
    <mergeCell ref="AD72:AO72"/>
    <mergeCell ref="AP72:BA72"/>
    <mergeCell ref="E83:P83"/>
    <mergeCell ref="AD107:BA107"/>
    <mergeCell ref="AD71:BA71"/>
    <mergeCell ref="E94:P94"/>
    <mergeCell ref="Q94:AB94"/>
    <mergeCell ref="AD94:AO94"/>
    <mergeCell ref="AP94:BA94"/>
    <mergeCell ref="E108:P108"/>
    <mergeCell ref="Q108:AB108"/>
    <mergeCell ref="AD108:AO108"/>
    <mergeCell ref="AP108:BA108"/>
    <mergeCell ref="P96:U96"/>
    <mergeCell ref="Z96:AE96"/>
    <mergeCell ref="C2:J3"/>
    <mergeCell ref="P2:U2"/>
    <mergeCell ref="BD4:BH4"/>
    <mergeCell ref="BD13:BH13"/>
    <mergeCell ref="E46:AB46"/>
    <mergeCell ref="AD46:BA46"/>
    <mergeCell ref="BD14:BH14"/>
    <mergeCell ref="BD8:BH8"/>
    <mergeCell ref="BD15:BH15"/>
    <mergeCell ref="Z2:AE2"/>
    <mergeCell ref="BD5:BH5"/>
    <mergeCell ref="BD6:BH6"/>
    <mergeCell ref="BD7:BH7"/>
    <mergeCell ref="BD9:BH9"/>
    <mergeCell ref="BD10:BH10"/>
    <mergeCell ref="BD12:BH12"/>
    <mergeCell ref="AD35:BA35"/>
    <mergeCell ref="E35:AB35"/>
    <mergeCell ref="AD24:BA24"/>
    <mergeCell ref="E24:AB24"/>
    <mergeCell ref="BD11:BH11"/>
    <mergeCell ref="AD13:BA13"/>
    <mergeCell ref="E13:AB13"/>
    <mergeCell ref="BD16:BH16"/>
    <mergeCell ref="BD51:BH51"/>
    <mergeCell ref="BD148:BH148"/>
    <mergeCell ref="BD150:BH150"/>
    <mergeCell ref="BD151:BH151"/>
    <mergeCell ref="BD152:BH152"/>
    <mergeCell ref="BD153:BH153"/>
    <mergeCell ref="BD154:BH154"/>
    <mergeCell ref="BD107:BH107"/>
    <mergeCell ref="BD106:BH106"/>
    <mergeCell ref="BD105:BH105"/>
    <mergeCell ref="BD104:BH104"/>
    <mergeCell ref="BD52:BH52"/>
    <mergeCell ref="BD145:BH145"/>
    <mergeCell ref="BD146:BH146"/>
    <mergeCell ref="BD147:BH147"/>
    <mergeCell ref="BD103:BH103"/>
    <mergeCell ref="BD98:BH98"/>
    <mergeCell ref="BD102:BH102"/>
    <mergeCell ref="BD108:BH108"/>
    <mergeCell ref="BD109:BH109"/>
    <mergeCell ref="BD54:BH54"/>
    <mergeCell ref="BD56:BH56"/>
    <mergeCell ref="BD55:BH55"/>
    <mergeCell ref="BD59:BH59"/>
    <mergeCell ref="E118:AB118"/>
    <mergeCell ref="E176:AB176"/>
    <mergeCell ref="AD176:BA176"/>
    <mergeCell ref="AD165:BA165"/>
    <mergeCell ref="E165:AB165"/>
    <mergeCell ref="C143:J144"/>
    <mergeCell ref="E140:AB140"/>
    <mergeCell ref="E14:P14"/>
    <mergeCell ref="Q14:AB14"/>
    <mergeCell ref="AD14:AO14"/>
    <mergeCell ref="AP14:BA14"/>
    <mergeCell ref="E25:P25"/>
    <mergeCell ref="Q25:AB25"/>
    <mergeCell ref="AD25:AO25"/>
    <mergeCell ref="AP25:BA25"/>
    <mergeCell ref="E36:P36"/>
    <mergeCell ref="Q36:AB36"/>
    <mergeCell ref="AD36:AO36"/>
    <mergeCell ref="P143:U143"/>
    <mergeCell ref="AD60:BA60"/>
    <mergeCell ref="E71:AB71"/>
    <mergeCell ref="AD118:BA118"/>
    <mergeCell ref="AP36:BA36"/>
    <mergeCell ref="E47:P47"/>
    <mergeCell ref="BD157:BH157"/>
    <mergeCell ref="Z49:AE49"/>
    <mergeCell ref="C49:J50"/>
    <mergeCell ref="Z143:AE143"/>
    <mergeCell ref="E154:AB154"/>
    <mergeCell ref="E107:AB107"/>
    <mergeCell ref="AD82:BA82"/>
    <mergeCell ref="E82:AB82"/>
    <mergeCell ref="C96:J97"/>
    <mergeCell ref="E93:AB93"/>
    <mergeCell ref="AD93:BA93"/>
    <mergeCell ref="E129:AB129"/>
    <mergeCell ref="AD129:BA129"/>
    <mergeCell ref="BD53:BH53"/>
    <mergeCell ref="BD60:BH60"/>
    <mergeCell ref="BD62:BH62"/>
    <mergeCell ref="BD149:BH149"/>
    <mergeCell ref="BD155:BH155"/>
    <mergeCell ref="BD156:BH156"/>
    <mergeCell ref="BD57:BH57"/>
    <mergeCell ref="BD58:BH58"/>
    <mergeCell ref="E60:AB60"/>
    <mergeCell ref="AD154:BA154"/>
    <mergeCell ref="AD140:BA140"/>
  </mergeCells>
  <conditionalFormatting sqref="E13:E14">
    <cfRule type="cellIs" dxfId="315" priority="31" operator="equal">
      <formula>"RP"</formula>
    </cfRule>
  </conditionalFormatting>
  <conditionalFormatting sqref="E24:E25">
    <cfRule type="cellIs" dxfId="314" priority="29" operator="equal">
      <formula>"RP"</formula>
    </cfRule>
  </conditionalFormatting>
  <conditionalFormatting sqref="E35:E36">
    <cfRule type="cellIs" dxfId="313" priority="27" operator="equal">
      <formula>"RP"</formula>
    </cfRule>
  </conditionalFormatting>
  <conditionalFormatting sqref="E46:E47">
    <cfRule type="cellIs" dxfId="312" priority="25" operator="equal">
      <formula>"RP"</formula>
    </cfRule>
  </conditionalFormatting>
  <conditionalFormatting sqref="E60:E61">
    <cfRule type="cellIs" dxfId="311" priority="23" operator="equal">
      <formula>"RP"</formula>
    </cfRule>
  </conditionalFormatting>
  <conditionalFormatting sqref="E71:E72">
    <cfRule type="cellIs" dxfId="310" priority="21" operator="equal">
      <formula>"RP"</formula>
    </cfRule>
  </conditionalFormatting>
  <conditionalFormatting sqref="E82:E83">
    <cfRule type="cellIs" dxfId="309" priority="19" operator="equal">
      <formula>"RP"</formula>
    </cfRule>
  </conditionalFormatting>
  <conditionalFormatting sqref="E93:E94">
    <cfRule type="cellIs" dxfId="308" priority="17" operator="equal">
      <formula>"RP"</formula>
    </cfRule>
  </conditionalFormatting>
  <conditionalFormatting sqref="E107:E108">
    <cfRule type="cellIs" dxfId="307" priority="15" operator="equal">
      <formula>"RP"</formula>
    </cfRule>
  </conditionalFormatting>
  <conditionalFormatting sqref="E118:E119">
    <cfRule type="cellIs" dxfId="306" priority="13" operator="equal">
      <formula>"RP"</formula>
    </cfRule>
  </conditionalFormatting>
  <conditionalFormatting sqref="E129:E130">
    <cfRule type="cellIs" dxfId="305" priority="11" operator="equal">
      <formula>"RP"</formula>
    </cfRule>
  </conditionalFormatting>
  <conditionalFormatting sqref="E140:E141">
    <cfRule type="cellIs" dxfId="304" priority="9" operator="equal">
      <formula>"RP"</formula>
    </cfRule>
  </conditionalFormatting>
  <conditionalFormatting sqref="E154:E155">
    <cfRule type="cellIs" dxfId="303" priority="7" operator="equal">
      <formula>"RP"</formula>
    </cfRule>
  </conditionalFormatting>
  <conditionalFormatting sqref="E165:E166">
    <cfRule type="cellIs" dxfId="302" priority="5" operator="equal">
      <formula>"RP"</formula>
    </cfRule>
  </conditionalFormatting>
  <conditionalFormatting sqref="E176:E177">
    <cfRule type="cellIs" dxfId="301" priority="3" operator="equal">
      <formula>"RP"</formula>
    </cfRule>
  </conditionalFormatting>
  <conditionalFormatting sqref="E187:E188">
    <cfRule type="cellIs" dxfId="300" priority="1" operator="equal">
      <formula>"RP"</formula>
    </cfRule>
  </conditionalFormatting>
  <conditionalFormatting sqref="E9:O9">
    <cfRule type="cellIs" dxfId="299" priority="284" operator="equal">
      <formula>"RP"</formula>
    </cfRule>
  </conditionalFormatting>
  <conditionalFormatting sqref="E20:O20">
    <cfRule type="cellIs" dxfId="298" priority="179" operator="equal">
      <formula>"RP"</formula>
    </cfRule>
  </conditionalFormatting>
  <conditionalFormatting sqref="E31:O31">
    <cfRule type="cellIs" dxfId="297" priority="144" operator="equal">
      <formula>"RP"</formula>
    </cfRule>
  </conditionalFormatting>
  <conditionalFormatting sqref="E42:O42">
    <cfRule type="cellIs" dxfId="296" priority="39" operator="equal">
      <formula>"RP"</formula>
    </cfRule>
  </conditionalFormatting>
  <conditionalFormatting sqref="E56:O56">
    <cfRule type="cellIs" dxfId="295" priority="1519" operator="equal">
      <formula>"RP"</formula>
    </cfRule>
  </conditionalFormatting>
  <conditionalFormatting sqref="E67:O67">
    <cfRule type="cellIs" dxfId="294" priority="986" operator="equal">
      <formula>"RP"</formula>
    </cfRule>
  </conditionalFormatting>
  <conditionalFormatting sqref="E78:O78">
    <cfRule type="cellIs" dxfId="293" priority="951" operator="equal">
      <formula>"RP"</formula>
    </cfRule>
  </conditionalFormatting>
  <conditionalFormatting sqref="E89:O89">
    <cfRule type="cellIs" dxfId="292" priority="846" operator="equal">
      <formula>"RP"</formula>
    </cfRule>
  </conditionalFormatting>
  <conditionalFormatting sqref="E103:O103">
    <cfRule type="cellIs" dxfId="291" priority="811" operator="equal">
      <formula>"RP"</formula>
    </cfRule>
  </conditionalFormatting>
  <conditionalFormatting sqref="E114:O114">
    <cfRule type="cellIs" dxfId="290" priority="706" operator="equal">
      <formula>"RP"</formula>
    </cfRule>
  </conditionalFormatting>
  <conditionalFormatting sqref="E125:O125">
    <cfRule type="cellIs" dxfId="289" priority="671" operator="equal">
      <formula>"RP"</formula>
    </cfRule>
  </conditionalFormatting>
  <conditionalFormatting sqref="E136:O136">
    <cfRule type="cellIs" dxfId="288" priority="601" operator="equal">
      <formula>"RP"</formula>
    </cfRule>
  </conditionalFormatting>
  <conditionalFormatting sqref="E150:O150">
    <cfRule type="cellIs" dxfId="287" priority="496" operator="equal">
      <formula>"RP"</formula>
    </cfRule>
  </conditionalFormatting>
  <conditionalFormatting sqref="E161:O161">
    <cfRule type="cellIs" dxfId="286" priority="461" operator="equal">
      <formula>"RP"</formula>
    </cfRule>
  </conditionalFormatting>
  <conditionalFormatting sqref="E172:O172">
    <cfRule type="cellIs" dxfId="285" priority="356" operator="equal">
      <formula>"RP"</formula>
    </cfRule>
  </conditionalFormatting>
  <conditionalFormatting sqref="E183:O183">
    <cfRule type="cellIs" dxfId="284" priority="321" operator="equal">
      <formula>"RP"</formula>
    </cfRule>
  </conditionalFormatting>
  <conditionalFormatting sqref="E7:AA7">
    <cfRule type="cellIs" dxfId="283" priority="285" operator="equal">
      <formula>"RP"</formula>
    </cfRule>
  </conditionalFormatting>
  <conditionalFormatting sqref="E11:AA12">
    <cfRule type="cellIs" dxfId="282" priority="283" operator="equal">
      <formula>"RP"</formula>
    </cfRule>
  </conditionalFormatting>
  <conditionalFormatting sqref="E18:AA18">
    <cfRule type="cellIs" dxfId="281" priority="180" operator="equal">
      <formula>"RP"</formula>
    </cfRule>
  </conditionalFormatting>
  <conditionalFormatting sqref="E22:AA23">
    <cfRule type="cellIs" dxfId="280" priority="178" operator="equal">
      <formula>"RP"</formula>
    </cfRule>
  </conditionalFormatting>
  <conditionalFormatting sqref="E29:AA29">
    <cfRule type="cellIs" dxfId="279" priority="145" operator="equal">
      <formula>"RP"</formula>
    </cfRule>
  </conditionalFormatting>
  <conditionalFormatting sqref="E33:AA34">
    <cfRule type="cellIs" dxfId="278" priority="143" operator="equal">
      <formula>"RP"</formula>
    </cfRule>
  </conditionalFormatting>
  <conditionalFormatting sqref="E40:AA40">
    <cfRule type="cellIs" dxfId="277" priority="40" operator="equal">
      <formula>"RP"</formula>
    </cfRule>
  </conditionalFormatting>
  <conditionalFormatting sqref="E44:AA45">
    <cfRule type="cellIs" dxfId="276" priority="38" operator="equal">
      <formula>"RP"</formula>
    </cfRule>
  </conditionalFormatting>
  <conditionalFormatting sqref="E54:AA54">
    <cfRule type="cellIs" dxfId="275" priority="1520" operator="equal">
      <formula>"RP"</formula>
    </cfRule>
  </conditionalFormatting>
  <conditionalFormatting sqref="E58:AA59">
    <cfRule type="cellIs" dxfId="274" priority="1518" operator="equal">
      <formula>"RP"</formula>
    </cfRule>
  </conditionalFormatting>
  <conditionalFormatting sqref="E65:AA65">
    <cfRule type="cellIs" dxfId="273" priority="987" operator="equal">
      <formula>"RP"</formula>
    </cfRule>
  </conditionalFormatting>
  <conditionalFormatting sqref="E69:AA70">
    <cfRule type="cellIs" dxfId="272" priority="985" operator="equal">
      <formula>"RP"</formula>
    </cfRule>
  </conditionalFormatting>
  <conditionalFormatting sqref="E76:AA76">
    <cfRule type="cellIs" dxfId="271" priority="952" operator="equal">
      <formula>"RP"</formula>
    </cfRule>
  </conditionalFormatting>
  <conditionalFormatting sqref="E80:AA81">
    <cfRule type="cellIs" dxfId="270" priority="950" operator="equal">
      <formula>"RP"</formula>
    </cfRule>
  </conditionalFormatting>
  <conditionalFormatting sqref="E87:AA87">
    <cfRule type="cellIs" dxfId="269" priority="847" operator="equal">
      <formula>"RP"</formula>
    </cfRule>
  </conditionalFormatting>
  <conditionalFormatting sqref="E91:AA92">
    <cfRule type="cellIs" dxfId="268" priority="845" operator="equal">
      <formula>"RP"</formula>
    </cfRule>
  </conditionalFormatting>
  <conditionalFormatting sqref="E101:AA101">
    <cfRule type="cellIs" dxfId="267" priority="812" operator="equal">
      <formula>"RP"</formula>
    </cfRule>
  </conditionalFormatting>
  <conditionalFormatting sqref="E105:AA106">
    <cfRule type="cellIs" dxfId="266" priority="810" operator="equal">
      <formula>"RP"</formula>
    </cfRule>
  </conditionalFormatting>
  <conditionalFormatting sqref="E112:AA112">
    <cfRule type="cellIs" dxfId="265" priority="707" operator="equal">
      <formula>"RP"</formula>
    </cfRule>
  </conditionalFormatting>
  <conditionalFormatting sqref="E116:AA117">
    <cfRule type="cellIs" dxfId="264" priority="705" operator="equal">
      <formula>"RP"</formula>
    </cfRule>
  </conditionalFormatting>
  <conditionalFormatting sqref="E123:AA123">
    <cfRule type="cellIs" dxfId="263" priority="672" operator="equal">
      <formula>"RP"</formula>
    </cfRule>
  </conditionalFormatting>
  <conditionalFormatting sqref="E127:AA128">
    <cfRule type="cellIs" dxfId="262" priority="670" operator="equal">
      <formula>"RP"</formula>
    </cfRule>
  </conditionalFormatting>
  <conditionalFormatting sqref="E134:AA134">
    <cfRule type="cellIs" dxfId="261" priority="602" operator="equal">
      <formula>"RP"</formula>
    </cfRule>
  </conditionalFormatting>
  <conditionalFormatting sqref="E138:AA139">
    <cfRule type="cellIs" dxfId="260" priority="600" operator="equal">
      <formula>"RP"</formula>
    </cfRule>
  </conditionalFormatting>
  <conditionalFormatting sqref="E148:AA148">
    <cfRule type="cellIs" dxfId="259" priority="497" operator="equal">
      <formula>"RP"</formula>
    </cfRule>
  </conditionalFormatting>
  <conditionalFormatting sqref="E152:AA153">
    <cfRule type="cellIs" dxfId="258" priority="495" operator="equal">
      <formula>"RP"</formula>
    </cfRule>
  </conditionalFormatting>
  <conditionalFormatting sqref="E159:AA159">
    <cfRule type="cellIs" dxfId="257" priority="462" operator="equal">
      <formula>"RP"</formula>
    </cfRule>
  </conditionalFormatting>
  <conditionalFormatting sqref="E163:AA164">
    <cfRule type="cellIs" dxfId="256" priority="460" operator="equal">
      <formula>"RP"</formula>
    </cfRule>
  </conditionalFormatting>
  <conditionalFormatting sqref="E170:AA170">
    <cfRule type="cellIs" dxfId="255" priority="357" operator="equal">
      <formula>"RP"</formula>
    </cfRule>
  </conditionalFormatting>
  <conditionalFormatting sqref="E174:AA175">
    <cfRule type="cellIs" dxfId="254" priority="355" operator="equal">
      <formula>"RP"</formula>
    </cfRule>
  </conditionalFormatting>
  <conditionalFormatting sqref="E181:AA181">
    <cfRule type="cellIs" dxfId="253" priority="322" operator="equal">
      <formula>"RP"</formula>
    </cfRule>
  </conditionalFormatting>
  <conditionalFormatting sqref="E185:AA186">
    <cfRule type="cellIs" dxfId="252" priority="320" operator="equal">
      <formula>"RP"</formula>
    </cfRule>
  </conditionalFormatting>
  <conditionalFormatting sqref="E5:AB12">
    <cfRule type="cellIs" dxfId="251" priority="289" operator="equal">
      <formula>"RP"</formula>
    </cfRule>
  </conditionalFormatting>
  <conditionalFormatting sqref="E16:AB23">
    <cfRule type="cellIs" dxfId="250" priority="184" operator="equal">
      <formula>"RP"</formula>
    </cfRule>
  </conditionalFormatting>
  <conditionalFormatting sqref="E27:AB34">
    <cfRule type="cellIs" dxfId="249" priority="149" operator="equal">
      <formula>"RP"</formula>
    </cfRule>
  </conditionalFormatting>
  <conditionalFormatting sqref="E38:AB45">
    <cfRule type="cellIs" dxfId="248" priority="44" operator="equal">
      <formula>"RP"</formula>
    </cfRule>
  </conditionalFormatting>
  <conditionalFormatting sqref="E52:AB59">
    <cfRule type="cellIs" dxfId="247" priority="1984" operator="equal">
      <formula>"RP"</formula>
    </cfRule>
  </conditionalFormatting>
  <conditionalFormatting sqref="E63:AB70">
    <cfRule type="cellIs" dxfId="246" priority="991" operator="equal">
      <formula>"RP"</formula>
    </cfRule>
  </conditionalFormatting>
  <conditionalFormatting sqref="E74:AB81">
    <cfRule type="cellIs" dxfId="245" priority="956" operator="equal">
      <formula>"RP"</formula>
    </cfRule>
  </conditionalFormatting>
  <conditionalFormatting sqref="E85:AB92">
    <cfRule type="cellIs" dxfId="244" priority="851" operator="equal">
      <formula>"RP"</formula>
    </cfRule>
  </conditionalFormatting>
  <conditionalFormatting sqref="E99:AB106">
    <cfRule type="cellIs" dxfId="243" priority="816" operator="equal">
      <formula>"RP"</formula>
    </cfRule>
  </conditionalFormatting>
  <conditionalFormatting sqref="E110:AB117">
    <cfRule type="cellIs" dxfId="242" priority="711" operator="equal">
      <formula>"RP"</formula>
    </cfRule>
  </conditionalFormatting>
  <conditionalFormatting sqref="E121:AB128">
    <cfRule type="cellIs" dxfId="241" priority="676" operator="equal">
      <formula>"RP"</formula>
    </cfRule>
  </conditionalFormatting>
  <conditionalFormatting sqref="E132:AB139">
    <cfRule type="cellIs" dxfId="240" priority="606" operator="equal">
      <formula>"RP"</formula>
    </cfRule>
  </conditionalFormatting>
  <conditionalFormatting sqref="E146:AB153">
    <cfRule type="cellIs" dxfId="239" priority="501" operator="equal">
      <formula>"RP"</formula>
    </cfRule>
  </conditionalFormatting>
  <conditionalFormatting sqref="E157:AB164">
    <cfRule type="cellIs" dxfId="238" priority="466" operator="equal">
      <formula>"RP"</formula>
    </cfRule>
  </conditionalFormatting>
  <conditionalFormatting sqref="E168:AB175">
    <cfRule type="cellIs" dxfId="237" priority="361" operator="equal">
      <formula>"RP"</formula>
    </cfRule>
  </conditionalFormatting>
  <conditionalFormatting sqref="E179:AB186">
    <cfRule type="cellIs" dxfId="236" priority="326" operator="equal">
      <formula>"RP"</formula>
    </cfRule>
  </conditionalFormatting>
  <conditionalFormatting sqref="E1:BA1 E2:P2 V2:Z2 AF2:BA2 E3:BA4">
    <cfRule type="cellIs" dxfId="235" priority="25604" operator="equal">
      <formula>"RP"</formula>
    </cfRule>
  </conditionalFormatting>
  <conditionalFormatting sqref="E15:BA15">
    <cfRule type="cellIs" dxfId="234" priority="26067" operator="equal">
      <formula>"RP"</formula>
    </cfRule>
  </conditionalFormatting>
  <conditionalFormatting sqref="E26:BA26 E73:BA73 E84:BA84 E95:BA95 E96:P96 V96:Z96 AF96:BA96 E97:BA98 E109:BA109 E120:BA120 E131:BA131 E142:BA142 E143:P143 V143:Z143 AF143:BA143 E144:BA145 E156:BA156 E167:BA167 E178:AD178 E189:BA1048576">
    <cfRule type="cellIs" dxfId="233" priority="26094" operator="equal">
      <formula>"RP"</formula>
    </cfRule>
  </conditionalFormatting>
  <conditionalFormatting sqref="E37:BA37">
    <cfRule type="cellIs" dxfId="232" priority="25613" operator="equal">
      <formula>"RP"</formula>
    </cfRule>
  </conditionalFormatting>
  <conditionalFormatting sqref="E48:BA48 E49:P49 V49:Z49 AF49:BA49 E50:BA51">
    <cfRule type="cellIs" dxfId="231" priority="25605" operator="equal">
      <formula>"RP"</formula>
    </cfRule>
  </conditionalFormatting>
  <conditionalFormatting sqref="E62:BA62 AC63:AC72">
    <cfRule type="cellIs" dxfId="230" priority="25609" operator="equal">
      <formula>"RP"</formula>
    </cfRule>
  </conditionalFormatting>
  <conditionalFormatting sqref="I8">
    <cfRule type="cellIs" dxfId="229" priority="300" operator="equal">
      <formula>"RP"</formula>
    </cfRule>
  </conditionalFormatting>
  <conditionalFormatting sqref="I10">
    <cfRule type="cellIs" dxfId="228" priority="295" operator="equal">
      <formula>"RP"</formula>
    </cfRule>
  </conditionalFormatting>
  <conditionalFormatting sqref="I19">
    <cfRule type="cellIs" dxfId="227" priority="195" operator="equal">
      <formula>"RP"</formula>
    </cfRule>
  </conditionalFormatting>
  <conditionalFormatting sqref="I21">
    <cfRule type="cellIs" dxfId="226" priority="190" operator="equal">
      <formula>"RP"</formula>
    </cfRule>
  </conditionalFormatting>
  <conditionalFormatting sqref="I30">
    <cfRule type="cellIs" dxfId="225" priority="160" operator="equal">
      <formula>"RP"</formula>
    </cfRule>
  </conditionalFormatting>
  <conditionalFormatting sqref="I32">
    <cfRule type="cellIs" dxfId="224" priority="155" operator="equal">
      <formula>"RP"</formula>
    </cfRule>
  </conditionalFormatting>
  <conditionalFormatting sqref="I41">
    <cfRule type="cellIs" dxfId="223" priority="55" operator="equal">
      <formula>"RP"</formula>
    </cfRule>
  </conditionalFormatting>
  <conditionalFormatting sqref="I43">
    <cfRule type="cellIs" dxfId="222" priority="50" operator="equal">
      <formula>"RP"</formula>
    </cfRule>
  </conditionalFormatting>
  <conditionalFormatting sqref="I55">
    <cfRule type="cellIs" dxfId="221" priority="1998" operator="equal">
      <formula>"RP"</formula>
    </cfRule>
  </conditionalFormatting>
  <conditionalFormatting sqref="I57">
    <cfRule type="cellIs" dxfId="220" priority="1993" operator="equal">
      <formula>"RP"</formula>
    </cfRule>
  </conditionalFormatting>
  <conditionalFormatting sqref="I66">
    <cfRule type="cellIs" dxfId="219" priority="1002" operator="equal">
      <formula>"RP"</formula>
    </cfRule>
  </conditionalFormatting>
  <conditionalFormatting sqref="I68">
    <cfRule type="cellIs" dxfId="218" priority="997" operator="equal">
      <formula>"RP"</formula>
    </cfRule>
  </conditionalFormatting>
  <conditionalFormatting sqref="I77">
    <cfRule type="cellIs" dxfId="217" priority="967" operator="equal">
      <formula>"RP"</formula>
    </cfRule>
  </conditionalFormatting>
  <conditionalFormatting sqref="I79">
    <cfRule type="cellIs" dxfId="216" priority="962" operator="equal">
      <formula>"RP"</formula>
    </cfRule>
  </conditionalFormatting>
  <conditionalFormatting sqref="I88">
    <cfRule type="cellIs" dxfId="215" priority="862" operator="equal">
      <formula>"RP"</formula>
    </cfRule>
  </conditionalFormatting>
  <conditionalFormatting sqref="I90">
    <cfRule type="cellIs" dxfId="214" priority="857" operator="equal">
      <formula>"RP"</formula>
    </cfRule>
  </conditionalFormatting>
  <conditionalFormatting sqref="I102">
    <cfRule type="cellIs" dxfId="213" priority="827" operator="equal">
      <formula>"RP"</formula>
    </cfRule>
  </conditionalFormatting>
  <conditionalFormatting sqref="I104">
    <cfRule type="cellIs" dxfId="212" priority="822" operator="equal">
      <formula>"RP"</formula>
    </cfRule>
  </conditionalFormatting>
  <conditionalFormatting sqref="I113">
    <cfRule type="cellIs" dxfId="211" priority="722" operator="equal">
      <formula>"RP"</formula>
    </cfRule>
  </conditionalFormatting>
  <conditionalFormatting sqref="I115">
    <cfRule type="cellIs" dxfId="210" priority="717" operator="equal">
      <formula>"RP"</formula>
    </cfRule>
  </conditionalFormatting>
  <conditionalFormatting sqref="I124">
    <cfRule type="cellIs" dxfId="209" priority="687" operator="equal">
      <formula>"RP"</formula>
    </cfRule>
  </conditionalFormatting>
  <conditionalFormatting sqref="I126">
    <cfRule type="cellIs" dxfId="208" priority="682" operator="equal">
      <formula>"RP"</formula>
    </cfRule>
  </conditionalFormatting>
  <conditionalFormatting sqref="I135">
    <cfRule type="cellIs" dxfId="207" priority="617" operator="equal">
      <formula>"RP"</formula>
    </cfRule>
  </conditionalFormatting>
  <conditionalFormatting sqref="I137">
    <cfRule type="cellIs" dxfId="206" priority="612" operator="equal">
      <formula>"RP"</formula>
    </cfRule>
  </conditionalFormatting>
  <conditionalFormatting sqref="I149">
    <cfRule type="cellIs" dxfId="205" priority="512" operator="equal">
      <formula>"RP"</formula>
    </cfRule>
  </conditionalFormatting>
  <conditionalFormatting sqref="I151">
    <cfRule type="cellIs" dxfId="204" priority="507" operator="equal">
      <formula>"RP"</formula>
    </cfRule>
  </conditionalFormatting>
  <conditionalFormatting sqref="I160">
    <cfRule type="cellIs" dxfId="203" priority="477" operator="equal">
      <formula>"RP"</formula>
    </cfRule>
  </conditionalFormatting>
  <conditionalFormatting sqref="I162">
    <cfRule type="cellIs" dxfId="202" priority="472" operator="equal">
      <formula>"RP"</formula>
    </cfRule>
  </conditionalFormatting>
  <conditionalFormatting sqref="I171">
    <cfRule type="cellIs" dxfId="201" priority="372" operator="equal">
      <formula>"RP"</formula>
    </cfRule>
  </conditionalFormatting>
  <conditionalFormatting sqref="I173">
    <cfRule type="cellIs" dxfId="200" priority="367" operator="equal">
      <formula>"RP"</formula>
    </cfRule>
  </conditionalFormatting>
  <conditionalFormatting sqref="I182">
    <cfRule type="cellIs" dxfId="199" priority="337" operator="equal">
      <formula>"RP"</formula>
    </cfRule>
  </conditionalFormatting>
  <conditionalFormatting sqref="I184">
    <cfRule type="cellIs" dxfId="198" priority="332" operator="equal">
      <formula>"RP"</formula>
    </cfRule>
  </conditionalFormatting>
  <conditionalFormatting sqref="P9:R10">
    <cfRule type="cellIs" dxfId="197" priority="290" operator="equal">
      <formula>"RP"</formula>
    </cfRule>
  </conditionalFormatting>
  <conditionalFormatting sqref="P20:R21">
    <cfRule type="cellIs" dxfId="196" priority="185" operator="equal">
      <formula>"RP"</formula>
    </cfRule>
  </conditionalFormatting>
  <conditionalFormatting sqref="P31:R32">
    <cfRule type="cellIs" dxfId="195" priority="150" operator="equal">
      <formula>"RP"</formula>
    </cfRule>
  </conditionalFormatting>
  <conditionalFormatting sqref="P42:R43">
    <cfRule type="cellIs" dxfId="194" priority="45" operator="equal">
      <formula>"RP"</formula>
    </cfRule>
  </conditionalFormatting>
  <conditionalFormatting sqref="P56:R57">
    <cfRule type="cellIs" dxfId="193" priority="1988" operator="equal">
      <formula>"RP"</formula>
    </cfRule>
  </conditionalFormatting>
  <conditionalFormatting sqref="P67:R68">
    <cfRule type="cellIs" dxfId="192" priority="992" operator="equal">
      <formula>"RP"</formula>
    </cfRule>
  </conditionalFormatting>
  <conditionalFormatting sqref="P78:R79">
    <cfRule type="cellIs" dxfId="191" priority="957" operator="equal">
      <formula>"RP"</formula>
    </cfRule>
  </conditionalFormatting>
  <conditionalFormatting sqref="P89:R90">
    <cfRule type="cellIs" dxfId="190" priority="852" operator="equal">
      <formula>"RP"</formula>
    </cfRule>
  </conditionalFormatting>
  <conditionalFormatting sqref="P103:R104">
    <cfRule type="cellIs" dxfId="189" priority="817" operator="equal">
      <formula>"RP"</formula>
    </cfRule>
  </conditionalFormatting>
  <conditionalFormatting sqref="P114:R115">
    <cfRule type="cellIs" dxfId="188" priority="712" operator="equal">
      <formula>"RP"</formula>
    </cfRule>
  </conditionalFormatting>
  <conditionalFormatting sqref="P125:R126">
    <cfRule type="cellIs" dxfId="187" priority="677" operator="equal">
      <formula>"RP"</formula>
    </cfRule>
  </conditionalFormatting>
  <conditionalFormatting sqref="P136:R137">
    <cfRule type="cellIs" dxfId="186" priority="607" operator="equal">
      <formula>"RP"</formula>
    </cfRule>
  </conditionalFormatting>
  <conditionalFormatting sqref="P150:R151">
    <cfRule type="cellIs" dxfId="185" priority="502" operator="equal">
      <formula>"RP"</formula>
    </cfRule>
  </conditionalFormatting>
  <conditionalFormatting sqref="P161:R162">
    <cfRule type="cellIs" dxfId="184" priority="467" operator="equal">
      <formula>"RP"</formula>
    </cfRule>
  </conditionalFormatting>
  <conditionalFormatting sqref="P172:R173">
    <cfRule type="cellIs" dxfId="183" priority="362" operator="equal">
      <formula>"RP"</formula>
    </cfRule>
  </conditionalFormatting>
  <conditionalFormatting sqref="P183:R184">
    <cfRule type="cellIs" dxfId="182" priority="327" operator="equal">
      <formula>"RP"</formula>
    </cfRule>
  </conditionalFormatting>
  <conditionalFormatting sqref="S9:AA9">
    <cfRule type="cellIs" dxfId="181" priority="308" operator="equal">
      <formula>"RP"</formula>
    </cfRule>
  </conditionalFormatting>
  <conditionalFormatting sqref="S20:AA20">
    <cfRule type="cellIs" dxfId="180" priority="203" operator="equal">
      <formula>"RP"</formula>
    </cfRule>
  </conditionalFormatting>
  <conditionalFormatting sqref="S31:AA31">
    <cfRule type="cellIs" dxfId="179" priority="168" operator="equal">
      <formula>"RP"</formula>
    </cfRule>
  </conditionalFormatting>
  <conditionalFormatting sqref="S42:AA42">
    <cfRule type="cellIs" dxfId="178" priority="63" operator="equal">
      <formula>"RP"</formula>
    </cfRule>
  </conditionalFormatting>
  <conditionalFormatting sqref="S56:AA56">
    <cfRule type="cellIs" dxfId="177" priority="2008" operator="equal">
      <formula>"RP"</formula>
    </cfRule>
  </conditionalFormatting>
  <conditionalFormatting sqref="S67:AA67">
    <cfRule type="cellIs" dxfId="176" priority="1010" operator="equal">
      <formula>"RP"</formula>
    </cfRule>
  </conditionalFormatting>
  <conditionalFormatting sqref="S78:AA78">
    <cfRule type="cellIs" dxfId="175" priority="975" operator="equal">
      <formula>"RP"</formula>
    </cfRule>
  </conditionalFormatting>
  <conditionalFormatting sqref="S89:AA89">
    <cfRule type="cellIs" dxfId="174" priority="870" operator="equal">
      <formula>"RP"</formula>
    </cfRule>
  </conditionalFormatting>
  <conditionalFormatting sqref="S103:AA103">
    <cfRule type="cellIs" dxfId="173" priority="835" operator="equal">
      <formula>"RP"</formula>
    </cfRule>
  </conditionalFormatting>
  <conditionalFormatting sqref="S114:AA114">
    <cfRule type="cellIs" dxfId="172" priority="730" operator="equal">
      <formula>"RP"</formula>
    </cfRule>
  </conditionalFormatting>
  <conditionalFormatting sqref="S125:AA125">
    <cfRule type="cellIs" dxfId="171" priority="695" operator="equal">
      <formula>"RP"</formula>
    </cfRule>
  </conditionalFormatting>
  <conditionalFormatting sqref="S136:AA136">
    <cfRule type="cellIs" dxfId="170" priority="625" operator="equal">
      <formula>"RP"</formula>
    </cfRule>
  </conditionalFormatting>
  <conditionalFormatting sqref="S150:AA150">
    <cfRule type="cellIs" dxfId="169" priority="520" operator="equal">
      <formula>"RP"</formula>
    </cfRule>
  </conditionalFormatting>
  <conditionalFormatting sqref="S161:AA161">
    <cfRule type="cellIs" dxfId="168" priority="485" operator="equal">
      <formula>"RP"</formula>
    </cfRule>
  </conditionalFormatting>
  <conditionalFormatting sqref="S172:AA172">
    <cfRule type="cellIs" dxfId="167" priority="380" operator="equal">
      <formula>"RP"</formula>
    </cfRule>
  </conditionalFormatting>
  <conditionalFormatting sqref="S183:AA183">
    <cfRule type="cellIs" dxfId="166" priority="345" operator="equal">
      <formula>"RP"</formula>
    </cfRule>
  </conditionalFormatting>
  <conditionalFormatting sqref="AC5:AC14">
    <cfRule type="cellIs" dxfId="165" priority="26088" operator="equal">
      <formula>"RP"</formula>
    </cfRule>
  </conditionalFormatting>
  <conditionalFormatting sqref="AC16:AC25">
    <cfRule type="cellIs" dxfId="164" priority="26092" operator="equal">
      <formula>"RP"</formula>
    </cfRule>
  </conditionalFormatting>
  <conditionalFormatting sqref="AC27:AC36">
    <cfRule type="cellIs" dxfId="163" priority="25614" operator="equal">
      <formula>"RP"</formula>
    </cfRule>
  </conditionalFormatting>
  <conditionalFormatting sqref="AC38:AC47">
    <cfRule type="cellIs" dxfId="162" priority="25611" operator="equal">
      <formula>"RP"</formula>
    </cfRule>
  </conditionalFormatting>
  <conditionalFormatting sqref="AC52:AC61">
    <cfRule type="cellIs" dxfId="161" priority="25575" operator="equal">
      <formula>"RP"</formula>
    </cfRule>
  </conditionalFormatting>
  <conditionalFormatting sqref="AC74:AC83">
    <cfRule type="cellIs" dxfId="160" priority="26084" operator="equal">
      <formula>"RP"</formula>
    </cfRule>
  </conditionalFormatting>
  <conditionalFormatting sqref="AC85:AC94">
    <cfRule type="cellIs" dxfId="159" priority="26082" operator="equal">
      <formula>"RP"</formula>
    </cfRule>
  </conditionalFormatting>
  <conditionalFormatting sqref="AC99:AC108">
    <cfRule type="cellIs" dxfId="158" priority="26081" operator="equal">
      <formula>"RP"</formula>
    </cfRule>
  </conditionalFormatting>
  <conditionalFormatting sqref="AC110:AC119">
    <cfRule type="cellIs" dxfId="157" priority="26080" operator="equal">
      <formula>"RP"</formula>
    </cfRule>
  </conditionalFormatting>
  <conditionalFormatting sqref="AC121:AC130">
    <cfRule type="cellIs" dxfId="156" priority="26079" operator="equal">
      <formula>"RP"</formula>
    </cfRule>
  </conditionalFormatting>
  <conditionalFormatting sqref="AC132:AC141">
    <cfRule type="cellIs" dxfId="155" priority="26078" operator="equal">
      <formula>"RP"</formula>
    </cfRule>
  </conditionalFormatting>
  <conditionalFormatting sqref="AC146:AC155">
    <cfRule type="cellIs" dxfId="154" priority="26077" operator="equal">
      <formula>"RP"</formula>
    </cfRule>
  </conditionalFormatting>
  <conditionalFormatting sqref="AC157:AC166">
    <cfRule type="cellIs" dxfId="153" priority="26076" operator="equal">
      <formula>"RP"</formula>
    </cfRule>
  </conditionalFormatting>
  <conditionalFormatting sqref="AC168:AC177">
    <cfRule type="cellIs" dxfId="152" priority="26075" operator="equal">
      <formula>"RP"</formula>
    </cfRule>
  </conditionalFormatting>
  <conditionalFormatting sqref="AC179:AC188">
    <cfRule type="cellIs" dxfId="151" priority="26074" operator="equal">
      <formula>"RP"</formula>
    </cfRule>
  </conditionalFormatting>
  <conditionalFormatting sqref="AD13:AD14">
    <cfRule type="cellIs" dxfId="150" priority="30" operator="equal">
      <formula>"RP"</formula>
    </cfRule>
  </conditionalFormatting>
  <conditionalFormatting sqref="AD24:AD25">
    <cfRule type="cellIs" dxfId="149" priority="28" operator="equal">
      <formula>"RP"</formula>
    </cfRule>
  </conditionalFormatting>
  <conditionalFormatting sqref="AD35:AD36">
    <cfRule type="cellIs" dxfId="148" priority="26" operator="equal">
      <formula>"RP"</formula>
    </cfRule>
  </conditionalFormatting>
  <conditionalFormatting sqref="AD46:AD47">
    <cfRule type="cellIs" dxfId="147" priority="24" operator="equal">
      <formula>"RP"</formula>
    </cfRule>
  </conditionalFormatting>
  <conditionalFormatting sqref="AD60:AD61">
    <cfRule type="cellIs" dxfId="146" priority="22" operator="equal">
      <formula>"RP"</formula>
    </cfRule>
  </conditionalFormatting>
  <conditionalFormatting sqref="AD71:AD72">
    <cfRule type="cellIs" dxfId="145" priority="20" operator="equal">
      <formula>"RP"</formula>
    </cfRule>
  </conditionalFormatting>
  <conditionalFormatting sqref="AD82:AD83">
    <cfRule type="cellIs" dxfId="144" priority="18" operator="equal">
      <formula>"RP"</formula>
    </cfRule>
  </conditionalFormatting>
  <conditionalFormatting sqref="AD93:AD94">
    <cfRule type="cellIs" dxfId="143" priority="16" operator="equal">
      <formula>"RP"</formula>
    </cfRule>
  </conditionalFormatting>
  <conditionalFormatting sqref="AD107:AD108">
    <cfRule type="cellIs" dxfId="142" priority="14" operator="equal">
      <formula>"RP"</formula>
    </cfRule>
  </conditionalFormatting>
  <conditionalFormatting sqref="AD118:AD119">
    <cfRule type="cellIs" dxfId="141" priority="12" operator="equal">
      <formula>"RP"</formula>
    </cfRule>
  </conditionalFormatting>
  <conditionalFormatting sqref="AD129:AD130">
    <cfRule type="cellIs" dxfId="140" priority="10" operator="equal">
      <formula>"RP"</formula>
    </cfRule>
  </conditionalFormatting>
  <conditionalFormatting sqref="AD140:AD141">
    <cfRule type="cellIs" dxfId="139" priority="8" operator="equal">
      <formula>"RP"</formula>
    </cfRule>
  </conditionalFormatting>
  <conditionalFormatting sqref="AD154:AD155">
    <cfRule type="cellIs" dxfId="138" priority="6" operator="equal">
      <formula>"RP"</formula>
    </cfRule>
  </conditionalFormatting>
  <conditionalFormatting sqref="AD165:AD166">
    <cfRule type="cellIs" dxfId="137" priority="4" operator="equal">
      <formula>"RP"</formula>
    </cfRule>
  </conditionalFormatting>
  <conditionalFormatting sqref="AD176:AD177">
    <cfRule type="cellIs" dxfId="136" priority="2" operator="equal">
      <formula>"RP"</formula>
    </cfRule>
  </conditionalFormatting>
  <conditionalFormatting sqref="AD9:AN9">
    <cfRule type="cellIs" dxfId="135" priority="249" operator="equal">
      <formula>"RP"</formula>
    </cfRule>
  </conditionalFormatting>
  <conditionalFormatting sqref="AD20:AN20">
    <cfRule type="cellIs" dxfId="134" priority="214" operator="equal">
      <formula>"RP"</formula>
    </cfRule>
  </conditionalFormatting>
  <conditionalFormatting sqref="AD31:AN31">
    <cfRule type="cellIs" dxfId="133" priority="109" operator="equal">
      <formula>"RP"</formula>
    </cfRule>
  </conditionalFormatting>
  <conditionalFormatting sqref="AD42:AN42">
    <cfRule type="cellIs" dxfId="132" priority="74" operator="equal">
      <formula>"RP"</formula>
    </cfRule>
  </conditionalFormatting>
  <conditionalFormatting sqref="AD56:AN56">
    <cfRule type="cellIs" dxfId="131" priority="1056" operator="equal">
      <formula>"RP"</formula>
    </cfRule>
  </conditionalFormatting>
  <conditionalFormatting sqref="AD67:AN67">
    <cfRule type="cellIs" dxfId="130" priority="1021" operator="equal">
      <formula>"RP"</formula>
    </cfRule>
  </conditionalFormatting>
  <conditionalFormatting sqref="AD78:AN78">
    <cfRule type="cellIs" dxfId="129" priority="916" operator="equal">
      <formula>"RP"</formula>
    </cfRule>
  </conditionalFormatting>
  <conditionalFormatting sqref="AD89:AN89">
    <cfRule type="cellIs" dxfId="128" priority="881" operator="equal">
      <formula>"RP"</formula>
    </cfRule>
  </conditionalFormatting>
  <conditionalFormatting sqref="AD103:AN103">
    <cfRule type="cellIs" dxfId="127" priority="776" operator="equal">
      <formula>"RP"</formula>
    </cfRule>
  </conditionalFormatting>
  <conditionalFormatting sqref="AD114:AN114">
    <cfRule type="cellIs" dxfId="126" priority="741" operator="equal">
      <formula>"RP"</formula>
    </cfRule>
  </conditionalFormatting>
  <conditionalFormatting sqref="AD125:AN125">
    <cfRule type="cellIs" dxfId="125" priority="636" operator="equal">
      <formula>"RP"</formula>
    </cfRule>
  </conditionalFormatting>
  <conditionalFormatting sqref="AD136:AN136">
    <cfRule type="cellIs" dxfId="124" priority="566" operator="equal">
      <formula>"RP"</formula>
    </cfRule>
  </conditionalFormatting>
  <conditionalFormatting sqref="AD150:AN150">
    <cfRule type="cellIs" dxfId="123" priority="531" operator="equal">
      <formula>"RP"</formula>
    </cfRule>
  </conditionalFormatting>
  <conditionalFormatting sqref="AD161:AN161">
    <cfRule type="cellIs" dxfId="122" priority="426" operator="equal">
      <formula>"RP"</formula>
    </cfRule>
  </conditionalFormatting>
  <conditionalFormatting sqref="AD172:AN172">
    <cfRule type="cellIs" dxfId="121" priority="391" operator="equal">
      <formula>"RP"</formula>
    </cfRule>
  </conditionalFormatting>
  <conditionalFormatting sqref="AD7:AZ7">
    <cfRule type="cellIs" dxfId="120" priority="250" operator="equal">
      <formula>"RP"</formula>
    </cfRule>
  </conditionalFormatting>
  <conditionalFormatting sqref="AD11:AZ12">
    <cfRule type="cellIs" dxfId="119" priority="248" operator="equal">
      <formula>"RP"</formula>
    </cfRule>
  </conditionalFormatting>
  <conditionalFormatting sqref="AD18:AZ18">
    <cfRule type="cellIs" dxfId="118" priority="215" operator="equal">
      <formula>"RP"</formula>
    </cfRule>
  </conditionalFormatting>
  <conditionalFormatting sqref="AD22:AZ23">
    <cfRule type="cellIs" dxfId="117" priority="213" operator="equal">
      <formula>"RP"</formula>
    </cfRule>
  </conditionalFormatting>
  <conditionalFormatting sqref="AD29:AZ29">
    <cfRule type="cellIs" dxfId="116" priority="110" operator="equal">
      <formula>"RP"</formula>
    </cfRule>
  </conditionalFormatting>
  <conditionalFormatting sqref="AD33:AZ34">
    <cfRule type="cellIs" dxfId="115" priority="108" operator="equal">
      <formula>"RP"</formula>
    </cfRule>
  </conditionalFormatting>
  <conditionalFormatting sqref="AD40:AZ40">
    <cfRule type="cellIs" dxfId="114" priority="75" operator="equal">
      <formula>"RP"</formula>
    </cfRule>
  </conditionalFormatting>
  <conditionalFormatting sqref="AD44:AZ45">
    <cfRule type="cellIs" dxfId="113" priority="73" operator="equal">
      <formula>"RP"</formula>
    </cfRule>
  </conditionalFormatting>
  <conditionalFormatting sqref="AD54:AZ54">
    <cfRule type="cellIs" dxfId="112" priority="1057" operator="equal">
      <formula>"RP"</formula>
    </cfRule>
  </conditionalFormatting>
  <conditionalFormatting sqref="AD58:AZ59">
    <cfRule type="cellIs" dxfId="111" priority="1055" operator="equal">
      <formula>"RP"</formula>
    </cfRule>
  </conditionalFormatting>
  <conditionalFormatting sqref="AD65:AZ65">
    <cfRule type="cellIs" dxfId="110" priority="1022" operator="equal">
      <formula>"RP"</formula>
    </cfRule>
  </conditionalFormatting>
  <conditionalFormatting sqref="AD69:AZ70">
    <cfRule type="cellIs" dxfId="109" priority="1020" operator="equal">
      <formula>"RP"</formula>
    </cfRule>
  </conditionalFormatting>
  <conditionalFormatting sqref="AD76:AZ76">
    <cfRule type="cellIs" dxfId="108" priority="917" operator="equal">
      <formula>"RP"</formula>
    </cfRule>
  </conditionalFormatting>
  <conditionalFormatting sqref="AD80:AZ81">
    <cfRule type="cellIs" dxfId="107" priority="915" operator="equal">
      <formula>"RP"</formula>
    </cfRule>
  </conditionalFormatting>
  <conditionalFormatting sqref="AD87:AZ87">
    <cfRule type="cellIs" dxfId="106" priority="882" operator="equal">
      <formula>"RP"</formula>
    </cfRule>
  </conditionalFormatting>
  <conditionalFormatting sqref="AD91:AZ92">
    <cfRule type="cellIs" dxfId="105" priority="880" operator="equal">
      <formula>"RP"</formula>
    </cfRule>
  </conditionalFormatting>
  <conditionalFormatting sqref="AD101:AZ101">
    <cfRule type="cellIs" dxfId="104" priority="777" operator="equal">
      <formula>"RP"</formula>
    </cfRule>
  </conditionalFormatting>
  <conditionalFormatting sqref="AD105:AZ106">
    <cfRule type="cellIs" dxfId="103" priority="775" operator="equal">
      <formula>"RP"</formula>
    </cfRule>
  </conditionalFormatting>
  <conditionalFormatting sqref="AD112:AZ112">
    <cfRule type="cellIs" dxfId="102" priority="742" operator="equal">
      <formula>"RP"</formula>
    </cfRule>
  </conditionalFormatting>
  <conditionalFormatting sqref="AD116:AZ117">
    <cfRule type="cellIs" dxfId="101" priority="740" operator="equal">
      <formula>"RP"</formula>
    </cfRule>
  </conditionalFormatting>
  <conditionalFormatting sqref="AD123:AZ123">
    <cfRule type="cellIs" dxfId="100" priority="637" operator="equal">
      <formula>"RP"</formula>
    </cfRule>
  </conditionalFormatting>
  <conditionalFormatting sqref="AD127:AZ128">
    <cfRule type="cellIs" dxfId="99" priority="635" operator="equal">
      <formula>"RP"</formula>
    </cfRule>
  </conditionalFormatting>
  <conditionalFormatting sqref="AD134:AZ134">
    <cfRule type="cellIs" dxfId="98" priority="567" operator="equal">
      <formula>"RP"</formula>
    </cfRule>
  </conditionalFormatting>
  <conditionalFormatting sqref="AD138:AZ139">
    <cfRule type="cellIs" dxfId="97" priority="565" operator="equal">
      <formula>"RP"</formula>
    </cfRule>
  </conditionalFormatting>
  <conditionalFormatting sqref="AD148:AZ148">
    <cfRule type="cellIs" dxfId="96" priority="532" operator="equal">
      <formula>"RP"</formula>
    </cfRule>
  </conditionalFormatting>
  <conditionalFormatting sqref="AD152:AZ153">
    <cfRule type="cellIs" dxfId="95" priority="530" operator="equal">
      <formula>"RP"</formula>
    </cfRule>
  </conditionalFormatting>
  <conditionalFormatting sqref="AD159:AZ159">
    <cfRule type="cellIs" dxfId="94" priority="427" operator="equal">
      <formula>"RP"</formula>
    </cfRule>
  </conditionalFormatting>
  <conditionalFormatting sqref="AD163:AZ164">
    <cfRule type="cellIs" dxfId="93" priority="425" operator="equal">
      <formula>"RP"</formula>
    </cfRule>
  </conditionalFormatting>
  <conditionalFormatting sqref="AD170:AZ170">
    <cfRule type="cellIs" dxfId="92" priority="392" operator="equal">
      <formula>"RP"</formula>
    </cfRule>
  </conditionalFormatting>
  <conditionalFormatting sqref="AD174:AZ175">
    <cfRule type="cellIs" dxfId="91" priority="390" operator="equal">
      <formula>"RP"</formula>
    </cfRule>
  </conditionalFormatting>
  <conditionalFormatting sqref="AD5:BA12">
    <cfRule type="cellIs" dxfId="90" priority="254" operator="equal">
      <formula>"RP"</formula>
    </cfRule>
  </conditionalFormatting>
  <conditionalFormatting sqref="AD16:BA23">
    <cfRule type="cellIs" dxfId="89" priority="219" operator="equal">
      <formula>"RP"</formula>
    </cfRule>
  </conditionalFormatting>
  <conditionalFormatting sqref="AD27:BA34">
    <cfRule type="cellIs" dxfId="88" priority="114" operator="equal">
      <formula>"RP"</formula>
    </cfRule>
  </conditionalFormatting>
  <conditionalFormatting sqref="AD38:BA45">
    <cfRule type="cellIs" dxfId="87" priority="79" operator="equal">
      <formula>"RP"</formula>
    </cfRule>
  </conditionalFormatting>
  <conditionalFormatting sqref="AD52:BA59">
    <cfRule type="cellIs" dxfId="86" priority="1061" operator="equal">
      <formula>"RP"</formula>
    </cfRule>
  </conditionalFormatting>
  <conditionalFormatting sqref="AD63:BA70">
    <cfRule type="cellIs" dxfId="85" priority="1026" operator="equal">
      <formula>"RP"</formula>
    </cfRule>
  </conditionalFormatting>
  <conditionalFormatting sqref="AD74:BA81">
    <cfRule type="cellIs" dxfId="84" priority="921" operator="equal">
      <formula>"RP"</formula>
    </cfRule>
  </conditionalFormatting>
  <conditionalFormatting sqref="AD85:BA92">
    <cfRule type="cellIs" dxfId="83" priority="886" operator="equal">
      <formula>"RP"</formula>
    </cfRule>
  </conditionalFormatting>
  <conditionalFormatting sqref="AD99:BA106">
    <cfRule type="cellIs" dxfId="82" priority="781" operator="equal">
      <formula>"RP"</formula>
    </cfRule>
  </conditionalFormatting>
  <conditionalFormatting sqref="AD110:BA117">
    <cfRule type="cellIs" dxfId="81" priority="746" operator="equal">
      <formula>"RP"</formula>
    </cfRule>
  </conditionalFormatting>
  <conditionalFormatting sqref="AD121:BA128">
    <cfRule type="cellIs" dxfId="80" priority="641" operator="equal">
      <formula>"RP"</formula>
    </cfRule>
  </conditionalFormatting>
  <conditionalFormatting sqref="AD132:BA139">
    <cfRule type="cellIs" dxfId="79" priority="571" operator="equal">
      <formula>"RP"</formula>
    </cfRule>
  </conditionalFormatting>
  <conditionalFormatting sqref="AD146:BA153">
    <cfRule type="cellIs" dxfId="78" priority="536" operator="equal">
      <formula>"RP"</formula>
    </cfRule>
  </conditionalFormatting>
  <conditionalFormatting sqref="AD157:BA164">
    <cfRule type="cellIs" dxfId="77" priority="431" operator="equal">
      <formula>"RP"</formula>
    </cfRule>
  </conditionalFormatting>
  <conditionalFormatting sqref="AD168:BA175">
    <cfRule type="cellIs" dxfId="76" priority="396" operator="equal">
      <formula>"RP"</formula>
    </cfRule>
  </conditionalFormatting>
  <conditionalFormatting sqref="AH8">
    <cfRule type="cellIs" dxfId="75" priority="265" operator="equal">
      <formula>"RP"</formula>
    </cfRule>
  </conditionalFormatting>
  <conditionalFormatting sqref="AH10">
    <cfRule type="cellIs" dxfId="74" priority="260" operator="equal">
      <formula>"RP"</formula>
    </cfRule>
  </conditionalFormatting>
  <conditionalFormatting sqref="AH19">
    <cfRule type="cellIs" dxfId="73" priority="230" operator="equal">
      <formula>"RP"</formula>
    </cfRule>
  </conditionalFormatting>
  <conditionalFormatting sqref="AH21">
    <cfRule type="cellIs" dxfId="72" priority="225" operator="equal">
      <formula>"RP"</formula>
    </cfRule>
  </conditionalFormatting>
  <conditionalFormatting sqref="AH30">
    <cfRule type="cellIs" dxfId="71" priority="125" operator="equal">
      <formula>"RP"</formula>
    </cfRule>
  </conditionalFormatting>
  <conditionalFormatting sqref="AH32">
    <cfRule type="cellIs" dxfId="70" priority="120" operator="equal">
      <formula>"RP"</formula>
    </cfRule>
  </conditionalFormatting>
  <conditionalFormatting sqref="AH41">
    <cfRule type="cellIs" dxfId="69" priority="90" operator="equal">
      <formula>"RP"</formula>
    </cfRule>
  </conditionalFormatting>
  <conditionalFormatting sqref="AH43">
    <cfRule type="cellIs" dxfId="68" priority="85" operator="equal">
      <formula>"RP"</formula>
    </cfRule>
  </conditionalFormatting>
  <conditionalFormatting sqref="AH55">
    <cfRule type="cellIs" dxfId="67" priority="1072" operator="equal">
      <formula>"RP"</formula>
    </cfRule>
  </conditionalFormatting>
  <conditionalFormatting sqref="AH57">
    <cfRule type="cellIs" dxfId="66" priority="1067" operator="equal">
      <formula>"RP"</formula>
    </cfRule>
  </conditionalFormatting>
  <conditionalFormatting sqref="AH66">
    <cfRule type="cellIs" dxfId="65" priority="1037" operator="equal">
      <formula>"RP"</formula>
    </cfRule>
  </conditionalFormatting>
  <conditionalFormatting sqref="AH68">
    <cfRule type="cellIs" dxfId="64" priority="1032" operator="equal">
      <formula>"RP"</formula>
    </cfRule>
  </conditionalFormatting>
  <conditionalFormatting sqref="AH77">
    <cfRule type="cellIs" dxfId="63" priority="932" operator="equal">
      <formula>"RP"</formula>
    </cfRule>
  </conditionalFormatting>
  <conditionalFormatting sqref="AH79">
    <cfRule type="cellIs" dxfId="62" priority="927" operator="equal">
      <formula>"RP"</formula>
    </cfRule>
  </conditionalFormatting>
  <conditionalFormatting sqref="AH88">
    <cfRule type="cellIs" dxfId="61" priority="897" operator="equal">
      <formula>"RP"</formula>
    </cfRule>
  </conditionalFormatting>
  <conditionalFormatting sqref="AH90">
    <cfRule type="cellIs" dxfId="60" priority="892" operator="equal">
      <formula>"RP"</formula>
    </cfRule>
  </conditionalFormatting>
  <conditionalFormatting sqref="AH102">
    <cfRule type="cellIs" dxfId="59" priority="792" operator="equal">
      <formula>"RP"</formula>
    </cfRule>
  </conditionalFormatting>
  <conditionalFormatting sqref="AH104">
    <cfRule type="cellIs" dxfId="58" priority="787" operator="equal">
      <formula>"RP"</formula>
    </cfRule>
  </conditionalFormatting>
  <conditionalFormatting sqref="AH113">
    <cfRule type="cellIs" dxfId="57" priority="757" operator="equal">
      <formula>"RP"</formula>
    </cfRule>
  </conditionalFormatting>
  <conditionalFormatting sqref="AH115">
    <cfRule type="cellIs" dxfId="56" priority="752" operator="equal">
      <formula>"RP"</formula>
    </cfRule>
  </conditionalFormatting>
  <conditionalFormatting sqref="AH124">
    <cfRule type="cellIs" dxfId="55" priority="652" operator="equal">
      <formula>"RP"</formula>
    </cfRule>
  </conditionalFormatting>
  <conditionalFormatting sqref="AH126">
    <cfRule type="cellIs" dxfId="54" priority="647" operator="equal">
      <formula>"RP"</formula>
    </cfRule>
  </conditionalFormatting>
  <conditionalFormatting sqref="AH135">
    <cfRule type="cellIs" dxfId="53" priority="582" operator="equal">
      <formula>"RP"</formula>
    </cfRule>
  </conditionalFormatting>
  <conditionalFormatting sqref="AH137">
    <cfRule type="cellIs" dxfId="52" priority="577" operator="equal">
      <formula>"RP"</formula>
    </cfRule>
  </conditionalFormatting>
  <conditionalFormatting sqref="AH149">
    <cfRule type="cellIs" dxfId="51" priority="547" operator="equal">
      <formula>"RP"</formula>
    </cfRule>
  </conditionalFormatting>
  <conditionalFormatting sqref="AH151">
    <cfRule type="cellIs" dxfId="50" priority="542" operator="equal">
      <formula>"RP"</formula>
    </cfRule>
  </conditionalFormatting>
  <conditionalFormatting sqref="AH160">
    <cfRule type="cellIs" dxfId="49" priority="442" operator="equal">
      <formula>"RP"</formula>
    </cfRule>
  </conditionalFormatting>
  <conditionalFormatting sqref="AH162">
    <cfRule type="cellIs" dxfId="48" priority="437" operator="equal">
      <formula>"RP"</formula>
    </cfRule>
  </conditionalFormatting>
  <conditionalFormatting sqref="AH171">
    <cfRule type="cellIs" dxfId="47" priority="407" operator="equal">
      <formula>"RP"</formula>
    </cfRule>
  </conditionalFormatting>
  <conditionalFormatting sqref="AH173">
    <cfRule type="cellIs" dxfId="46" priority="402" operator="equal">
      <formula>"RP"</formula>
    </cfRule>
  </conditionalFormatting>
  <conditionalFormatting sqref="AO9:AQ10">
    <cfRule type="cellIs" dxfId="45" priority="255" operator="equal">
      <formula>"RP"</formula>
    </cfRule>
  </conditionalFormatting>
  <conditionalFormatting sqref="AO20:AQ21">
    <cfRule type="cellIs" dxfId="44" priority="220" operator="equal">
      <formula>"RP"</formula>
    </cfRule>
  </conditionalFormatting>
  <conditionalFormatting sqref="AO31:AQ32">
    <cfRule type="cellIs" dxfId="43" priority="115" operator="equal">
      <formula>"RP"</formula>
    </cfRule>
  </conditionalFormatting>
  <conditionalFormatting sqref="AO42:AQ43">
    <cfRule type="cellIs" dxfId="42" priority="80" operator="equal">
      <formula>"RP"</formula>
    </cfRule>
  </conditionalFormatting>
  <conditionalFormatting sqref="AO56:AQ57">
    <cfRule type="cellIs" dxfId="41" priority="1062" operator="equal">
      <formula>"RP"</formula>
    </cfRule>
  </conditionalFormatting>
  <conditionalFormatting sqref="AO67:AQ68">
    <cfRule type="cellIs" dxfId="40" priority="1027" operator="equal">
      <formula>"RP"</formula>
    </cfRule>
  </conditionalFormatting>
  <conditionalFormatting sqref="AO78:AQ79">
    <cfRule type="cellIs" dxfId="39" priority="922" operator="equal">
      <formula>"RP"</formula>
    </cfRule>
  </conditionalFormatting>
  <conditionalFormatting sqref="AO89:AQ90">
    <cfRule type="cellIs" dxfId="38" priority="887" operator="equal">
      <formula>"RP"</formula>
    </cfRule>
  </conditionalFormatting>
  <conditionalFormatting sqref="AO103:AQ104">
    <cfRule type="cellIs" dxfId="37" priority="782" operator="equal">
      <formula>"RP"</formula>
    </cfRule>
  </conditionalFormatting>
  <conditionalFormatting sqref="AO114:AQ115">
    <cfRule type="cellIs" dxfId="36" priority="747" operator="equal">
      <formula>"RP"</formula>
    </cfRule>
  </conditionalFormatting>
  <conditionalFormatting sqref="AO125:AQ126">
    <cfRule type="cellIs" dxfId="35" priority="642" operator="equal">
      <formula>"RP"</formula>
    </cfRule>
  </conditionalFormatting>
  <conditionalFormatting sqref="AO136:AQ137">
    <cfRule type="cellIs" dxfId="34" priority="572" operator="equal">
      <formula>"RP"</formula>
    </cfRule>
  </conditionalFormatting>
  <conditionalFormatting sqref="AO150:AQ151">
    <cfRule type="cellIs" dxfId="33" priority="537" operator="equal">
      <formula>"RP"</formula>
    </cfRule>
  </conditionalFormatting>
  <conditionalFormatting sqref="AO161:AQ162">
    <cfRule type="cellIs" dxfId="32" priority="432" operator="equal">
      <formula>"RP"</formula>
    </cfRule>
  </conditionalFormatting>
  <conditionalFormatting sqref="AO172:AQ173">
    <cfRule type="cellIs" dxfId="31" priority="397" operator="equal">
      <formula>"RP"</formula>
    </cfRule>
  </conditionalFormatting>
  <conditionalFormatting sqref="AR9:AZ9">
    <cfRule type="cellIs" dxfId="30" priority="273" operator="equal">
      <formula>"RP"</formula>
    </cfRule>
  </conditionalFormatting>
  <conditionalFormatting sqref="AR20:AZ20">
    <cfRule type="cellIs" dxfId="29" priority="238" operator="equal">
      <formula>"RP"</formula>
    </cfRule>
  </conditionalFormatting>
  <conditionalFormatting sqref="AR31:AZ31">
    <cfRule type="cellIs" dxfId="28" priority="133" operator="equal">
      <formula>"RP"</formula>
    </cfRule>
  </conditionalFormatting>
  <conditionalFormatting sqref="AR42:AZ42">
    <cfRule type="cellIs" dxfId="27" priority="98" operator="equal">
      <formula>"RP"</formula>
    </cfRule>
  </conditionalFormatting>
  <conditionalFormatting sqref="AR56:AZ56">
    <cfRule type="cellIs" dxfId="26" priority="1080" operator="equal">
      <formula>"RP"</formula>
    </cfRule>
  </conditionalFormatting>
  <conditionalFormatting sqref="AR67:AZ67">
    <cfRule type="cellIs" dxfId="25" priority="1045" operator="equal">
      <formula>"RP"</formula>
    </cfRule>
  </conditionalFormatting>
  <conditionalFormatting sqref="AR78:AZ78">
    <cfRule type="cellIs" dxfId="24" priority="940" operator="equal">
      <formula>"RP"</formula>
    </cfRule>
  </conditionalFormatting>
  <conditionalFormatting sqref="AR89:AZ89">
    <cfRule type="cellIs" dxfId="23" priority="905" operator="equal">
      <formula>"RP"</formula>
    </cfRule>
  </conditionalFormatting>
  <conditionalFormatting sqref="AR103:AZ103">
    <cfRule type="cellIs" dxfId="22" priority="800" operator="equal">
      <formula>"RP"</formula>
    </cfRule>
  </conditionalFormatting>
  <conditionalFormatting sqref="AR114:AZ114">
    <cfRule type="cellIs" dxfId="21" priority="765" operator="equal">
      <formula>"RP"</formula>
    </cfRule>
  </conditionalFormatting>
  <conditionalFormatting sqref="AR125:AZ125">
    <cfRule type="cellIs" dxfId="20" priority="660" operator="equal">
      <formula>"RP"</formula>
    </cfRule>
  </conditionalFormatting>
  <conditionalFormatting sqref="AR136:AZ136">
    <cfRule type="cellIs" dxfId="19" priority="590" operator="equal">
      <formula>"RP"</formula>
    </cfRule>
  </conditionalFormatting>
  <conditionalFormatting sqref="AR150:AZ150">
    <cfRule type="cellIs" dxfId="18" priority="555" operator="equal">
      <formula>"RP"</formula>
    </cfRule>
  </conditionalFormatting>
  <conditionalFormatting sqref="AR161:AZ161">
    <cfRule type="cellIs" dxfId="17" priority="450" operator="equal">
      <formula>"RP"</formula>
    </cfRule>
  </conditionalFormatting>
  <conditionalFormatting sqref="AR172:AZ172">
    <cfRule type="cellIs" dxfId="16" priority="415" operator="equal">
      <formula>"RP"</formula>
    </cfRule>
  </conditionalFormatting>
  <conditionalFormatting sqref="BC4:BD16">
    <cfRule type="cellIs" dxfId="15" priority="33" operator="equal">
      <formula>"RP"</formula>
    </cfRule>
  </conditionalFormatting>
  <conditionalFormatting sqref="BC51:BD63">
    <cfRule type="cellIs" dxfId="14" priority="35" operator="equal">
      <formula>"RP"</formula>
    </cfRule>
  </conditionalFormatting>
  <conditionalFormatting sqref="BC98:BD110">
    <cfRule type="cellIs" dxfId="13" priority="37" operator="equal">
      <formula>"RP"</formula>
    </cfRule>
  </conditionalFormatting>
  <conditionalFormatting sqref="BC145:BD157">
    <cfRule type="cellIs" dxfId="12" priority="10157" operator="equal">
      <formula>"RP"</formula>
    </cfRule>
  </conditionalFormatting>
  <conditionalFormatting sqref="BD11">
    <cfRule type="cellIs" dxfId="11" priority="25983" operator="equal">
      <formula>"RP"</formula>
    </cfRule>
  </conditionalFormatting>
  <conditionalFormatting sqref="BD13">
    <cfRule type="cellIs" dxfId="10" priority="25980" operator="equal">
      <formula>"RP"</formula>
    </cfRule>
  </conditionalFormatting>
  <conditionalFormatting sqref="BD15:BD16">
    <cfRule type="cellIs" dxfId="9" priority="32" operator="equal">
      <formula>"RP"</formula>
    </cfRule>
  </conditionalFormatting>
  <conditionalFormatting sqref="BD58">
    <cfRule type="cellIs" dxfId="8" priority="19982" operator="equal">
      <formula>"RP"</formula>
    </cfRule>
  </conditionalFormatting>
  <conditionalFormatting sqref="BD60">
    <cfRule type="cellIs" dxfId="7" priority="19981" operator="equal">
      <formula>"RP"</formula>
    </cfRule>
  </conditionalFormatting>
  <conditionalFormatting sqref="BD62:BD63">
    <cfRule type="cellIs" dxfId="6" priority="34" operator="equal">
      <formula>"RP"</formula>
    </cfRule>
  </conditionalFormatting>
  <conditionalFormatting sqref="BD105">
    <cfRule type="cellIs" dxfId="5" priority="19976" operator="equal">
      <formula>"RP"</formula>
    </cfRule>
  </conditionalFormatting>
  <conditionalFormatting sqref="BD107">
    <cfRule type="cellIs" dxfId="4" priority="19975" operator="equal">
      <formula>"RP"</formula>
    </cfRule>
  </conditionalFormatting>
  <conditionalFormatting sqref="BD109:BD110">
    <cfRule type="cellIs" dxfId="3" priority="36" operator="equal">
      <formula>"RP"</formula>
    </cfRule>
  </conditionalFormatting>
  <conditionalFormatting sqref="BD152">
    <cfRule type="cellIs" dxfId="2" priority="19970" operator="equal">
      <formula>"RP"</formula>
    </cfRule>
  </conditionalFormatting>
  <conditionalFormatting sqref="BD154">
    <cfRule type="cellIs" dxfId="1" priority="19969" operator="equal">
      <formula>"RP"</formula>
    </cfRule>
  </conditionalFormatting>
  <conditionalFormatting sqref="BD156:BD157">
    <cfRule type="cellIs" dxfId="0" priority="10156" operator="equal">
      <formula>"RP"</formula>
    </cfRule>
  </conditionalFormatting>
  <pageMargins left="0.17" right="0.17" top="0.57999999999999996" bottom="0.35" header="0.19" footer="0.19"/>
  <pageSetup scale="50" fitToHeight="0" orientation="landscape" horizontalDpi="360" verticalDpi="360" r:id="rId1"/>
  <headerFooter alignWithMargins="0"/>
  <rowBreaks count="3" manualBreakCount="3">
    <brk id="47" min="2" max="59" man="1"/>
    <brk id="94" min="2" max="59" man="1"/>
    <brk id="141" min="2" max="5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74A13-39F9-48D6-A50C-855B12ECFBFC}">
  <sheetPr>
    <tabColor rgb="FFFF0000"/>
    <pageSetUpPr fitToPage="1"/>
  </sheetPr>
  <dimension ref="A1:XEZ80"/>
  <sheetViews>
    <sheetView topLeftCell="A28" zoomScale="80" zoomScaleNormal="80" workbookViewId="0">
      <selection activeCell="B5" sqref="B5"/>
    </sheetView>
  </sheetViews>
  <sheetFormatPr defaultRowHeight="15" x14ac:dyDescent="0.25"/>
  <cols>
    <col min="1" max="1" width="13.42578125" customWidth="1"/>
    <col min="2" max="2" width="17.28515625" customWidth="1"/>
    <col min="3" max="3" width="26.140625" customWidth="1"/>
    <col min="10" max="10" width="12.7109375" bestFit="1" customWidth="1"/>
    <col min="12" max="12" width="6.42578125" customWidth="1"/>
    <col min="13" max="13" width="12.42578125" customWidth="1"/>
    <col min="15" max="15" width="59.42578125" customWidth="1"/>
    <col min="18" max="18" width="12.85546875" bestFit="1" customWidth="1"/>
    <col min="19" max="19" width="39.28515625" bestFit="1" customWidth="1"/>
  </cols>
  <sheetData>
    <row r="1" spans="1:16380" ht="23.25" x14ac:dyDescent="0.25">
      <c r="A1" s="329" t="s">
        <v>127</v>
      </c>
      <c r="B1" s="330"/>
      <c r="C1" s="330"/>
      <c r="D1" s="330"/>
      <c r="E1" s="330"/>
      <c r="F1" s="330"/>
      <c r="G1" s="330"/>
      <c r="H1" s="330"/>
      <c r="I1" s="330"/>
      <c r="J1" s="330"/>
      <c r="K1" s="330"/>
      <c r="L1" s="330"/>
      <c r="M1" s="330"/>
      <c r="N1" s="330"/>
      <c r="O1" s="331"/>
      <c r="P1" s="153"/>
      <c r="Q1" s="153"/>
      <c r="R1" s="153"/>
      <c r="S1" s="153"/>
      <c r="T1" s="153"/>
      <c r="U1" s="153"/>
      <c r="V1" s="153"/>
      <c r="W1" s="153"/>
      <c r="X1" s="153"/>
      <c r="Y1" s="153"/>
      <c r="Z1" s="153"/>
      <c r="AA1" s="288"/>
      <c r="AB1" s="288"/>
      <c r="AC1" s="288"/>
      <c r="AD1" s="288"/>
      <c r="AE1" s="288"/>
      <c r="AF1" s="288"/>
      <c r="AG1" s="288"/>
      <c r="AH1" s="288"/>
      <c r="AI1" s="288"/>
      <c r="AJ1" s="288"/>
      <c r="AK1" s="288"/>
      <c r="AL1" s="288"/>
      <c r="AM1" s="288"/>
      <c r="AN1" s="288"/>
      <c r="AO1" s="288"/>
      <c r="AP1" s="288"/>
      <c r="AQ1" s="288"/>
      <c r="AR1" s="288"/>
      <c r="AS1" s="288"/>
      <c r="AT1" s="288"/>
      <c r="AU1" s="288"/>
      <c r="AV1" s="288"/>
      <c r="AW1" s="288"/>
      <c r="AX1" s="288"/>
      <c r="AY1" s="288"/>
      <c r="AZ1" s="288"/>
      <c r="BA1" s="288"/>
      <c r="BB1" s="288"/>
      <c r="BC1" s="288"/>
      <c r="BD1" s="288"/>
      <c r="BE1" s="288"/>
      <c r="BF1" s="288"/>
      <c r="BG1" s="288"/>
      <c r="BH1" s="288"/>
      <c r="BI1" s="288"/>
      <c r="BJ1" s="288"/>
      <c r="BK1" s="288"/>
      <c r="BL1" s="288"/>
      <c r="BM1" s="288"/>
      <c r="BN1" s="288"/>
      <c r="BO1" s="288"/>
      <c r="BP1" s="288"/>
      <c r="BQ1" s="288"/>
      <c r="BR1" s="288"/>
      <c r="BS1" s="288"/>
      <c r="BT1" s="288"/>
      <c r="BU1" s="288"/>
      <c r="BV1" s="288"/>
      <c r="BW1" s="288"/>
      <c r="BX1" s="288"/>
      <c r="BY1" s="288"/>
      <c r="BZ1" s="288"/>
      <c r="CA1" s="288"/>
      <c r="CB1" s="288"/>
      <c r="CC1" s="288"/>
      <c r="CD1" s="288"/>
      <c r="CE1" s="288"/>
      <c r="CF1" s="288"/>
      <c r="CG1" s="288"/>
      <c r="CH1" s="288"/>
      <c r="CI1" s="288"/>
      <c r="CJ1" s="288"/>
      <c r="CK1" s="288"/>
      <c r="CL1" s="288"/>
      <c r="CM1" s="288"/>
      <c r="CN1" s="288"/>
      <c r="CO1" s="288"/>
      <c r="CP1" s="288"/>
      <c r="CQ1" s="288"/>
      <c r="CR1" s="288"/>
      <c r="CS1" s="288"/>
      <c r="CT1" s="288"/>
      <c r="CU1" s="288"/>
      <c r="CV1" s="288"/>
      <c r="CW1" s="288"/>
      <c r="CX1" s="288"/>
      <c r="CY1" s="288"/>
      <c r="CZ1" s="288"/>
      <c r="DA1" s="288"/>
      <c r="DB1" s="288"/>
      <c r="DC1" s="288"/>
      <c r="DD1" s="288"/>
      <c r="DE1" s="288"/>
      <c r="DF1" s="288"/>
      <c r="DG1" s="288"/>
      <c r="DH1" s="288"/>
      <c r="DI1" s="288"/>
      <c r="DJ1" s="288"/>
      <c r="DK1" s="288"/>
      <c r="DL1" s="288"/>
      <c r="DM1" s="288"/>
      <c r="DN1" s="288"/>
      <c r="DO1" s="288"/>
      <c r="DP1" s="288"/>
      <c r="DQ1" s="288"/>
      <c r="DR1" s="288"/>
      <c r="DS1" s="288"/>
      <c r="DT1" s="288"/>
      <c r="DU1" s="288"/>
      <c r="DV1" s="288"/>
      <c r="DW1" s="288"/>
      <c r="DX1" s="288"/>
      <c r="DY1" s="288"/>
      <c r="DZ1" s="288"/>
      <c r="EA1" s="288"/>
      <c r="EB1" s="288"/>
      <c r="EC1" s="288"/>
      <c r="ED1" s="288"/>
      <c r="EE1" s="288"/>
      <c r="EF1" s="288"/>
      <c r="EG1" s="288"/>
      <c r="EH1" s="288"/>
      <c r="EI1" s="288"/>
      <c r="EJ1" s="288"/>
      <c r="EK1" s="288"/>
      <c r="EL1" s="288"/>
      <c r="EM1" s="288"/>
      <c r="EN1" s="288"/>
      <c r="EO1" s="288"/>
      <c r="EP1" s="288"/>
      <c r="EQ1" s="288"/>
      <c r="ER1" s="288"/>
      <c r="ES1" s="288"/>
      <c r="ET1" s="288"/>
      <c r="EU1" s="288"/>
      <c r="EV1" s="288"/>
      <c r="EW1" s="288"/>
      <c r="EX1" s="288"/>
      <c r="EY1" s="288"/>
      <c r="EZ1" s="288"/>
      <c r="FA1" s="288"/>
      <c r="FB1" s="288"/>
      <c r="FC1" s="288"/>
      <c r="FD1" s="288"/>
      <c r="FE1" s="288"/>
      <c r="FF1" s="288"/>
      <c r="FG1" s="288"/>
      <c r="FH1" s="288"/>
      <c r="FI1" s="288"/>
      <c r="FJ1" s="288"/>
      <c r="FK1" s="288"/>
      <c r="FL1" s="288"/>
      <c r="FM1" s="288"/>
      <c r="FN1" s="288"/>
      <c r="FO1" s="288"/>
      <c r="FP1" s="288"/>
      <c r="FQ1" s="288"/>
      <c r="FR1" s="288"/>
      <c r="FS1" s="288"/>
      <c r="FT1" s="288"/>
      <c r="FU1" s="288"/>
      <c r="FV1" s="288"/>
      <c r="FW1" s="288"/>
      <c r="FX1" s="288"/>
      <c r="FY1" s="288"/>
      <c r="FZ1" s="288"/>
      <c r="GA1" s="288"/>
      <c r="GB1" s="288"/>
      <c r="GC1" s="288"/>
      <c r="GD1" s="288"/>
      <c r="GE1" s="288"/>
      <c r="GF1" s="288"/>
      <c r="GG1" s="288"/>
      <c r="GH1" s="288"/>
      <c r="GI1" s="288"/>
      <c r="GJ1" s="288"/>
      <c r="GK1" s="288"/>
      <c r="GL1" s="288"/>
      <c r="GM1" s="288"/>
      <c r="GN1" s="288"/>
      <c r="GO1" s="288"/>
      <c r="GP1" s="288"/>
      <c r="GQ1" s="288"/>
      <c r="GR1" s="288"/>
      <c r="GS1" s="288"/>
      <c r="GT1" s="288"/>
      <c r="GU1" s="288"/>
      <c r="GV1" s="288"/>
      <c r="GW1" s="288"/>
      <c r="GX1" s="288"/>
      <c r="GY1" s="288"/>
      <c r="GZ1" s="288"/>
      <c r="HA1" s="288"/>
      <c r="HB1" s="288"/>
      <c r="HC1" s="288"/>
      <c r="HD1" s="288"/>
      <c r="HE1" s="288"/>
      <c r="HF1" s="288"/>
      <c r="HG1" s="288"/>
      <c r="HH1" s="288"/>
      <c r="HI1" s="288"/>
      <c r="HJ1" s="288"/>
      <c r="HK1" s="288"/>
      <c r="HL1" s="288"/>
      <c r="HM1" s="288"/>
      <c r="HN1" s="288"/>
      <c r="HO1" s="288"/>
      <c r="HP1" s="288"/>
      <c r="HQ1" s="288"/>
      <c r="HR1" s="288"/>
      <c r="HS1" s="288"/>
      <c r="HT1" s="288"/>
      <c r="HU1" s="288"/>
      <c r="HV1" s="288"/>
      <c r="HW1" s="288"/>
      <c r="HX1" s="288"/>
      <c r="HY1" s="288"/>
      <c r="HZ1" s="288"/>
      <c r="IA1" s="288"/>
      <c r="IB1" s="288"/>
      <c r="IC1" s="288"/>
      <c r="ID1" s="288"/>
      <c r="IE1" s="288"/>
      <c r="IF1" s="288"/>
      <c r="IG1" s="288"/>
      <c r="IH1" s="288"/>
      <c r="II1" s="288"/>
      <c r="IJ1" s="288"/>
      <c r="IK1" s="288"/>
      <c r="IL1" s="288"/>
      <c r="IM1" s="288"/>
      <c r="IN1" s="288"/>
      <c r="IO1" s="288"/>
      <c r="IP1" s="288"/>
      <c r="IQ1" s="288"/>
      <c r="IR1" s="288"/>
      <c r="IS1" s="288"/>
      <c r="IT1" s="288"/>
      <c r="IU1" s="288"/>
      <c r="IV1" s="288"/>
      <c r="IW1" s="288"/>
      <c r="IX1" s="288"/>
      <c r="IY1" s="288"/>
      <c r="IZ1" s="288"/>
      <c r="JA1" s="288"/>
      <c r="JB1" s="288"/>
      <c r="JC1" s="288"/>
      <c r="JD1" s="288"/>
      <c r="JE1" s="288"/>
      <c r="JF1" s="288"/>
      <c r="JG1" s="288"/>
      <c r="JH1" s="288"/>
      <c r="JI1" s="288"/>
      <c r="JJ1" s="288"/>
      <c r="JK1" s="288"/>
      <c r="JL1" s="288"/>
      <c r="JM1" s="288"/>
      <c r="JN1" s="288"/>
      <c r="JO1" s="288"/>
      <c r="JP1" s="288"/>
      <c r="JQ1" s="288"/>
      <c r="JR1" s="288"/>
      <c r="JS1" s="288"/>
      <c r="JT1" s="288"/>
      <c r="JU1" s="288"/>
      <c r="JV1" s="288"/>
      <c r="JW1" s="288"/>
      <c r="JX1" s="288"/>
      <c r="JY1" s="288"/>
      <c r="JZ1" s="288"/>
      <c r="KA1" s="288"/>
      <c r="KB1" s="288"/>
      <c r="KC1" s="288"/>
      <c r="KD1" s="288"/>
      <c r="KE1" s="288"/>
      <c r="KF1" s="288"/>
      <c r="KG1" s="288"/>
      <c r="KH1" s="288"/>
      <c r="KI1" s="288"/>
      <c r="KJ1" s="288"/>
      <c r="KK1" s="288"/>
      <c r="KL1" s="288"/>
      <c r="KM1" s="288"/>
      <c r="KN1" s="288"/>
      <c r="KO1" s="288"/>
      <c r="KP1" s="288"/>
      <c r="KQ1" s="288"/>
      <c r="KR1" s="288"/>
      <c r="KS1" s="288"/>
      <c r="KT1" s="288"/>
      <c r="KU1" s="288"/>
      <c r="KV1" s="288"/>
      <c r="KW1" s="288"/>
      <c r="KX1" s="288"/>
      <c r="KY1" s="288"/>
      <c r="KZ1" s="288"/>
      <c r="LA1" s="288"/>
      <c r="LB1" s="288"/>
      <c r="LC1" s="288"/>
      <c r="LD1" s="288"/>
      <c r="LE1" s="288"/>
      <c r="LF1" s="288"/>
      <c r="LG1" s="288"/>
      <c r="LH1" s="288"/>
      <c r="LI1" s="288"/>
      <c r="LJ1" s="288"/>
      <c r="LK1" s="288"/>
      <c r="LL1" s="288"/>
      <c r="LM1" s="288"/>
      <c r="LN1" s="288"/>
      <c r="LO1" s="288"/>
      <c r="LP1" s="288"/>
      <c r="LQ1" s="288"/>
      <c r="LR1" s="288"/>
      <c r="LS1" s="288"/>
      <c r="LT1" s="288"/>
      <c r="LU1" s="288"/>
      <c r="LV1" s="288"/>
      <c r="LW1" s="288"/>
      <c r="LX1" s="288"/>
      <c r="LY1" s="288"/>
      <c r="LZ1" s="288"/>
      <c r="MA1" s="288"/>
      <c r="MB1" s="288"/>
      <c r="MC1" s="288"/>
      <c r="MD1" s="288"/>
      <c r="ME1" s="288"/>
      <c r="MF1" s="288"/>
      <c r="MG1" s="288"/>
      <c r="MH1" s="288"/>
      <c r="MI1" s="288"/>
      <c r="MJ1" s="288"/>
      <c r="MK1" s="288"/>
      <c r="ML1" s="288"/>
      <c r="MM1" s="288"/>
      <c r="MN1" s="288"/>
      <c r="MO1" s="288"/>
      <c r="MP1" s="288"/>
      <c r="MQ1" s="288"/>
      <c r="MR1" s="288"/>
      <c r="MS1" s="288"/>
      <c r="MT1" s="288"/>
      <c r="MU1" s="288"/>
      <c r="MV1" s="288"/>
      <c r="MW1" s="288"/>
      <c r="MX1" s="288"/>
      <c r="MY1" s="288"/>
      <c r="MZ1" s="288"/>
      <c r="NA1" s="288"/>
      <c r="NB1" s="288"/>
      <c r="NC1" s="288"/>
      <c r="ND1" s="288"/>
      <c r="NE1" s="288"/>
      <c r="NF1" s="288"/>
      <c r="NG1" s="288"/>
      <c r="NH1" s="288"/>
      <c r="NI1" s="288"/>
      <c r="NJ1" s="288"/>
      <c r="NK1" s="288"/>
      <c r="NL1" s="288"/>
      <c r="NM1" s="288"/>
      <c r="NN1" s="288"/>
      <c r="NO1" s="288"/>
      <c r="NP1" s="288"/>
      <c r="NQ1" s="288"/>
      <c r="NR1" s="288"/>
      <c r="NS1" s="288"/>
      <c r="NT1" s="288"/>
      <c r="NU1" s="288"/>
      <c r="NV1" s="288"/>
      <c r="NW1" s="288"/>
      <c r="NX1" s="288"/>
      <c r="NY1" s="288"/>
      <c r="NZ1" s="288"/>
      <c r="OA1" s="288"/>
      <c r="OB1" s="288"/>
      <c r="OC1" s="288"/>
      <c r="OD1" s="288"/>
      <c r="OE1" s="288"/>
      <c r="OF1" s="288"/>
      <c r="OG1" s="288"/>
      <c r="OH1" s="288"/>
      <c r="OI1" s="288"/>
      <c r="OJ1" s="288"/>
      <c r="OK1" s="288"/>
      <c r="OL1" s="288"/>
      <c r="OM1" s="288"/>
      <c r="ON1" s="288"/>
      <c r="OO1" s="288"/>
      <c r="OP1" s="288"/>
      <c r="OQ1" s="288"/>
      <c r="OR1" s="288"/>
      <c r="OS1" s="288"/>
      <c r="OT1" s="288"/>
      <c r="OU1" s="288"/>
      <c r="OV1" s="288"/>
      <c r="OW1" s="288"/>
      <c r="OX1" s="288"/>
      <c r="OY1" s="288"/>
      <c r="OZ1" s="288"/>
      <c r="PA1" s="288"/>
      <c r="PB1" s="288"/>
      <c r="PC1" s="288"/>
      <c r="PD1" s="288"/>
      <c r="PE1" s="288"/>
      <c r="PF1" s="288"/>
      <c r="PG1" s="288"/>
      <c r="PH1" s="288"/>
      <c r="PI1" s="288"/>
      <c r="PJ1" s="288"/>
      <c r="PK1" s="288"/>
      <c r="PL1" s="288"/>
      <c r="PM1" s="288"/>
      <c r="PN1" s="288"/>
      <c r="PO1" s="288"/>
      <c r="PP1" s="288"/>
      <c r="PQ1" s="288"/>
      <c r="PR1" s="288"/>
      <c r="PS1" s="288"/>
      <c r="PT1" s="288"/>
      <c r="PU1" s="288"/>
      <c r="PV1" s="288"/>
      <c r="PW1" s="288"/>
      <c r="PX1" s="288"/>
      <c r="PY1" s="288"/>
      <c r="PZ1" s="288"/>
      <c r="QA1" s="288"/>
      <c r="QB1" s="288"/>
      <c r="QC1" s="288"/>
      <c r="QD1" s="288"/>
      <c r="QE1" s="288"/>
      <c r="QF1" s="288"/>
      <c r="QG1" s="288"/>
      <c r="QH1" s="288"/>
      <c r="QI1" s="288"/>
      <c r="QJ1" s="288"/>
      <c r="QK1" s="288"/>
      <c r="QL1" s="288"/>
      <c r="QM1" s="288"/>
      <c r="QN1" s="288"/>
      <c r="QO1" s="288"/>
      <c r="QP1" s="288"/>
      <c r="QQ1" s="288"/>
      <c r="QR1" s="288"/>
      <c r="QS1" s="288"/>
      <c r="QT1" s="288"/>
      <c r="QU1" s="288"/>
      <c r="QV1" s="288"/>
      <c r="QW1" s="288"/>
      <c r="QX1" s="288"/>
      <c r="QY1" s="288"/>
      <c r="QZ1" s="288"/>
      <c r="RA1" s="288"/>
      <c r="RB1" s="288"/>
      <c r="RC1" s="288"/>
      <c r="RD1" s="288"/>
      <c r="RE1" s="288"/>
      <c r="RF1" s="288"/>
      <c r="RG1" s="288"/>
      <c r="RH1" s="288"/>
      <c r="RI1" s="288"/>
      <c r="RJ1" s="288"/>
      <c r="RK1" s="288"/>
      <c r="RL1" s="288"/>
      <c r="RM1" s="288"/>
      <c r="RN1" s="288"/>
      <c r="RO1" s="288"/>
      <c r="RP1" s="288"/>
      <c r="RQ1" s="288"/>
      <c r="RR1" s="288"/>
      <c r="RS1" s="288"/>
      <c r="RT1" s="288"/>
      <c r="RU1" s="288"/>
      <c r="RV1" s="288"/>
      <c r="RW1" s="288"/>
      <c r="RX1" s="288"/>
      <c r="RY1" s="288"/>
      <c r="RZ1" s="288"/>
      <c r="SA1" s="288"/>
      <c r="SB1" s="288"/>
      <c r="SC1" s="288"/>
      <c r="SD1" s="288"/>
      <c r="SE1" s="288"/>
      <c r="SF1" s="288"/>
      <c r="SG1" s="288"/>
      <c r="SH1" s="288"/>
      <c r="SI1" s="288"/>
      <c r="SJ1" s="288"/>
      <c r="SK1" s="288"/>
      <c r="SL1" s="288"/>
      <c r="SM1" s="288"/>
      <c r="SN1" s="288"/>
      <c r="SO1" s="288"/>
      <c r="SP1" s="288"/>
      <c r="SQ1" s="288"/>
      <c r="SR1" s="288"/>
      <c r="SS1" s="288"/>
      <c r="ST1" s="288"/>
      <c r="SU1" s="288"/>
      <c r="SV1" s="288"/>
      <c r="SW1" s="288"/>
      <c r="SX1" s="288"/>
      <c r="SY1" s="288"/>
      <c r="SZ1" s="288"/>
      <c r="TA1" s="288"/>
      <c r="TB1" s="288"/>
      <c r="TC1" s="288"/>
      <c r="TD1" s="288"/>
      <c r="TE1" s="288"/>
      <c r="TF1" s="288"/>
      <c r="TG1" s="288"/>
      <c r="TH1" s="288"/>
      <c r="TI1" s="288"/>
      <c r="TJ1" s="288"/>
      <c r="TK1" s="288"/>
      <c r="TL1" s="288"/>
      <c r="TM1" s="288"/>
      <c r="TN1" s="288"/>
      <c r="TO1" s="288"/>
      <c r="TP1" s="288"/>
      <c r="TQ1" s="288"/>
      <c r="TR1" s="288"/>
      <c r="TS1" s="288"/>
      <c r="TT1" s="288"/>
      <c r="TU1" s="288"/>
      <c r="TV1" s="288"/>
      <c r="TW1" s="288"/>
      <c r="TX1" s="288"/>
      <c r="TY1" s="288"/>
      <c r="TZ1" s="288"/>
      <c r="UA1" s="288"/>
      <c r="UB1" s="288"/>
      <c r="UC1" s="288"/>
      <c r="UD1" s="288"/>
      <c r="UE1" s="288"/>
      <c r="UF1" s="288"/>
      <c r="UG1" s="288"/>
      <c r="UH1" s="288"/>
      <c r="UI1" s="288"/>
      <c r="UJ1" s="288"/>
      <c r="UK1" s="288"/>
      <c r="UL1" s="288"/>
      <c r="UM1" s="288"/>
      <c r="UN1" s="288"/>
      <c r="UO1" s="288"/>
      <c r="UP1" s="288"/>
      <c r="UQ1" s="288"/>
      <c r="UR1" s="288"/>
      <c r="US1" s="288"/>
      <c r="UT1" s="288"/>
      <c r="UU1" s="288"/>
      <c r="UV1" s="288"/>
      <c r="UW1" s="288"/>
      <c r="UX1" s="288"/>
      <c r="UY1" s="288"/>
      <c r="UZ1" s="288"/>
      <c r="VA1" s="288"/>
      <c r="VB1" s="288"/>
      <c r="VC1" s="288"/>
      <c r="VD1" s="288"/>
      <c r="VE1" s="288"/>
      <c r="VF1" s="288"/>
      <c r="VG1" s="288"/>
      <c r="VH1" s="288"/>
      <c r="VI1" s="288"/>
      <c r="VJ1" s="288"/>
      <c r="VK1" s="288"/>
      <c r="VL1" s="288"/>
      <c r="VM1" s="288"/>
      <c r="VN1" s="288"/>
      <c r="VO1" s="288"/>
      <c r="VP1" s="288"/>
      <c r="VQ1" s="288"/>
      <c r="VR1" s="288"/>
      <c r="VS1" s="288"/>
      <c r="VT1" s="288"/>
      <c r="VU1" s="288"/>
      <c r="VV1" s="288"/>
      <c r="VW1" s="288"/>
      <c r="VX1" s="288"/>
      <c r="VY1" s="288"/>
      <c r="VZ1" s="288"/>
      <c r="WA1" s="288"/>
      <c r="WB1" s="288"/>
      <c r="WC1" s="288"/>
      <c r="WD1" s="288"/>
      <c r="WE1" s="288"/>
      <c r="WF1" s="288"/>
      <c r="WG1" s="288"/>
      <c r="WH1" s="288"/>
      <c r="WI1" s="288"/>
      <c r="WJ1" s="288"/>
      <c r="WK1" s="288"/>
      <c r="WL1" s="288"/>
      <c r="WM1" s="288"/>
      <c r="WN1" s="288"/>
      <c r="WO1" s="288"/>
      <c r="WP1" s="288"/>
      <c r="WQ1" s="288"/>
      <c r="WR1" s="288"/>
      <c r="WS1" s="288"/>
      <c r="WT1" s="288"/>
      <c r="WU1" s="288"/>
      <c r="WV1" s="288"/>
      <c r="WW1" s="288"/>
      <c r="WX1" s="288"/>
      <c r="WY1" s="288"/>
      <c r="WZ1" s="288"/>
      <c r="XA1" s="288"/>
      <c r="XB1" s="288"/>
      <c r="XC1" s="288"/>
      <c r="XD1" s="288"/>
      <c r="XE1" s="288"/>
      <c r="XF1" s="288"/>
      <c r="XG1" s="288"/>
      <c r="XH1" s="288"/>
      <c r="XI1" s="288"/>
      <c r="XJ1" s="288"/>
      <c r="XK1" s="288"/>
      <c r="XL1" s="288"/>
      <c r="XM1" s="288"/>
      <c r="XN1" s="288"/>
      <c r="XO1" s="288"/>
      <c r="XP1" s="288"/>
      <c r="XQ1" s="288"/>
      <c r="XR1" s="288"/>
      <c r="XS1" s="288"/>
      <c r="XT1" s="288"/>
      <c r="XU1" s="288"/>
      <c r="XV1" s="288"/>
      <c r="XW1" s="288"/>
      <c r="XX1" s="288"/>
      <c r="XY1" s="288"/>
      <c r="XZ1" s="288"/>
      <c r="YA1" s="288"/>
      <c r="YB1" s="288"/>
      <c r="YC1" s="288"/>
      <c r="YD1" s="288"/>
      <c r="YE1" s="288"/>
      <c r="YF1" s="288"/>
      <c r="YG1" s="288"/>
      <c r="YH1" s="288"/>
      <c r="YI1" s="288"/>
      <c r="YJ1" s="288"/>
      <c r="YK1" s="288"/>
      <c r="YL1" s="288"/>
      <c r="YM1" s="288"/>
      <c r="YN1" s="288"/>
      <c r="YO1" s="288"/>
      <c r="YP1" s="288"/>
      <c r="YQ1" s="288"/>
      <c r="YR1" s="288"/>
      <c r="YS1" s="288"/>
      <c r="YT1" s="288"/>
      <c r="YU1" s="288"/>
      <c r="YV1" s="288"/>
      <c r="YW1" s="288"/>
      <c r="YX1" s="288"/>
      <c r="YY1" s="288"/>
      <c r="YZ1" s="288"/>
      <c r="ZA1" s="288"/>
      <c r="ZB1" s="288"/>
      <c r="ZC1" s="288"/>
      <c r="ZD1" s="288"/>
      <c r="ZE1" s="288"/>
      <c r="ZF1" s="288"/>
      <c r="ZG1" s="288"/>
      <c r="ZH1" s="288"/>
      <c r="ZI1" s="288"/>
      <c r="ZJ1" s="288"/>
      <c r="ZK1" s="288"/>
      <c r="ZL1" s="288"/>
      <c r="ZM1" s="288"/>
      <c r="ZN1" s="288"/>
      <c r="ZO1" s="288"/>
      <c r="ZP1" s="288"/>
      <c r="ZQ1" s="288"/>
      <c r="ZR1" s="288"/>
      <c r="ZS1" s="288"/>
      <c r="ZT1" s="288"/>
      <c r="ZU1" s="288"/>
      <c r="ZV1" s="288"/>
      <c r="ZW1" s="288"/>
      <c r="ZX1" s="288"/>
      <c r="ZY1" s="288"/>
      <c r="ZZ1" s="288"/>
      <c r="AAA1" s="288"/>
      <c r="AAB1" s="288"/>
      <c r="AAC1" s="288"/>
      <c r="AAD1" s="288"/>
      <c r="AAE1" s="288"/>
      <c r="AAF1" s="288"/>
      <c r="AAG1" s="288"/>
      <c r="AAH1" s="288"/>
      <c r="AAI1" s="288"/>
      <c r="AAJ1" s="288"/>
      <c r="AAK1" s="288"/>
      <c r="AAL1" s="288"/>
      <c r="AAM1" s="288"/>
      <c r="AAN1" s="288"/>
      <c r="AAO1" s="288"/>
      <c r="AAP1" s="288"/>
      <c r="AAQ1" s="288"/>
      <c r="AAR1" s="288"/>
      <c r="AAS1" s="288"/>
      <c r="AAT1" s="288"/>
      <c r="AAU1" s="288"/>
      <c r="AAV1" s="288"/>
      <c r="AAW1" s="288"/>
      <c r="AAX1" s="288"/>
      <c r="AAY1" s="288"/>
      <c r="AAZ1" s="288"/>
      <c r="ABA1" s="288"/>
      <c r="ABB1" s="288"/>
      <c r="ABC1" s="288"/>
      <c r="ABD1" s="288"/>
      <c r="ABE1" s="288"/>
      <c r="ABF1" s="288"/>
      <c r="ABG1" s="288"/>
      <c r="ABH1" s="288"/>
      <c r="ABI1" s="288"/>
      <c r="ABJ1" s="288"/>
      <c r="ABK1" s="288"/>
      <c r="ABL1" s="288"/>
      <c r="ABM1" s="288"/>
      <c r="ABN1" s="288"/>
      <c r="ABO1" s="288"/>
      <c r="ABP1" s="288"/>
      <c r="ABQ1" s="288"/>
      <c r="ABR1" s="288"/>
      <c r="ABS1" s="288"/>
      <c r="ABT1" s="288"/>
      <c r="ABU1" s="288"/>
      <c r="ABV1" s="288"/>
      <c r="ABW1" s="288"/>
      <c r="ABX1" s="288"/>
      <c r="ABY1" s="288"/>
      <c r="ABZ1" s="288"/>
      <c r="ACA1" s="288"/>
      <c r="ACB1" s="288"/>
      <c r="ACC1" s="288"/>
      <c r="ACD1" s="288"/>
      <c r="ACE1" s="288"/>
      <c r="ACF1" s="288"/>
      <c r="ACG1" s="288"/>
      <c r="ACH1" s="288"/>
      <c r="ACI1" s="288"/>
      <c r="ACJ1" s="288"/>
      <c r="ACK1" s="288"/>
      <c r="ACL1" s="288"/>
      <c r="ACM1" s="288"/>
      <c r="ACN1" s="288"/>
      <c r="ACO1" s="288"/>
      <c r="ACP1" s="288"/>
      <c r="ACQ1" s="288"/>
      <c r="ACR1" s="288"/>
      <c r="ACS1" s="288"/>
      <c r="ACT1" s="288"/>
      <c r="ACU1" s="288"/>
      <c r="ACV1" s="288"/>
      <c r="ACW1" s="288"/>
      <c r="ACX1" s="288"/>
      <c r="ACY1" s="288"/>
      <c r="ACZ1" s="288"/>
      <c r="ADA1" s="288"/>
      <c r="ADB1" s="288"/>
      <c r="ADC1" s="288"/>
      <c r="ADD1" s="288"/>
      <c r="ADE1" s="288"/>
      <c r="ADF1" s="288"/>
      <c r="ADG1" s="288"/>
      <c r="ADH1" s="288"/>
      <c r="ADI1" s="288"/>
      <c r="ADJ1" s="288"/>
      <c r="ADK1" s="288"/>
      <c r="ADL1" s="288"/>
      <c r="ADM1" s="288"/>
      <c r="ADN1" s="288"/>
      <c r="ADO1" s="288"/>
      <c r="ADP1" s="288"/>
      <c r="ADQ1" s="288"/>
      <c r="ADR1" s="288"/>
      <c r="ADS1" s="288"/>
      <c r="ADT1" s="288"/>
      <c r="ADU1" s="288"/>
      <c r="ADV1" s="288"/>
      <c r="ADW1" s="288"/>
      <c r="ADX1" s="288"/>
      <c r="ADY1" s="288"/>
      <c r="ADZ1" s="288"/>
      <c r="AEA1" s="288"/>
      <c r="AEB1" s="288"/>
      <c r="AEC1" s="288"/>
      <c r="AED1" s="288"/>
      <c r="AEE1" s="288"/>
      <c r="AEF1" s="288"/>
      <c r="AEG1" s="288"/>
      <c r="AEH1" s="288"/>
      <c r="AEI1" s="288"/>
      <c r="AEJ1" s="288"/>
      <c r="AEK1" s="288"/>
      <c r="AEL1" s="288"/>
      <c r="AEM1" s="288"/>
      <c r="AEN1" s="288"/>
      <c r="AEO1" s="288"/>
      <c r="AEP1" s="288"/>
      <c r="AEQ1" s="288"/>
      <c r="AER1" s="288"/>
      <c r="AES1" s="288"/>
      <c r="AET1" s="288"/>
      <c r="AEU1" s="288"/>
      <c r="AEV1" s="288"/>
      <c r="AEW1" s="288"/>
      <c r="AEX1" s="288"/>
      <c r="AEY1" s="288"/>
      <c r="AEZ1" s="288"/>
      <c r="AFA1" s="288"/>
      <c r="AFB1" s="288"/>
      <c r="AFC1" s="288"/>
      <c r="AFD1" s="288"/>
      <c r="AFE1" s="288"/>
      <c r="AFF1" s="288"/>
      <c r="AFG1" s="288"/>
      <c r="AFH1" s="288"/>
      <c r="AFI1" s="288"/>
      <c r="AFJ1" s="288"/>
      <c r="AFK1" s="288"/>
      <c r="AFL1" s="288"/>
      <c r="AFM1" s="288"/>
      <c r="AFN1" s="288"/>
      <c r="AFO1" s="288"/>
      <c r="AFP1" s="288"/>
      <c r="AFQ1" s="288"/>
      <c r="AFR1" s="288"/>
      <c r="AFS1" s="288"/>
      <c r="AFT1" s="288"/>
      <c r="AFU1" s="288"/>
      <c r="AFV1" s="288"/>
      <c r="AFW1" s="288"/>
      <c r="AFX1" s="288"/>
      <c r="AFY1" s="288"/>
      <c r="AFZ1" s="288"/>
      <c r="AGA1" s="288"/>
      <c r="AGB1" s="288"/>
      <c r="AGC1" s="288"/>
      <c r="AGD1" s="288"/>
      <c r="AGE1" s="288"/>
      <c r="AGF1" s="288"/>
      <c r="AGG1" s="288"/>
      <c r="AGH1" s="288"/>
      <c r="AGI1" s="288"/>
      <c r="AGJ1" s="288"/>
      <c r="AGK1" s="288"/>
      <c r="AGL1" s="288"/>
      <c r="AGM1" s="288"/>
      <c r="AGN1" s="288"/>
      <c r="AGO1" s="288"/>
      <c r="AGP1" s="288"/>
      <c r="AGQ1" s="288"/>
      <c r="AGR1" s="288"/>
      <c r="AGS1" s="288"/>
      <c r="AGT1" s="288"/>
      <c r="AGU1" s="288"/>
      <c r="AGV1" s="288"/>
      <c r="AGW1" s="288"/>
      <c r="AGX1" s="288"/>
      <c r="AGY1" s="288"/>
      <c r="AGZ1" s="288"/>
      <c r="AHA1" s="288"/>
      <c r="AHB1" s="288"/>
      <c r="AHC1" s="288"/>
      <c r="AHD1" s="288"/>
      <c r="AHE1" s="288"/>
      <c r="AHF1" s="288"/>
      <c r="AHG1" s="288"/>
      <c r="AHH1" s="288"/>
      <c r="AHI1" s="288"/>
      <c r="AHJ1" s="288"/>
      <c r="AHK1" s="288"/>
      <c r="AHL1" s="288"/>
      <c r="AHM1" s="288"/>
      <c r="AHN1" s="288"/>
      <c r="AHO1" s="288"/>
      <c r="AHP1" s="288"/>
      <c r="AHQ1" s="288"/>
      <c r="AHR1" s="288"/>
      <c r="AHS1" s="288"/>
      <c r="AHT1" s="288"/>
      <c r="AHU1" s="288"/>
      <c r="AHV1" s="288"/>
      <c r="AHW1" s="288"/>
      <c r="AHX1" s="288"/>
      <c r="AHY1" s="288"/>
      <c r="AHZ1" s="288"/>
      <c r="AIA1" s="288"/>
      <c r="AIB1" s="288"/>
      <c r="AIC1" s="288"/>
      <c r="AID1" s="288"/>
      <c r="AIE1" s="288"/>
      <c r="AIF1" s="288"/>
      <c r="AIG1" s="288"/>
      <c r="AIH1" s="288"/>
      <c r="AII1" s="288"/>
      <c r="AIJ1" s="288"/>
      <c r="AIK1" s="288"/>
      <c r="AIL1" s="288"/>
      <c r="AIM1" s="288"/>
      <c r="AIN1" s="288"/>
      <c r="AIO1" s="288"/>
      <c r="AIP1" s="288"/>
      <c r="AIQ1" s="288"/>
      <c r="AIR1" s="288"/>
      <c r="AIS1" s="288"/>
      <c r="AIT1" s="288"/>
      <c r="AIU1" s="288"/>
      <c r="AIV1" s="288"/>
      <c r="AIW1" s="288"/>
      <c r="AIX1" s="288"/>
      <c r="AIY1" s="288"/>
      <c r="AIZ1" s="288"/>
      <c r="AJA1" s="288"/>
      <c r="AJB1" s="288"/>
      <c r="AJC1" s="288"/>
      <c r="AJD1" s="288"/>
      <c r="AJE1" s="288"/>
      <c r="AJF1" s="288"/>
      <c r="AJG1" s="288"/>
      <c r="AJH1" s="288"/>
      <c r="AJI1" s="288"/>
      <c r="AJJ1" s="288"/>
      <c r="AJK1" s="288"/>
      <c r="AJL1" s="288"/>
      <c r="AJM1" s="288"/>
      <c r="AJN1" s="288"/>
      <c r="AJO1" s="288"/>
      <c r="AJP1" s="288"/>
      <c r="AJQ1" s="288"/>
      <c r="AJR1" s="288"/>
      <c r="AJS1" s="288"/>
      <c r="AJT1" s="288"/>
      <c r="AJU1" s="288"/>
      <c r="AJV1" s="288"/>
      <c r="AJW1" s="288"/>
      <c r="AJX1" s="288"/>
      <c r="AJY1" s="288"/>
      <c r="AJZ1" s="288"/>
      <c r="AKA1" s="288"/>
      <c r="AKB1" s="288"/>
      <c r="AKC1" s="288"/>
      <c r="AKD1" s="288"/>
      <c r="AKE1" s="288"/>
      <c r="AKF1" s="288"/>
      <c r="AKG1" s="288"/>
      <c r="AKH1" s="288"/>
      <c r="AKI1" s="288"/>
      <c r="AKJ1" s="288"/>
      <c r="AKK1" s="288"/>
      <c r="AKL1" s="288"/>
      <c r="AKM1" s="288"/>
      <c r="AKN1" s="288"/>
      <c r="AKO1" s="288"/>
      <c r="AKP1" s="288"/>
      <c r="AKQ1" s="288"/>
      <c r="AKR1" s="288"/>
      <c r="AKS1" s="288"/>
      <c r="AKT1" s="288"/>
      <c r="AKU1" s="288"/>
      <c r="AKV1" s="288"/>
      <c r="AKW1" s="288"/>
      <c r="AKX1" s="288"/>
      <c r="AKY1" s="288"/>
      <c r="AKZ1" s="288"/>
      <c r="ALA1" s="288"/>
      <c r="ALB1" s="288"/>
      <c r="ALC1" s="288"/>
      <c r="ALD1" s="288"/>
      <c r="ALE1" s="288"/>
      <c r="ALF1" s="288"/>
      <c r="ALG1" s="288"/>
      <c r="ALH1" s="288"/>
      <c r="ALI1" s="288"/>
      <c r="ALJ1" s="288"/>
      <c r="ALK1" s="288"/>
      <c r="ALL1" s="288"/>
      <c r="ALM1" s="288"/>
      <c r="ALN1" s="288"/>
      <c r="ALO1" s="288"/>
      <c r="ALP1" s="288"/>
      <c r="ALQ1" s="288"/>
      <c r="ALR1" s="288"/>
      <c r="ALS1" s="288"/>
      <c r="ALT1" s="288"/>
      <c r="ALU1" s="288"/>
      <c r="ALV1" s="288"/>
      <c r="ALW1" s="288"/>
      <c r="ALX1" s="288"/>
      <c r="ALY1" s="288"/>
      <c r="ALZ1" s="288"/>
      <c r="AMA1" s="288"/>
      <c r="AMB1" s="288"/>
      <c r="AMC1" s="288"/>
      <c r="AMD1" s="288"/>
      <c r="AME1" s="288"/>
      <c r="AMF1" s="288"/>
      <c r="AMG1" s="288"/>
      <c r="AMH1" s="288"/>
      <c r="AMI1" s="288"/>
      <c r="AMJ1" s="288"/>
      <c r="AMK1" s="288"/>
      <c r="AML1" s="288"/>
      <c r="AMM1" s="288"/>
      <c r="AMN1" s="288"/>
      <c r="AMO1" s="288"/>
      <c r="AMP1" s="288"/>
      <c r="AMQ1" s="288"/>
      <c r="AMR1" s="288"/>
      <c r="AMS1" s="288"/>
      <c r="AMT1" s="288"/>
      <c r="AMU1" s="288"/>
      <c r="AMV1" s="288"/>
      <c r="AMW1" s="288"/>
      <c r="AMX1" s="288"/>
      <c r="AMY1" s="288"/>
      <c r="AMZ1" s="288"/>
      <c r="ANA1" s="288"/>
      <c r="ANB1" s="288"/>
      <c r="ANC1" s="288"/>
      <c r="AND1" s="288"/>
      <c r="ANE1" s="288"/>
      <c r="ANF1" s="288"/>
      <c r="ANG1" s="288"/>
      <c r="ANH1" s="288"/>
      <c r="ANI1" s="288"/>
      <c r="ANJ1" s="288"/>
      <c r="ANK1" s="288"/>
      <c r="ANL1" s="288"/>
      <c r="ANM1" s="288"/>
      <c r="ANN1" s="288"/>
      <c r="ANO1" s="288"/>
      <c r="ANP1" s="288"/>
      <c r="ANQ1" s="288"/>
      <c r="ANR1" s="288"/>
      <c r="ANS1" s="288"/>
      <c r="ANT1" s="288"/>
      <c r="ANU1" s="288"/>
      <c r="ANV1" s="288"/>
      <c r="ANW1" s="288"/>
      <c r="ANX1" s="288"/>
      <c r="ANY1" s="288"/>
      <c r="ANZ1" s="288"/>
      <c r="AOA1" s="288"/>
      <c r="AOB1" s="288"/>
      <c r="AOC1" s="288"/>
      <c r="AOD1" s="288"/>
      <c r="AOE1" s="288"/>
      <c r="AOF1" s="288"/>
      <c r="AOG1" s="288"/>
      <c r="AOH1" s="288"/>
      <c r="AOI1" s="288"/>
      <c r="AOJ1" s="288"/>
      <c r="AOK1" s="288"/>
      <c r="AOL1" s="288"/>
      <c r="AOM1" s="288"/>
      <c r="AON1" s="288"/>
      <c r="AOO1" s="288"/>
      <c r="AOP1" s="288"/>
      <c r="AOQ1" s="288"/>
      <c r="AOR1" s="288"/>
      <c r="AOS1" s="288"/>
      <c r="AOT1" s="288"/>
      <c r="AOU1" s="288"/>
      <c r="AOV1" s="288"/>
      <c r="AOW1" s="288"/>
      <c r="AOX1" s="288"/>
      <c r="AOY1" s="288"/>
      <c r="AOZ1" s="288"/>
      <c r="APA1" s="288"/>
      <c r="APB1" s="288"/>
      <c r="APC1" s="288"/>
      <c r="APD1" s="288"/>
      <c r="APE1" s="288"/>
      <c r="APF1" s="288"/>
      <c r="APG1" s="288"/>
      <c r="APH1" s="288"/>
      <c r="API1" s="288"/>
      <c r="APJ1" s="288"/>
      <c r="APK1" s="288"/>
      <c r="APL1" s="288"/>
      <c r="APM1" s="288"/>
      <c r="APN1" s="288"/>
      <c r="APO1" s="288"/>
      <c r="APP1" s="288"/>
      <c r="APQ1" s="288"/>
      <c r="APR1" s="288"/>
      <c r="APS1" s="288"/>
      <c r="APT1" s="288"/>
      <c r="APU1" s="288"/>
      <c r="APV1" s="288"/>
      <c r="APW1" s="288"/>
      <c r="APX1" s="288"/>
      <c r="APY1" s="288"/>
      <c r="APZ1" s="288"/>
      <c r="AQA1" s="288"/>
      <c r="AQB1" s="288"/>
      <c r="AQC1" s="288"/>
      <c r="AQD1" s="288"/>
      <c r="AQE1" s="288"/>
      <c r="AQF1" s="288"/>
      <c r="AQG1" s="288"/>
      <c r="AQH1" s="288"/>
      <c r="AQI1" s="288"/>
      <c r="AQJ1" s="288"/>
      <c r="AQK1" s="288"/>
      <c r="AQL1" s="288"/>
      <c r="AQM1" s="288"/>
      <c r="AQN1" s="288"/>
      <c r="AQO1" s="288"/>
      <c r="AQP1" s="288"/>
      <c r="AQQ1" s="288"/>
      <c r="AQR1" s="288"/>
      <c r="AQS1" s="288"/>
      <c r="AQT1" s="288"/>
      <c r="AQU1" s="288"/>
      <c r="AQV1" s="288"/>
      <c r="AQW1" s="288"/>
      <c r="AQX1" s="288"/>
      <c r="AQY1" s="288"/>
      <c r="AQZ1" s="288"/>
      <c r="ARA1" s="288"/>
      <c r="ARB1" s="288"/>
      <c r="ARC1" s="288"/>
      <c r="ARD1" s="288"/>
      <c r="ARE1" s="288"/>
      <c r="ARF1" s="288"/>
      <c r="ARG1" s="288"/>
      <c r="ARH1" s="288"/>
      <c r="ARI1" s="288"/>
      <c r="ARJ1" s="288"/>
      <c r="ARK1" s="288"/>
      <c r="ARL1" s="288"/>
      <c r="ARM1" s="288"/>
      <c r="ARN1" s="288"/>
      <c r="ARO1" s="288"/>
      <c r="ARP1" s="288"/>
      <c r="ARQ1" s="288"/>
      <c r="ARR1" s="288"/>
      <c r="ARS1" s="288"/>
      <c r="ART1" s="288"/>
      <c r="ARU1" s="288"/>
      <c r="ARV1" s="288"/>
      <c r="ARW1" s="288"/>
      <c r="ARX1" s="288"/>
      <c r="ARY1" s="288"/>
      <c r="ARZ1" s="288"/>
      <c r="ASA1" s="288"/>
      <c r="ASB1" s="288"/>
      <c r="ASC1" s="288"/>
      <c r="ASD1" s="288"/>
      <c r="ASE1" s="288"/>
      <c r="ASF1" s="288"/>
      <c r="ASG1" s="288"/>
      <c r="ASH1" s="288"/>
      <c r="ASI1" s="288"/>
      <c r="ASJ1" s="288"/>
      <c r="ASK1" s="288"/>
      <c r="ASL1" s="288"/>
      <c r="ASM1" s="288"/>
      <c r="ASN1" s="288"/>
      <c r="ASO1" s="288"/>
      <c r="ASP1" s="288"/>
      <c r="ASQ1" s="288"/>
      <c r="ASR1" s="288"/>
      <c r="ASS1" s="288"/>
      <c r="AST1" s="288"/>
      <c r="ASU1" s="288"/>
      <c r="ASV1" s="288"/>
      <c r="ASW1" s="288"/>
      <c r="ASX1" s="288"/>
      <c r="ASY1" s="288"/>
      <c r="ASZ1" s="288"/>
      <c r="ATA1" s="288"/>
      <c r="ATB1" s="288"/>
      <c r="ATC1" s="288"/>
      <c r="ATD1" s="288"/>
      <c r="ATE1" s="288"/>
      <c r="ATF1" s="288"/>
      <c r="ATG1" s="288"/>
      <c r="ATH1" s="288"/>
      <c r="ATI1" s="288"/>
      <c r="ATJ1" s="288"/>
      <c r="ATK1" s="288"/>
      <c r="ATL1" s="288"/>
      <c r="ATM1" s="288"/>
      <c r="ATN1" s="288"/>
      <c r="ATO1" s="288"/>
      <c r="ATP1" s="288"/>
      <c r="ATQ1" s="288"/>
      <c r="ATR1" s="288"/>
      <c r="ATS1" s="288"/>
      <c r="ATT1" s="288"/>
      <c r="ATU1" s="288"/>
      <c r="ATV1" s="288"/>
      <c r="ATW1" s="288"/>
      <c r="ATX1" s="288"/>
      <c r="ATY1" s="288"/>
      <c r="ATZ1" s="288"/>
      <c r="AUA1" s="288"/>
      <c r="AUB1" s="288"/>
      <c r="AUC1" s="288"/>
      <c r="AUD1" s="288"/>
      <c r="AUE1" s="288"/>
      <c r="AUF1" s="288"/>
      <c r="AUG1" s="288"/>
      <c r="AUH1" s="288"/>
      <c r="AUI1" s="288"/>
      <c r="AUJ1" s="288"/>
      <c r="AUK1" s="288"/>
      <c r="AUL1" s="288"/>
      <c r="AUM1" s="288"/>
      <c r="AUN1" s="288"/>
      <c r="AUO1" s="288"/>
      <c r="AUP1" s="288"/>
      <c r="AUQ1" s="288"/>
      <c r="AUR1" s="288"/>
      <c r="AUS1" s="288"/>
      <c r="AUT1" s="288"/>
      <c r="AUU1" s="288"/>
      <c r="AUV1" s="288"/>
      <c r="AUW1" s="288"/>
      <c r="AUX1" s="288"/>
      <c r="AUY1" s="288"/>
      <c r="AUZ1" s="288"/>
      <c r="AVA1" s="288"/>
      <c r="AVB1" s="288"/>
      <c r="AVC1" s="288"/>
      <c r="AVD1" s="288"/>
      <c r="AVE1" s="288"/>
      <c r="AVF1" s="288"/>
      <c r="AVG1" s="288"/>
      <c r="AVH1" s="288"/>
      <c r="AVI1" s="288"/>
      <c r="AVJ1" s="288"/>
      <c r="AVK1" s="288"/>
      <c r="AVL1" s="288"/>
      <c r="AVM1" s="288"/>
      <c r="AVN1" s="288"/>
      <c r="AVO1" s="288"/>
      <c r="AVP1" s="288"/>
      <c r="AVQ1" s="288"/>
      <c r="AVR1" s="288"/>
      <c r="AVS1" s="288"/>
      <c r="AVT1" s="288"/>
      <c r="AVU1" s="288"/>
      <c r="AVV1" s="288"/>
      <c r="AVW1" s="288"/>
      <c r="AVX1" s="288"/>
      <c r="AVY1" s="288"/>
      <c r="AVZ1" s="288"/>
      <c r="AWA1" s="288"/>
      <c r="AWB1" s="288"/>
      <c r="AWC1" s="288"/>
      <c r="AWD1" s="288"/>
      <c r="AWE1" s="288"/>
      <c r="AWF1" s="288"/>
      <c r="AWG1" s="288"/>
      <c r="AWH1" s="288"/>
      <c r="AWI1" s="288"/>
      <c r="AWJ1" s="288"/>
      <c r="AWK1" s="288"/>
      <c r="AWL1" s="288"/>
      <c r="AWM1" s="288"/>
      <c r="AWN1" s="288"/>
      <c r="AWO1" s="288"/>
      <c r="AWP1" s="288"/>
      <c r="AWQ1" s="288"/>
      <c r="AWR1" s="288"/>
      <c r="AWS1" s="288"/>
      <c r="AWT1" s="288"/>
      <c r="AWU1" s="288"/>
      <c r="AWV1" s="288"/>
      <c r="AWW1" s="288"/>
      <c r="AWX1" s="288"/>
      <c r="AWY1" s="288"/>
      <c r="AWZ1" s="288"/>
      <c r="AXA1" s="288"/>
      <c r="AXB1" s="288"/>
      <c r="AXC1" s="288"/>
      <c r="AXD1" s="288"/>
      <c r="AXE1" s="288"/>
      <c r="AXF1" s="288"/>
      <c r="AXG1" s="288"/>
      <c r="AXH1" s="288"/>
      <c r="AXI1" s="288"/>
      <c r="AXJ1" s="288"/>
      <c r="AXK1" s="288"/>
      <c r="AXL1" s="288"/>
      <c r="AXM1" s="288"/>
      <c r="AXN1" s="288"/>
      <c r="AXO1" s="288"/>
      <c r="AXP1" s="288"/>
      <c r="AXQ1" s="288"/>
      <c r="AXR1" s="288"/>
      <c r="AXS1" s="288"/>
      <c r="AXT1" s="288"/>
      <c r="AXU1" s="288"/>
      <c r="AXV1" s="288"/>
      <c r="AXW1" s="288"/>
      <c r="AXX1" s="288"/>
      <c r="AXY1" s="288"/>
      <c r="AXZ1" s="288"/>
      <c r="AYA1" s="288"/>
      <c r="AYB1" s="288"/>
      <c r="AYC1" s="288"/>
      <c r="AYD1" s="288"/>
      <c r="AYE1" s="288"/>
      <c r="AYF1" s="288"/>
      <c r="AYG1" s="288"/>
      <c r="AYH1" s="288"/>
      <c r="AYI1" s="288"/>
      <c r="AYJ1" s="288"/>
      <c r="AYK1" s="288"/>
      <c r="AYL1" s="288"/>
      <c r="AYM1" s="288"/>
      <c r="AYN1" s="288"/>
      <c r="AYO1" s="288"/>
      <c r="AYP1" s="288"/>
      <c r="AYQ1" s="288"/>
      <c r="AYR1" s="288"/>
      <c r="AYS1" s="288"/>
      <c r="AYT1" s="288"/>
      <c r="AYU1" s="288"/>
      <c r="AYV1" s="288"/>
      <c r="AYW1" s="288"/>
      <c r="AYX1" s="288"/>
      <c r="AYY1" s="288"/>
      <c r="AYZ1" s="288"/>
      <c r="AZA1" s="288"/>
      <c r="AZB1" s="288"/>
      <c r="AZC1" s="288"/>
      <c r="AZD1" s="288"/>
      <c r="AZE1" s="288"/>
      <c r="AZF1" s="288"/>
      <c r="AZG1" s="288"/>
      <c r="AZH1" s="288"/>
      <c r="AZI1" s="288"/>
      <c r="AZJ1" s="288"/>
      <c r="AZK1" s="288"/>
      <c r="AZL1" s="288"/>
      <c r="AZM1" s="288"/>
      <c r="AZN1" s="288"/>
      <c r="AZO1" s="288"/>
      <c r="AZP1" s="288"/>
      <c r="AZQ1" s="288"/>
      <c r="AZR1" s="288"/>
      <c r="AZS1" s="288"/>
      <c r="AZT1" s="288"/>
      <c r="AZU1" s="288"/>
      <c r="AZV1" s="288"/>
      <c r="AZW1" s="288"/>
      <c r="AZX1" s="288"/>
      <c r="AZY1" s="288"/>
      <c r="AZZ1" s="288"/>
      <c r="BAA1" s="288"/>
      <c r="BAB1" s="288"/>
      <c r="BAC1" s="288"/>
      <c r="BAD1" s="288"/>
      <c r="BAE1" s="288"/>
      <c r="BAF1" s="288"/>
      <c r="BAG1" s="288"/>
      <c r="BAH1" s="288"/>
      <c r="BAI1" s="288"/>
      <c r="BAJ1" s="288"/>
      <c r="BAK1" s="288"/>
      <c r="BAL1" s="288"/>
      <c r="BAM1" s="288"/>
      <c r="BAN1" s="288"/>
      <c r="BAO1" s="288"/>
      <c r="BAP1" s="288"/>
      <c r="BAQ1" s="288"/>
      <c r="BAR1" s="288"/>
      <c r="BAS1" s="288"/>
      <c r="BAT1" s="288"/>
      <c r="BAU1" s="288"/>
      <c r="BAV1" s="288"/>
      <c r="BAW1" s="288"/>
      <c r="BAX1" s="288"/>
      <c r="BAY1" s="288"/>
      <c r="BAZ1" s="288"/>
      <c r="BBA1" s="288"/>
      <c r="BBB1" s="288"/>
      <c r="BBC1" s="288"/>
      <c r="BBD1" s="288"/>
      <c r="BBE1" s="288"/>
      <c r="BBF1" s="288"/>
      <c r="BBG1" s="288"/>
      <c r="BBH1" s="288"/>
      <c r="BBI1" s="288"/>
      <c r="BBJ1" s="288"/>
      <c r="BBK1" s="288"/>
      <c r="BBL1" s="288"/>
      <c r="BBM1" s="288"/>
      <c r="BBN1" s="288"/>
      <c r="BBO1" s="288"/>
      <c r="BBP1" s="288"/>
      <c r="BBQ1" s="288"/>
      <c r="BBR1" s="288"/>
      <c r="BBS1" s="288"/>
      <c r="BBT1" s="288"/>
      <c r="BBU1" s="288"/>
      <c r="BBV1" s="288"/>
      <c r="BBW1" s="288"/>
      <c r="BBX1" s="288"/>
      <c r="BBY1" s="288"/>
      <c r="BBZ1" s="288"/>
      <c r="BCA1" s="288"/>
      <c r="BCB1" s="288"/>
      <c r="BCC1" s="288"/>
      <c r="BCD1" s="288"/>
      <c r="BCE1" s="288"/>
      <c r="BCF1" s="288"/>
      <c r="BCG1" s="288"/>
      <c r="BCH1" s="288"/>
      <c r="BCI1" s="288"/>
      <c r="BCJ1" s="288"/>
      <c r="BCK1" s="288"/>
      <c r="BCL1" s="288"/>
      <c r="BCM1" s="288"/>
      <c r="BCN1" s="288"/>
      <c r="BCO1" s="288"/>
      <c r="BCP1" s="288"/>
      <c r="BCQ1" s="288"/>
      <c r="BCR1" s="288"/>
      <c r="BCS1" s="288"/>
      <c r="BCT1" s="288"/>
      <c r="BCU1" s="288"/>
      <c r="BCV1" s="288"/>
      <c r="BCW1" s="288"/>
      <c r="BCX1" s="288"/>
      <c r="BCY1" s="288"/>
      <c r="BCZ1" s="288"/>
      <c r="BDA1" s="288"/>
      <c r="BDB1" s="288"/>
      <c r="BDC1" s="288"/>
      <c r="BDD1" s="288"/>
      <c r="BDE1" s="288"/>
      <c r="BDF1" s="288"/>
      <c r="BDG1" s="288"/>
      <c r="BDH1" s="288"/>
      <c r="BDI1" s="288"/>
      <c r="BDJ1" s="288"/>
      <c r="BDK1" s="288"/>
      <c r="BDL1" s="288"/>
      <c r="BDM1" s="288"/>
      <c r="BDN1" s="288"/>
      <c r="BDO1" s="288"/>
      <c r="BDP1" s="288"/>
      <c r="BDQ1" s="288"/>
      <c r="BDR1" s="288"/>
      <c r="BDS1" s="288"/>
      <c r="BDT1" s="288"/>
      <c r="BDU1" s="288"/>
      <c r="BDV1" s="288"/>
      <c r="BDW1" s="288"/>
      <c r="BDX1" s="288"/>
      <c r="BDY1" s="288"/>
      <c r="BDZ1" s="288"/>
      <c r="BEA1" s="288"/>
      <c r="BEB1" s="288"/>
      <c r="BEC1" s="288"/>
      <c r="BED1" s="288"/>
      <c r="BEE1" s="288"/>
      <c r="BEF1" s="288"/>
      <c r="BEG1" s="288"/>
      <c r="BEH1" s="288"/>
      <c r="BEI1" s="288"/>
      <c r="BEJ1" s="288"/>
      <c r="BEK1" s="288"/>
      <c r="BEL1" s="288"/>
      <c r="BEM1" s="288"/>
      <c r="BEN1" s="288"/>
      <c r="BEO1" s="288"/>
      <c r="BEP1" s="288"/>
      <c r="BEQ1" s="288"/>
      <c r="BER1" s="288"/>
      <c r="BES1" s="288"/>
      <c r="BET1" s="288"/>
      <c r="BEU1" s="288"/>
      <c r="BEV1" s="288"/>
      <c r="BEW1" s="288"/>
      <c r="BEX1" s="288"/>
      <c r="BEY1" s="288"/>
      <c r="BEZ1" s="288"/>
      <c r="BFA1" s="288"/>
      <c r="BFB1" s="288"/>
      <c r="BFC1" s="288"/>
      <c r="BFD1" s="288"/>
      <c r="BFE1" s="288"/>
      <c r="BFF1" s="288"/>
      <c r="BFG1" s="288"/>
      <c r="BFH1" s="288"/>
      <c r="BFI1" s="288"/>
      <c r="BFJ1" s="288"/>
      <c r="BFK1" s="288"/>
      <c r="BFL1" s="288"/>
      <c r="BFM1" s="288"/>
      <c r="BFN1" s="288"/>
      <c r="BFO1" s="288"/>
      <c r="BFP1" s="288"/>
      <c r="BFQ1" s="288"/>
      <c r="BFR1" s="288"/>
      <c r="BFS1" s="288"/>
      <c r="BFT1" s="288"/>
      <c r="BFU1" s="288"/>
      <c r="BFV1" s="288"/>
      <c r="BFW1" s="288"/>
      <c r="BFX1" s="288"/>
      <c r="BFY1" s="288"/>
      <c r="BFZ1" s="288"/>
      <c r="BGA1" s="288"/>
      <c r="BGB1" s="288"/>
      <c r="BGC1" s="288"/>
      <c r="BGD1" s="288"/>
      <c r="BGE1" s="288"/>
      <c r="BGF1" s="288"/>
      <c r="BGG1" s="288"/>
      <c r="BGH1" s="288"/>
      <c r="BGI1" s="288"/>
      <c r="BGJ1" s="288"/>
      <c r="BGK1" s="288"/>
      <c r="BGL1" s="288"/>
      <c r="BGM1" s="288"/>
      <c r="BGN1" s="288"/>
      <c r="BGO1" s="288"/>
      <c r="BGP1" s="288"/>
      <c r="BGQ1" s="288"/>
      <c r="BGR1" s="288"/>
      <c r="BGS1" s="288"/>
      <c r="BGT1" s="288"/>
      <c r="BGU1" s="288"/>
      <c r="BGV1" s="288"/>
      <c r="BGW1" s="288"/>
      <c r="BGX1" s="288"/>
      <c r="BGY1" s="288"/>
      <c r="BGZ1" s="288"/>
      <c r="BHA1" s="288"/>
      <c r="BHB1" s="288"/>
      <c r="BHC1" s="288"/>
      <c r="BHD1" s="288"/>
      <c r="BHE1" s="288"/>
      <c r="BHF1" s="288"/>
      <c r="BHG1" s="288"/>
      <c r="BHH1" s="288"/>
      <c r="BHI1" s="288"/>
      <c r="BHJ1" s="288"/>
      <c r="BHK1" s="288"/>
      <c r="BHL1" s="288"/>
      <c r="BHM1" s="288"/>
      <c r="BHN1" s="288"/>
      <c r="BHO1" s="288"/>
      <c r="BHP1" s="288"/>
      <c r="BHQ1" s="288"/>
      <c r="BHR1" s="288"/>
      <c r="BHS1" s="288"/>
      <c r="BHT1" s="288"/>
      <c r="BHU1" s="288"/>
      <c r="BHV1" s="288"/>
      <c r="BHW1" s="288"/>
      <c r="BHX1" s="288"/>
      <c r="BHY1" s="288"/>
      <c r="BHZ1" s="288"/>
      <c r="BIA1" s="288"/>
      <c r="BIB1" s="288"/>
      <c r="BIC1" s="288"/>
      <c r="BID1" s="288"/>
      <c r="BIE1" s="288"/>
      <c r="BIF1" s="288"/>
      <c r="BIG1" s="288"/>
      <c r="BIH1" s="288"/>
      <c r="BII1" s="288"/>
      <c r="BIJ1" s="288"/>
      <c r="BIK1" s="288"/>
      <c r="BIL1" s="288"/>
      <c r="BIM1" s="288"/>
      <c r="BIN1" s="288"/>
      <c r="BIO1" s="288"/>
      <c r="BIP1" s="288"/>
      <c r="BIQ1" s="288"/>
      <c r="BIR1" s="288"/>
      <c r="BIS1" s="288"/>
      <c r="BIT1" s="288"/>
      <c r="BIU1" s="288"/>
      <c r="BIV1" s="288"/>
      <c r="BIW1" s="288"/>
      <c r="BIX1" s="288"/>
      <c r="BIY1" s="288"/>
      <c r="BIZ1" s="288"/>
      <c r="BJA1" s="288"/>
      <c r="BJB1" s="288"/>
      <c r="BJC1" s="288"/>
      <c r="BJD1" s="288"/>
      <c r="BJE1" s="288"/>
      <c r="BJF1" s="288"/>
      <c r="BJG1" s="288"/>
      <c r="BJH1" s="288"/>
      <c r="BJI1" s="288"/>
      <c r="BJJ1" s="288"/>
      <c r="BJK1" s="288"/>
      <c r="BJL1" s="288"/>
      <c r="BJM1" s="288"/>
      <c r="BJN1" s="288"/>
      <c r="BJO1" s="288"/>
      <c r="BJP1" s="288"/>
      <c r="BJQ1" s="288"/>
      <c r="BJR1" s="288"/>
      <c r="BJS1" s="288"/>
      <c r="BJT1" s="288"/>
      <c r="BJU1" s="288"/>
      <c r="BJV1" s="288"/>
      <c r="BJW1" s="288"/>
      <c r="BJX1" s="288"/>
      <c r="BJY1" s="288"/>
      <c r="BJZ1" s="288"/>
      <c r="BKA1" s="288"/>
      <c r="BKB1" s="288"/>
      <c r="BKC1" s="288"/>
      <c r="BKD1" s="288"/>
      <c r="BKE1" s="288"/>
      <c r="BKF1" s="288"/>
      <c r="BKG1" s="288"/>
      <c r="BKH1" s="288"/>
      <c r="BKI1" s="288"/>
      <c r="BKJ1" s="288"/>
      <c r="BKK1" s="288"/>
      <c r="BKL1" s="288"/>
      <c r="BKM1" s="288"/>
      <c r="BKN1" s="288"/>
      <c r="BKO1" s="288"/>
      <c r="BKP1" s="288"/>
      <c r="BKQ1" s="288"/>
      <c r="BKR1" s="288"/>
      <c r="BKS1" s="288"/>
      <c r="BKT1" s="288"/>
      <c r="BKU1" s="288"/>
      <c r="BKV1" s="288"/>
      <c r="BKW1" s="288"/>
      <c r="BKX1" s="288"/>
      <c r="BKY1" s="288"/>
      <c r="BKZ1" s="288"/>
      <c r="BLA1" s="288"/>
      <c r="BLB1" s="288"/>
      <c r="BLC1" s="288"/>
      <c r="BLD1" s="288"/>
      <c r="BLE1" s="288"/>
      <c r="BLF1" s="288"/>
      <c r="BLG1" s="288"/>
      <c r="BLH1" s="288"/>
      <c r="BLI1" s="288"/>
      <c r="BLJ1" s="288"/>
      <c r="BLK1" s="288"/>
      <c r="BLL1" s="288"/>
      <c r="BLM1" s="288"/>
      <c r="BLN1" s="288"/>
      <c r="BLO1" s="288"/>
      <c r="BLP1" s="288"/>
      <c r="BLQ1" s="288"/>
      <c r="BLR1" s="288"/>
      <c r="BLS1" s="288"/>
      <c r="BLT1" s="288"/>
      <c r="BLU1" s="288"/>
      <c r="BLV1" s="288"/>
      <c r="BLW1" s="288"/>
      <c r="BLX1" s="288"/>
      <c r="BLY1" s="288"/>
      <c r="BLZ1" s="288"/>
      <c r="BMA1" s="288"/>
      <c r="BMB1" s="288"/>
      <c r="BMC1" s="288"/>
      <c r="BMD1" s="288"/>
      <c r="BME1" s="288"/>
      <c r="BMF1" s="288"/>
      <c r="BMG1" s="288"/>
      <c r="BMH1" s="288"/>
      <c r="BMI1" s="288"/>
      <c r="BMJ1" s="288"/>
      <c r="BMK1" s="288"/>
      <c r="BML1" s="288"/>
      <c r="BMM1" s="288"/>
      <c r="BMN1" s="288"/>
      <c r="BMO1" s="288"/>
      <c r="BMP1" s="288"/>
      <c r="BMQ1" s="288"/>
      <c r="BMR1" s="288"/>
      <c r="BMS1" s="288"/>
      <c r="BMT1" s="288"/>
      <c r="BMU1" s="288"/>
      <c r="BMV1" s="288"/>
      <c r="BMW1" s="288"/>
      <c r="BMX1" s="288"/>
      <c r="BMY1" s="288"/>
      <c r="BMZ1" s="288"/>
      <c r="BNA1" s="288"/>
      <c r="BNB1" s="288"/>
      <c r="BNC1" s="288"/>
      <c r="BND1" s="288"/>
      <c r="BNE1" s="288"/>
      <c r="BNF1" s="288"/>
      <c r="BNG1" s="288"/>
      <c r="BNH1" s="288"/>
      <c r="BNI1" s="288"/>
      <c r="BNJ1" s="288"/>
      <c r="BNK1" s="288"/>
      <c r="BNL1" s="288"/>
      <c r="BNM1" s="288"/>
      <c r="BNN1" s="288"/>
      <c r="BNO1" s="288"/>
      <c r="BNP1" s="288"/>
      <c r="BNQ1" s="288"/>
      <c r="BNR1" s="288"/>
      <c r="BNS1" s="288"/>
      <c r="BNT1" s="288"/>
      <c r="BNU1" s="288"/>
      <c r="BNV1" s="288"/>
      <c r="BNW1" s="288"/>
      <c r="BNX1" s="288"/>
      <c r="BNY1" s="288"/>
      <c r="BNZ1" s="288"/>
      <c r="BOA1" s="288"/>
      <c r="BOB1" s="288"/>
      <c r="BOC1" s="288"/>
      <c r="BOD1" s="288"/>
      <c r="BOE1" s="288"/>
      <c r="BOF1" s="288"/>
      <c r="BOG1" s="288"/>
      <c r="BOH1" s="288"/>
      <c r="BOI1" s="288"/>
      <c r="BOJ1" s="288"/>
      <c r="BOK1" s="288"/>
      <c r="BOL1" s="288"/>
      <c r="BOM1" s="288"/>
      <c r="BON1" s="288"/>
      <c r="BOO1" s="288"/>
      <c r="BOP1" s="288"/>
      <c r="BOQ1" s="288"/>
      <c r="BOR1" s="288"/>
      <c r="BOS1" s="288"/>
      <c r="BOT1" s="288"/>
      <c r="BOU1" s="288"/>
      <c r="BOV1" s="288"/>
      <c r="BOW1" s="288"/>
      <c r="BOX1" s="288"/>
      <c r="BOY1" s="288"/>
      <c r="BOZ1" s="288"/>
      <c r="BPA1" s="288"/>
      <c r="BPB1" s="288"/>
      <c r="BPC1" s="288"/>
      <c r="BPD1" s="288"/>
      <c r="BPE1" s="288"/>
      <c r="BPF1" s="288"/>
      <c r="BPG1" s="288"/>
      <c r="BPH1" s="288"/>
      <c r="BPI1" s="288"/>
      <c r="BPJ1" s="288"/>
      <c r="BPK1" s="288"/>
      <c r="BPL1" s="288"/>
      <c r="BPM1" s="288"/>
      <c r="BPN1" s="288"/>
      <c r="BPO1" s="288"/>
      <c r="BPP1" s="288"/>
      <c r="BPQ1" s="288"/>
      <c r="BPR1" s="288"/>
      <c r="BPS1" s="288"/>
      <c r="BPT1" s="288"/>
      <c r="BPU1" s="288"/>
      <c r="BPV1" s="288"/>
      <c r="BPW1" s="288"/>
      <c r="BPX1" s="288"/>
      <c r="BPY1" s="288"/>
      <c r="BPZ1" s="288"/>
      <c r="BQA1" s="288"/>
      <c r="BQB1" s="288"/>
      <c r="BQC1" s="288"/>
      <c r="BQD1" s="288"/>
      <c r="BQE1" s="288"/>
      <c r="BQF1" s="288"/>
      <c r="BQG1" s="288"/>
      <c r="BQH1" s="288"/>
      <c r="BQI1" s="288"/>
      <c r="BQJ1" s="288"/>
      <c r="BQK1" s="288"/>
      <c r="BQL1" s="288"/>
      <c r="BQM1" s="288"/>
      <c r="BQN1" s="288"/>
      <c r="BQO1" s="288"/>
      <c r="BQP1" s="288"/>
      <c r="BQQ1" s="288"/>
      <c r="BQR1" s="288"/>
      <c r="BQS1" s="288"/>
      <c r="BQT1" s="288"/>
      <c r="BQU1" s="288"/>
      <c r="BQV1" s="288"/>
      <c r="BQW1" s="288"/>
      <c r="BQX1" s="288"/>
      <c r="BQY1" s="288"/>
      <c r="BQZ1" s="288"/>
      <c r="BRA1" s="288"/>
      <c r="BRB1" s="288"/>
      <c r="BRC1" s="288"/>
      <c r="BRD1" s="288"/>
      <c r="BRE1" s="288"/>
      <c r="BRF1" s="288"/>
      <c r="BRG1" s="288"/>
      <c r="BRH1" s="288"/>
      <c r="BRI1" s="288"/>
      <c r="BRJ1" s="288"/>
      <c r="BRK1" s="288"/>
      <c r="BRL1" s="288"/>
      <c r="BRM1" s="288"/>
      <c r="BRN1" s="288"/>
      <c r="BRO1" s="288"/>
      <c r="BRP1" s="288"/>
      <c r="BRQ1" s="288"/>
      <c r="BRR1" s="288"/>
      <c r="BRS1" s="288"/>
      <c r="BRT1" s="288"/>
      <c r="BRU1" s="288"/>
      <c r="BRV1" s="288"/>
      <c r="BRW1" s="288"/>
      <c r="BRX1" s="288"/>
      <c r="BRY1" s="288"/>
      <c r="BRZ1" s="288"/>
      <c r="BSA1" s="288"/>
      <c r="BSB1" s="288"/>
      <c r="BSC1" s="288"/>
      <c r="BSD1" s="288"/>
      <c r="BSE1" s="288"/>
      <c r="BSF1" s="288"/>
      <c r="BSG1" s="288"/>
      <c r="BSH1" s="288"/>
      <c r="BSI1" s="288"/>
      <c r="BSJ1" s="288"/>
      <c r="BSK1" s="288"/>
      <c r="BSL1" s="288"/>
      <c r="BSM1" s="288"/>
      <c r="BSN1" s="288"/>
      <c r="BSO1" s="288"/>
      <c r="BSP1" s="288"/>
      <c r="BSQ1" s="288"/>
      <c r="BSR1" s="288"/>
      <c r="BSS1" s="288"/>
      <c r="BST1" s="288"/>
      <c r="BSU1" s="288"/>
      <c r="BSV1" s="288"/>
      <c r="BSW1" s="288"/>
      <c r="BSX1" s="288"/>
      <c r="BSY1" s="288"/>
      <c r="BSZ1" s="288"/>
      <c r="BTA1" s="288"/>
      <c r="BTB1" s="288"/>
      <c r="BTC1" s="288"/>
      <c r="BTD1" s="288"/>
      <c r="BTE1" s="288"/>
      <c r="BTF1" s="288"/>
      <c r="BTG1" s="288"/>
      <c r="BTH1" s="288"/>
      <c r="BTI1" s="288"/>
      <c r="BTJ1" s="288"/>
      <c r="BTK1" s="288"/>
      <c r="BTL1" s="288"/>
      <c r="BTM1" s="288"/>
      <c r="BTN1" s="288"/>
      <c r="BTO1" s="288"/>
      <c r="BTP1" s="288"/>
      <c r="BTQ1" s="288"/>
      <c r="BTR1" s="288"/>
      <c r="BTS1" s="288"/>
      <c r="BTT1" s="288"/>
      <c r="BTU1" s="288"/>
      <c r="BTV1" s="288"/>
      <c r="BTW1" s="288"/>
      <c r="BTX1" s="288"/>
      <c r="BTY1" s="288"/>
      <c r="BTZ1" s="288"/>
      <c r="BUA1" s="288"/>
      <c r="BUB1" s="288"/>
      <c r="BUC1" s="288"/>
      <c r="BUD1" s="288"/>
      <c r="BUE1" s="288"/>
      <c r="BUF1" s="288"/>
      <c r="BUG1" s="288"/>
      <c r="BUH1" s="288"/>
      <c r="BUI1" s="288"/>
      <c r="BUJ1" s="288"/>
      <c r="BUK1" s="288"/>
      <c r="BUL1" s="288"/>
      <c r="BUM1" s="288"/>
      <c r="BUN1" s="288"/>
      <c r="BUO1" s="288"/>
      <c r="BUP1" s="288"/>
      <c r="BUQ1" s="288"/>
      <c r="BUR1" s="288"/>
      <c r="BUS1" s="288"/>
      <c r="BUT1" s="288"/>
      <c r="BUU1" s="288"/>
      <c r="BUV1" s="288"/>
      <c r="BUW1" s="288"/>
      <c r="BUX1" s="288"/>
      <c r="BUY1" s="288"/>
      <c r="BUZ1" s="288"/>
      <c r="BVA1" s="288"/>
      <c r="BVB1" s="288"/>
      <c r="BVC1" s="288"/>
      <c r="BVD1" s="288"/>
      <c r="BVE1" s="288"/>
      <c r="BVF1" s="288"/>
      <c r="BVG1" s="288"/>
      <c r="BVH1" s="288"/>
      <c r="BVI1" s="288"/>
      <c r="BVJ1" s="288"/>
      <c r="BVK1" s="288"/>
      <c r="BVL1" s="288"/>
      <c r="BVM1" s="288"/>
      <c r="BVN1" s="288"/>
      <c r="BVO1" s="288"/>
      <c r="BVP1" s="288"/>
      <c r="BVQ1" s="288"/>
      <c r="BVR1" s="288"/>
      <c r="BVS1" s="288"/>
      <c r="BVT1" s="288"/>
      <c r="BVU1" s="288"/>
      <c r="BVV1" s="288"/>
      <c r="BVW1" s="288"/>
      <c r="BVX1" s="288"/>
      <c r="BVY1" s="288"/>
      <c r="BVZ1" s="288"/>
      <c r="BWA1" s="288"/>
      <c r="BWB1" s="288"/>
      <c r="BWC1" s="288"/>
      <c r="BWD1" s="288"/>
      <c r="BWE1" s="288"/>
      <c r="BWF1" s="288"/>
      <c r="BWG1" s="288"/>
      <c r="BWH1" s="288"/>
      <c r="BWI1" s="288"/>
      <c r="BWJ1" s="288"/>
      <c r="BWK1" s="288"/>
      <c r="BWL1" s="288"/>
      <c r="BWM1" s="288"/>
      <c r="BWN1" s="288"/>
      <c r="BWO1" s="288"/>
      <c r="BWP1" s="288"/>
      <c r="BWQ1" s="288"/>
      <c r="BWR1" s="288"/>
      <c r="BWS1" s="288"/>
      <c r="BWT1" s="288"/>
      <c r="BWU1" s="288"/>
      <c r="BWV1" s="288"/>
      <c r="BWW1" s="288"/>
      <c r="BWX1" s="288"/>
      <c r="BWY1" s="288"/>
      <c r="BWZ1" s="288"/>
      <c r="BXA1" s="288"/>
      <c r="BXB1" s="288"/>
      <c r="BXC1" s="288"/>
      <c r="BXD1" s="288"/>
      <c r="BXE1" s="288"/>
      <c r="BXF1" s="288"/>
      <c r="BXG1" s="288"/>
      <c r="BXH1" s="288"/>
      <c r="BXI1" s="288"/>
      <c r="BXJ1" s="288"/>
      <c r="BXK1" s="288"/>
      <c r="BXL1" s="288"/>
      <c r="BXM1" s="288"/>
      <c r="BXN1" s="288"/>
      <c r="BXO1" s="288"/>
      <c r="BXP1" s="288"/>
      <c r="BXQ1" s="288"/>
      <c r="BXR1" s="288"/>
      <c r="BXS1" s="288"/>
      <c r="BXT1" s="288"/>
      <c r="BXU1" s="288"/>
      <c r="BXV1" s="288"/>
      <c r="BXW1" s="288"/>
      <c r="BXX1" s="288"/>
      <c r="BXY1" s="288"/>
      <c r="BXZ1" s="288"/>
      <c r="BYA1" s="288"/>
      <c r="BYB1" s="288"/>
      <c r="BYC1" s="288"/>
      <c r="BYD1" s="288"/>
      <c r="BYE1" s="288"/>
      <c r="BYF1" s="288"/>
      <c r="BYG1" s="288"/>
      <c r="BYH1" s="288"/>
      <c r="BYI1" s="288"/>
      <c r="BYJ1" s="288"/>
      <c r="BYK1" s="288"/>
      <c r="BYL1" s="288"/>
      <c r="BYM1" s="288"/>
      <c r="BYN1" s="288"/>
      <c r="BYO1" s="288"/>
      <c r="BYP1" s="288"/>
      <c r="BYQ1" s="288"/>
      <c r="BYR1" s="288"/>
      <c r="BYS1" s="288"/>
      <c r="BYT1" s="288"/>
      <c r="BYU1" s="288"/>
      <c r="BYV1" s="288"/>
      <c r="BYW1" s="288"/>
      <c r="BYX1" s="288"/>
      <c r="BYY1" s="288"/>
      <c r="BYZ1" s="288"/>
      <c r="BZA1" s="288"/>
      <c r="BZB1" s="288"/>
      <c r="BZC1" s="288"/>
      <c r="BZD1" s="288"/>
      <c r="BZE1" s="288"/>
      <c r="BZF1" s="288"/>
      <c r="BZG1" s="288"/>
      <c r="BZH1" s="288"/>
      <c r="BZI1" s="288"/>
      <c r="BZJ1" s="288"/>
      <c r="BZK1" s="288"/>
      <c r="BZL1" s="288"/>
      <c r="BZM1" s="288"/>
      <c r="BZN1" s="288"/>
      <c r="BZO1" s="288"/>
      <c r="BZP1" s="288"/>
      <c r="BZQ1" s="288"/>
      <c r="BZR1" s="288"/>
      <c r="BZS1" s="288"/>
      <c r="BZT1" s="288"/>
      <c r="BZU1" s="288"/>
      <c r="BZV1" s="288"/>
      <c r="BZW1" s="288"/>
      <c r="BZX1" s="288"/>
      <c r="BZY1" s="288"/>
      <c r="BZZ1" s="288"/>
      <c r="CAA1" s="288"/>
      <c r="CAB1" s="288"/>
      <c r="CAC1" s="288"/>
      <c r="CAD1" s="288"/>
      <c r="CAE1" s="288"/>
      <c r="CAF1" s="288"/>
      <c r="CAG1" s="288"/>
      <c r="CAH1" s="288"/>
      <c r="CAI1" s="288"/>
      <c r="CAJ1" s="288"/>
      <c r="CAK1" s="288"/>
      <c r="CAL1" s="288"/>
      <c r="CAM1" s="288"/>
      <c r="CAN1" s="288"/>
      <c r="CAO1" s="288"/>
      <c r="CAP1" s="288"/>
      <c r="CAQ1" s="288"/>
      <c r="CAR1" s="288"/>
      <c r="CAS1" s="288"/>
      <c r="CAT1" s="288"/>
      <c r="CAU1" s="288"/>
      <c r="CAV1" s="288"/>
      <c r="CAW1" s="288"/>
      <c r="CAX1" s="288"/>
      <c r="CAY1" s="288"/>
      <c r="CAZ1" s="288"/>
      <c r="CBA1" s="288"/>
      <c r="CBB1" s="288"/>
      <c r="CBC1" s="288"/>
      <c r="CBD1" s="288"/>
      <c r="CBE1" s="288"/>
      <c r="CBF1" s="288"/>
      <c r="CBG1" s="288"/>
      <c r="CBH1" s="288"/>
      <c r="CBI1" s="288"/>
      <c r="CBJ1" s="288"/>
      <c r="CBK1" s="288"/>
      <c r="CBL1" s="288"/>
      <c r="CBM1" s="288"/>
      <c r="CBN1" s="288"/>
      <c r="CBO1" s="288"/>
      <c r="CBP1" s="288"/>
      <c r="CBQ1" s="288"/>
      <c r="CBR1" s="288"/>
      <c r="CBS1" s="288"/>
      <c r="CBT1" s="288"/>
      <c r="CBU1" s="288"/>
      <c r="CBV1" s="288"/>
      <c r="CBW1" s="288"/>
      <c r="CBX1" s="288"/>
      <c r="CBY1" s="288"/>
      <c r="CBZ1" s="288"/>
      <c r="CCA1" s="288"/>
      <c r="CCB1" s="288"/>
      <c r="CCC1" s="288"/>
      <c r="CCD1" s="288"/>
      <c r="CCE1" s="288"/>
      <c r="CCF1" s="288"/>
      <c r="CCG1" s="288"/>
      <c r="CCH1" s="288"/>
      <c r="CCI1" s="288"/>
      <c r="CCJ1" s="288"/>
      <c r="CCK1" s="288"/>
      <c r="CCL1" s="288"/>
      <c r="CCM1" s="288"/>
      <c r="CCN1" s="288"/>
      <c r="CCO1" s="288"/>
      <c r="CCP1" s="288"/>
      <c r="CCQ1" s="288"/>
      <c r="CCR1" s="288"/>
      <c r="CCS1" s="288"/>
      <c r="CCT1" s="288"/>
      <c r="CCU1" s="288"/>
      <c r="CCV1" s="288"/>
      <c r="CCW1" s="288"/>
      <c r="CCX1" s="288"/>
      <c r="CCY1" s="288"/>
      <c r="CCZ1" s="288"/>
      <c r="CDA1" s="288"/>
      <c r="CDB1" s="288"/>
      <c r="CDC1" s="288"/>
      <c r="CDD1" s="288"/>
      <c r="CDE1" s="288"/>
      <c r="CDF1" s="288"/>
      <c r="CDG1" s="288"/>
      <c r="CDH1" s="288"/>
      <c r="CDI1" s="288"/>
      <c r="CDJ1" s="288"/>
      <c r="CDK1" s="288"/>
      <c r="CDL1" s="288"/>
      <c r="CDM1" s="288"/>
      <c r="CDN1" s="288"/>
      <c r="CDO1" s="288"/>
      <c r="CDP1" s="288"/>
      <c r="CDQ1" s="288"/>
      <c r="CDR1" s="288"/>
      <c r="CDS1" s="288"/>
      <c r="CDT1" s="288"/>
      <c r="CDU1" s="288"/>
      <c r="CDV1" s="288"/>
      <c r="CDW1" s="288"/>
      <c r="CDX1" s="288"/>
      <c r="CDY1" s="288"/>
      <c r="CDZ1" s="288"/>
      <c r="CEA1" s="288"/>
      <c r="CEB1" s="288"/>
      <c r="CEC1" s="288"/>
      <c r="CED1" s="288"/>
      <c r="CEE1" s="288"/>
      <c r="CEF1" s="288"/>
      <c r="CEG1" s="288"/>
      <c r="CEH1" s="288"/>
      <c r="CEI1" s="288"/>
      <c r="CEJ1" s="288"/>
      <c r="CEK1" s="288"/>
      <c r="CEL1" s="288"/>
      <c r="CEM1" s="288"/>
      <c r="CEN1" s="288"/>
      <c r="CEO1" s="288"/>
      <c r="CEP1" s="288"/>
      <c r="CEQ1" s="288"/>
      <c r="CER1" s="288"/>
      <c r="CES1" s="288"/>
      <c r="CET1" s="288"/>
      <c r="CEU1" s="288"/>
      <c r="CEV1" s="288"/>
      <c r="CEW1" s="288"/>
      <c r="CEX1" s="288"/>
      <c r="CEY1" s="288"/>
      <c r="CEZ1" s="288"/>
      <c r="CFA1" s="288"/>
      <c r="CFB1" s="288"/>
      <c r="CFC1" s="288"/>
      <c r="CFD1" s="288"/>
      <c r="CFE1" s="288"/>
      <c r="CFF1" s="288"/>
      <c r="CFG1" s="288"/>
      <c r="CFH1" s="288"/>
      <c r="CFI1" s="288"/>
      <c r="CFJ1" s="288"/>
      <c r="CFK1" s="288"/>
      <c r="CFL1" s="288"/>
      <c r="CFM1" s="288"/>
      <c r="CFN1" s="288"/>
      <c r="CFO1" s="288"/>
      <c r="CFP1" s="288"/>
      <c r="CFQ1" s="288"/>
      <c r="CFR1" s="288"/>
      <c r="CFS1" s="288"/>
      <c r="CFT1" s="288"/>
      <c r="CFU1" s="288"/>
      <c r="CFV1" s="288"/>
      <c r="CFW1" s="288"/>
      <c r="CFX1" s="288"/>
      <c r="CFY1" s="288"/>
      <c r="CFZ1" s="288"/>
      <c r="CGA1" s="288"/>
      <c r="CGB1" s="288"/>
      <c r="CGC1" s="288"/>
      <c r="CGD1" s="288"/>
      <c r="CGE1" s="288"/>
      <c r="CGF1" s="288"/>
      <c r="CGG1" s="288"/>
      <c r="CGH1" s="288"/>
      <c r="CGI1" s="288"/>
      <c r="CGJ1" s="288"/>
      <c r="CGK1" s="288"/>
      <c r="CGL1" s="288"/>
      <c r="CGM1" s="288"/>
      <c r="CGN1" s="288"/>
      <c r="CGO1" s="288"/>
      <c r="CGP1" s="288"/>
      <c r="CGQ1" s="288"/>
      <c r="CGR1" s="288"/>
      <c r="CGS1" s="288"/>
      <c r="CGT1" s="288"/>
      <c r="CGU1" s="288"/>
      <c r="CGV1" s="288"/>
      <c r="CGW1" s="288"/>
      <c r="CGX1" s="288"/>
      <c r="CGY1" s="288"/>
      <c r="CGZ1" s="288"/>
      <c r="CHA1" s="288"/>
      <c r="CHB1" s="288"/>
      <c r="CHC1" s="288"/>
      <c r="CHD1" s="288"/>
      <c r="CHE1" s="288"/>
      <c r="CHF1" s="288"/>
      <c r="CHG1" s="288"/>
      <c r="CHH1" s="288"/>
      <c r="CHI1" s="288"/>
      <c r="CHJ1" s="288"/>
      <c r="CHK1" s="288"/>
      <c r="CHL1" s="288"/>
      <c r="CHM1" s="288"/>
      <c r="CHN1" s="288"/>
      <c r="CHO1" s="288"/>
      <c r="CHP1" s="288"/>
      <c r="CHQ1" s="288"/>
      <c r="CHR1" s="288"/>
      <c r="CHS1" s="288"/>
      <c r="CHT1" s="288"/>
      <c r="CHU1" s="288"/>
      <c r="CHV1" s="288"/>
      <c r="CHW1" s="288"/>
      <c r="CHX1" s="288"/>
      <c r="CHY1" s="288"/>
      <c r="CHZ1" s="288"/>
      <c r="CIA1" s="288"/>
      <c r="CIB1" s="288"/>
      <c r="CIC1" s="288"/>
      <c r="CID1" s="288"/>
      <c r="CIE1" s="288"/>
      <c r="CIF1" s="288"/>
      <c r="CIG1" s="288"/>
      <c r="CIH1" s="288"/>
      <c r="CII1" s="288"/>
      <c r="CIJ1" s="288"/>
      <c r="CIK1" s="288"/>
      <c r="CIL1" s="288"/>
      <c r="CIM1" s="288"/>
      <c r="CIN1" s="288"/>
      <c r="CIO1" s="288"/>
      <c r="CIP1" s="288"/>
      <c r="CIQ1" s="288"/>
      <c r="CIR1" s="288"/>
      <c r="CIS1" s="288"/>
      <c r="CIT1" s="288"/>
      <c r="CIU1" s="288"/>
      <c r="CIV1" s="288"/>
      <c r="CIW1" s="288"/>
      <c r="CIX1" s="288"/>
      <c r="CIY1" s="288"/>
      <c r="CIZ1" s="288"/>
      <c r="CJA1" s="288"/>
      <c r="CJB1" s="288"/>
      <c r="CJC1" s="288"/>
      <c r="CJD1" s="288"/>
      <c r="CJE1" s="288"/>
      <c r="CJF1" s="288"/>
      <c r="CJG1" s="288"/>
      <c r="CJH1" s="288"/>
      <c r="CJI1" s="288"/>
      <c r="CJJ1" s="288"/>
      <c r="CJK1" s="288"/>
      <c r="CJL1" s="288"/>
      <c r="CJM1" s="288"/>
      <c r="CJN1" s="288"/>
      <c r="CJO1" s="288"/>
      <c r="CJP1" s="288"/>
      <c r="CJQ1" s="288"/>
      <c r="CJR1" s="288"/>
      <c r="CJS1" s="288"/>
      <c r="CJT1" s="288"/>
      <c r="CJU1" s="288"/>
      <c r="CJV1" s="288"/>
      <c r="CJW1" s="288"/>
      <c r="CJX1" s="288"/>
      <c r="CJY1" s="288"/>
      <c r="CJZ1" s="288"/>
      <c r="CKA1" s="288"/>
      <c r="CKB1" s="288"/>
      <c r="CKC1" s="288"/>
      <c r="CKD1" s="288"/>
      <c r="CKE1" s="288"/>
      <c r="CKF1" s="288"/>
      <c r="CKG1" s="288"/>
      <c r="CKH1" s="288"/>
      <c r="CKI1" s="288"/>
      <c r="CKJ1" s="288"/>
      <c r="CKK1" s="288"/>
      <c r="CKL1" s="288"/>
      <c r="CKM1" s="288"/>
      <c r="CKN1" s="288"/>
      <c r="CKO1" s="288"/>
      <c r="CKP1" s="288"/>
      <c r="CKQ1" s="288"/>
      <c r="CKR1" s="288"/>
      <c r="CKS1" s="288"/>
      <c r="CKT1" s="288"/>
      <c r="CKU1" s="288"/>
      <c r="CKV1" s="288"/>
      <c r="CKW1" s="288"/>
      <c r="CKX1" s="288"/>
      <c r="CKY1" s="288"/>
      <c r="CKZ1" s="288"/>
      <c r="CLA1" s="288"/>
      <c r="CLB1" s="288"/>
      <c r="CLC1" s="288"/>
      <c r="CLD1" s="288"/>
      <c r="CLE1" s="288"/>
      <c r="CLF1" s="288"/>
      <c r="CLG1" s="288"/>
      <c r="CLH1" s="288"/>
      <c r="CLI1" s="288"/>
      <c r="CLJ1" s="288"/>
      <c r="CLK1" s="288"/>
      <c r="CLL1" s="288"/>
      <c r="CLM1" s="288"/>
      <c r="CLN1" s="288"/>
      <c r="CLO1" s="288"/>
      <c r="CLP1" s="288"/>
      <c r="CLQ1" s="288"/>
      <c r="CLR1" s="288"/>
      <c r="CLS1" s="288"/>
      <c r="CLT1" s="288"/>
      <c r="CLU1" s="288"/>
      <c r="CLV1" s="288"/>
      <c r="CLW1" s="288"/>
      <c r="CLX1" s="288"/>
      <c r="CLY1" s="288"/>
      <c r="CLZ1" s="288"/>
      <c r="CMA1" s="288"/>
      <c r="CMB1" s="288"/>
      <c r="CMC1" s="288"/>
      <c r="CMD1" s="288"/>
      <c r="CME1" s="288"/>
      <c r="CMF1" s="288"/>
      <c r="CMG1" s="288"/>
      <c r="CMH1" s="288"/>
      <c r="CMI1" s="288"/>
      <c r="CMJ1" s="288"/>
      <c r="CMK1" s="288"/>
      <c r="CML1" s="288"/>
      <c r="CMM1" s="288"/>
      <c r="CMN1" s="288"/>
      <c r="CMO1" s="288"/>
      <c r="CMP1" s="288"/>
      <c r="CMQ1" s="288"/>
      <c r="CMR1" s="288"/>
      <c r="CMS1" s="288"/>
      <c r="CMT1" s="288"/>
      <c r="CMU1" s="288"/>
      <c r="CMV1" s="288"/>
      <c r="CMW1" s="288"/>
      <c r="CMX1" s="288"/>
      <c r="CMY1" s="288"/>
      <c r="CMZ1" s="288"/>
      <c r="CNA1" s="288"/>
      <c r="CNB1" s="288"/>
      <c r="CNC1" s="288"/>
      <c r="CND1" s="288"/>
      <c r="CNE1" s="288"/>
      <c r="CNF1" s="288"/>
      <c r="CNG1" s="288"/>
      <c r="CNH1" s="288"/>
      <c r="CNI1" s="288"/>
      <c r="CNJ1" s="288"/>
      <c r="CNK1" s="288"/>
      <c r="CNL1" s="288"/>
      <c r="CNM1" s="288"/>
      <c r="CNN1" s="288"/>
      <c r="CNO1" s="288"/>
      <c r="CNP1" s="288"/>
      <c r="CNQ1" s="288"/>
      <c r="CNR1" s="288"/>
      <c r="CNS1" s="288"/>
      <c r="CNT1" s="288"/>
      <c r="CNU1" s="288"/>
      <c r="CNV1" s="288"/>
      <c r="CNW1" s="288"/>
      <c r="CNX1" s="288"/>
      <c r="CNY1" s="288"/>
      <c r="CNZ1" s="288"/>
      <c r="COA1" s="288"/>
      <c r="COB1" s="288"/>
      <c r="COC1" s="288"/>
      <c r="COD1" s="288"/>
      <c r="COE1" s="288"/>
      <c r="COF1" s="288"/>
      <c r="COG1" s="288"/>
      <c r="COH1" s="288"/>
      <c r="COI1" s="288"/>
      <c r="COJ1" s="288"/>
      <c r="COK1" s="288"/>
      <c r="COL1" s="288"/>
      <c r="COM1" s="288"/>
      <c r="CON1" s="288"/>
      <c r="COO1" s="288"/>
      <c r="COP1" s="288"/>
      <c r="COQ1" s="288"/>
      <c r="COR1" s="288"/>
      <c r="COS1" s="288"/>
      <c r="COT1" s="288"/>
      <c r="COU1" s="288"/>
      <c r="COV1" s="288"/>
      <c r="COW1" s="288"/>
      <c r="COX1" s="288"/>
      <c r="COY1" s="288"/>
      <c r="COZ1" s="288"/>
      <c r="CPA1" s="288"/>
      <c r="CPB1" s="288"/>
      <c r="CPC1" s="288"/>
      <c r="CPD1" s="288"/>
      <c r="CPE1" s="288"/>
      <c r="CPF1" s="288"/>
      <c r="CPG1" s="288"/>
      <c r="CPH1" s="288"/>
      <c r="CPI1" s="288"/>
      <c r="CPJ1" s="288"/>
      <c r="CPK1" s="288"/>
      <c r="CPL1" s="288"/>
      <c r="CPM1" s="288"/>
      <c r="CPN1" s="288"/>
      <c r="CPO1" s="288"/>
      <c r="CPP1" s="288"/>
      <c r="CPQ1" s="288"/>
      <c r="CPR1" s="288"/>
      <c r="CPS1" s="288"/>
      <c r="CPT1" s="288"/>
      <c r="CPU1" s="288"/>
      <c r="CPV1" s="288"/>
      <c r="CPW1" s="288"/>
      <c r="CPX1" s="288"/>
      <c r="CPY1" s="288"/>
      <c r="CPZ1" s="288"/>
      <c r="CQA1" s="288"/>
      <c r="CQB1" s="288"/>
      <c r="CQC1" s="288"/>
      <c r="CQD1" s="288"/>
      <c r="CQE1" s="288"/>
      <c r="CQF1" s="288"/>
      <c r="CQG1" s="288"/>
      <c r="CQH1" s="288"/>
      <c r="CQI1" s="288"/>
      <c r="CQJ1" s="288"/>
      <c r="CQK1" s="288"/>
      <c r="CQL1" s="288"/>
      <c r="CQM1" s="288"/>
      <c r="CQN1" s="288"/>
      <c r="CQO1" s="288"/>
      <c r="CQP1" s="288"/>
      <c r="CQQ1" s="288"/>
      <c r="CQR1" s="288"/>
      <c r="CQS1" s="288"/>
      <c r="CQT1" s="288"/>
      <c r="CQU1" s="288"/>
      <c r="CQV1" s="288"/>
      <c r="CQW1" s="288"/>
      <c r="CQX1" s="288"/>
      <c r="CQY1" s="288"/>
      <c r="CQZ1" s="288"/>
      <c r="CRA1" s="288"/>
      <c r="CRB1" s="288"/>
      <c r="CRC1" s="288"/>
      <c r="CRD1" s="288"/>
      <c r="CRE1" s="288"/>
      <c r="CRF1" s="288"/>
      <c r="CRG1" s="288"/>
      <c r="CRH1" s="288"/>
      <c r="CRI1" s="288"/>
      <c r="CRJ1" s="288"/>
      <c r="CRK1" s="288"/>
      <c r="CRL1" s="288"/>
      <c r="CRM1" s="288"/>
      <c r="CRN1" s="288"/>
      <c r="CRO1" s="288"/>
      <c r="CRP1" s="288"/>
      <c r="CRQ1" s="288"/>
      <c r="CRR1" s="288"/>
      <c r="CRS1" s="288"/>
      <c r="CRT1" s="288"/>
      <c r="CRU1" s="288"/>
      <c r="CRV1" s="288"/>
      <c r="CRW1" s="288"/>
      <c r="CRX1" s="288"/>
      <c r="CRY1" s="288"/>
      <c r="CRZ1" s="288"/>
      <c r="CSA1" s="288"/>
      <c r="CSB1" s="288"/>
      <c r="CSC1" s="288"/>
      <c r="CSD1" s="288"/>
      <c r="CSE1" s="288"/>
      <c r="CSF1" s="288"/>
      <c r="CSG1" s="288"/>
      <c r="CSH1" s="288"/>
      <c r="CSI1" s="288"/>
      <c r="CSJ1" s="288"/>
      <c r="CSK1" s="288"/>
      <c r="CSL1" s="288"/>
      <c r="CSM1" s="288"/>
      <c r="CSN1" s="288"/>
      <c r="CSO1" s="288"/>
      <c r="CSP1" s="288"/>
      <c r="CSQ1" s="288"/>
      <c r="CSR1" s="288"/>
      <c r="CSS1" s="288"/>
      <c r="CST1" s="288"/>
      <c r="CSU1" s="288"/>
      <c r="CSV1" s="288"/>
      <c r="CSW1" s="288"/>
      <c r="CSX1" s="288"/>
      <c r="CSY1" s="288"/>
      <c r="CSZ1" s="288"/>
      <c r="CTA1" s="288"/>
      <c r="CTB1" s="288"/>
      <c r="CTC1" s="288"/>
      <c r="CTD1" s="288"/>
      <c r="CTE1" s="288"/>
      <c r="CTF1" s="288"/>
      <c r="CTG1" s="288"/>
      <c r="CTH1" s="288"/>
      <c r="CTI1" s="288"/>
      <c r="CTJ1" s="288"/>
      <c r="CTK1" s="288"/>
      <c r="CTL1" s="288"/>
      <c r="CTM1" s="288"/>
      <c r="CTN1" s="288"/>
      <c r="CTO1" s="288"/>
      <c r="CTP1" s="288"/>
      <c r="CTQ1" s="288"/>
      <c r="CTR1" s="288"/>
      <c r="CTS1" s="288"/>
      <c r="CTT1" s="288"/>
      <c r="CTU1" s="288"/>
      <c r="CTV1" s="288"/>
      <c r="CTW1" s="288"/>
      <c r="CTX1" s="288"/>
      <c r="CTY1" s="288"/>
      <c r="CTZ1" s="288"/>
      <c r="CUA1" s="288"/>
      <c r="CUB1" s="288"/>
      <c r="CUC1" s="288"/>
      <c r="CUD1" s="288"/>
      <c r="CUE1" s="288"/>
      <c r="CUF1" s="288"/>
      <c r="CUG1" s="288"/>
      <c r="CUH1" s="288"/>
      <c r="CUI1" s="288"/>
      <c r="CUJ1" s="288"/>
      <c r="CUK1" s="288"/>
      <c r="CUL1" s="288"/>
      <c r="CUM1" s="288"/>
      <c r="CUN1" s="288"/>
      <c r="CUO1" s="288"/>
      <c r="CUP1" s="288"/>
      <c r="CUQ1" s="288"/>
      <c r="CUR1" s="288"/>
      <c r="CUS1" s="288"/>
      <c r="CUT1" s="288"/>
      <c r="CUU1" s="288"/>
      <c r="CUV1" s="288"/>
      <c r="CUW1" s="288"/>
      <c r="CUX1" s="288"/>
      <c r="CUY1" s="288"/>
      <c r="CUZ1" s="288"/>
      <c r="CVA1" s="288"/>
      <c r="CVB1" s="288"/>
      <c r="CVC1" s="288"/>
      <c r="CVD1" s="288"/>
      <c r="CVE1" s="288"/>
      <c r="CVF1" s="288"/>
      <c r="CVG1" s="288"/>
      <c r="CVH1" s="288"/>
      <c r="CVI1" s="288"/>
      <c r="CVJ1" s="288"/>
      <c r="CVK1" s="288"/>
      <c r="CVL1" s="288"/>
      <c r="CVM1" s="288"/>
      <c r="CVN1" s="288"/>
      <c r="CVO1" s="288"/>
      <c r="CVP1" s="288"/>
      <c r="CVQ1" s="288"/>
      <c r="CVR1" s="288"/>
      <c r="CVS1" s="288"/>
      <c r="CVT1" s="288"/>
      <c r="CVU1" s="288"/>
      <c r="CVV1" s="288"/>
      <c r="CVW1" s="288"/>
      <c r="CVX1" s="288"/>
      <c r="CVY1" s="288"/>
      <c r="CVZ1" s="288"/>
      <c r="CWA1" s="288"/>
      <c r="CWB1" s="288"/>
      <c r="CWC1" s="288"/>
      <c r="CWD1" s="288"/>
      <c r="CWE1" s="288"/>
      <c r="CWF1" s="288"/>
      <c r="CWG1" s="288"/>
      <c r="CWH1" s="288"/>
      <c r="CWI1" s="288"/>
      <c r="CWJ1" s="288"/>
      <c r="CWK1" s="288"/>
      <c r="CWL1" s="288"/>
      <c r="CWM1" s="288"/>
      <c r="CWN1" s="288"/>
      <c r="CWO1" s="288"/>
      <c r="CWP1" s="288"/>
      <c r="CWQ1" s="288"/>
      <c r="CWR1" s="288"/>
      <c r="CWS1" s="288"/>
      <c r="CWT1" s="288"/>
      <c r="CWU1" s="288"/>
      <c r="CWV1" s="288"/>
      <c r="CWW1" s="288"/>
      <c r="CWX1" s="288"/>
      <c r="CWY1" s="288"/>
      <c r="CWZ1" s="288"/>
      <c r="CXA1" s="288"/>
      <c r="CXB1" s="288"/>
      <c r="CXC1" s="288"/>
      <c r="CXD1" s="288"/>
      <c r="CXE1" s="288"/>
      <c r="CXF1" s="288"/>
      <c r="CXG1" s="288"/>
      <c r="CXH1" s="288"/>
      <c r="CXI1" s="288"/>
      <c r="CXJ1" s="288"/>
      <c r="CXK1" s="288"/>
      <c r="CXL1" s="288"/>
      <c r="CXM1" s="288"/>
      <c r="CXN1" s="288"/>
      <c r="CXO1" s="288"/>
      <c r="CXP1" s="288"/>
      <c r="CXQ1" s="288"/>
      <c r="CXR1" s="288"/>
      <c r="CXS1" s="288"/>
      <c r="CXT1" s="288"/>
      <c r="CXU1" s="288"/>
      <c r="CXV1" s="288"/>
      <c r="CXW1" s="288"/>
      <c r="CXX1" s="288"/>
      <c r="CXY1" s="288"/>
      <c r="CXZ1" s="288"/>
      <c r="CYA1" s="288"/>
      <c r="CYB1" s="288"/>
      <c r="CYC1" s="288"/>
      <c r="CYD1" s="288"/>
      <c r="CYE1" s="288"/>
      <c r="CYF1" s="288"/>
      <c r="CYG1" s="288"/>
      <c r="CYH1" s="288"/>
      <c r="CYI1" s="288"/>
      <c r="CYJ1" s="288"/>
      <c r="CYK1" s="288"/>
      <c r="CYL1" s="288"/>
      <c r="CYM1" s="288"/>
      <c r="CYN1" s="288"/>
      <c r="CYO1" s="288"/>
      <c r="CYP1" s="288"/>
      <c r="CYQ1" s="288"/>
      <c r="CYR1" s="288"/>
      <c r="CYS1" s="288"/>
      <c r="CYT1" s="288"/>
      <c r="CYU1" s="288"/>
      <c r="CYV1" s="288"/>
      <c r="CYW1" s="288"/>
      <c r="CYX1" s="288"/>
      <c r="CYY1" s="288"/>
      <c r="CYZ1" s="288"/>
      <c r="CZA1" s="288"/>
      <c r="CZB1" s="288"/>
      <c r="CZC1" s="288"/>
      <c r="CZD1" s="288"/>
      <c r="CZE1" s="288"/>
      <c r="CZF1" s="288"/>
      <c r="CZG1" s="288"/>
      <c r="CZH1" s="288"/>
      <c r="CZI1" s="288"/>
      <c r="CZJ1" s="288"/>
      <c r="CZK1" s="288"/>
      <c r="CZL1" s="288"/>
      <c r="CZM1" s="288"/>
      <c r="CZN1" s="288"/>
      <c r="CZO1" s="288"/>
      <c r="CZP1" s="288"/>
      <c r="CZQ1" s="288"/>
      <c r="CZR1" s="288"/>
      <c r="CZS1" s="288"/>
      <c r="CZT1" s="288"/>
      <c r="CZU1" s="288"/>
      <c r="CZV1" s="288"/>
      <c r="CZW1" s="288"/>
      <c r="CZX1" s="288"/>
      <c r="CZY1" s="288"/>
      <c r="CZZ1" s="288"/>
      <c r="DAA1" s="288"/>
      <c r="DAB1" s="288"/>
      <c r="DAC1" s="288"/>
      <c r="DAD1" s="288"/>
      <c r="DAE1" s="288"/>
      <c r="DAF1" s="288"/>
      <c r="DAG1" s="288"/>
      <c r="DAH1" s="288"/>
      <c r="DAI1" s="288"/>
      <c r="DAJ1" s="288"/>
      <c r="DAK1" s="288"/>
      <c r="DAL1" s="288"/>
      <c r="DAM1" s="288"/>
      <c r="DAN1" s="288"/>
      <c r="DAO1" s="288"/>
      <c r="DAP1" s="288"/>
      <c r="DAQ1" s="288"/>
      <c r="DAR1" s="288"/>
      <c r="DAS1" s="288"/>
      <c r="DAT1" s="288"/>
      <c r="DAU1" s="288"/>
      <c r="DAV1" s="288"/>
      <c r="DAW1" s="288"/>
      <c r="DAX1" s="288"/>
      <c r="DAY1" s="288"/>
      <c r="DAZ1" s="288"/>
      <c r="DBA1" s="288"/>
      <c r="DBB1" s="288"/>
      <c r="DBC1" s="288"/>
      <c r="DBD1" s="288"/>
      <c r="DBE1" s="288"/>
      <c r="DBF1" s="288"/>
      <c r="DBG1" s="288"/>
      <c r="DBH1" s="288"/>
      <c r="DBI1" s="288"/>
      <c r="DBJ1" s="288"/>
      <c r="DBK1" s="288"/>
      <c r="DBL1" s="288"/>
      <c r="DBM1" s="288"/>
      <c r="DBN1" s="288"/>
      <c r="DBO1" s="288"/>
      <c r="DBP1" s="288"/>
      <c r="DBQ1" s="288"/>
      <c r="DBR1" s="288"/>
      <c r="DBS1" s="288"/>
      <c r="DBT1" s="288"/>
      <c r="DBU1" s="288"/>
      <c r="DBV1" s="288"/>
      <c r="DBW1" s="288"/>
      <c r="DBX1" s="288"/>
      <c r="DBY1" s="288"/>
      <c r="DBZ1" s="288"/>
      <c r="DCA1" s="288"/>
      <c r="DCB1" s="288"/>
      <c r="DCC1" s="288"/>
      <c r="DCD1" s="288"/>
      <c r="DCE1" s="288"/>
      <c r="DCF1" s="288"/>
      <c r="DCG1" s="288"/>
      <c r="DCH1" s="288"/>
      <c r="DCI1" s="288"/>
      <c r="DCJ1" s="288"/>
      <c r="DCK1" s="288"/>
      <c r="DCL1" s="288"/>
      <c r="DCM1" s="288"/>
      <c r="DCN1" s="288"/>
      <c r="DCO1" s="288"/>
      <c r="DCP1" s="288"/>
      <c r="DCQ1" s="288"/>
      <c r="DCR1" s="288"/>
      <c r="DCS1" s="288"/>
      <c r="DCT1" s="288"/>
      <c r="DCU1" s="288"/>
      <c r="DCV1" s="288"/>
      <c r="DCW1" s="288"/>
      <c r="DCX1" s="288"/>
      <c r="DCY1" s="288"/>
      <c r="DCZ1" s="288"/>
      <c r="DDA1" s="288"/>
      <c r="DDB1" s="288"/>
      <c r="DDC1" s="288"/>
      <c r="DDD1" s="288"/>
      <c r="DDE1" s="288"/>
      <c r="DDF1" s="288"/>
      <c r="DDG1" s="288"/>
      <c r="DDH1" s="288"/>
      <c r="DDI1" s="288"/>
      <c r="DDJ1" s="288"/>
      <c r="DDK1" s="288"/>
      <c r="DDL1" s="288"/>
      <c r="DDM1" s="288"/>
      <c r="DDN1" s="288"/>
      <c r="DDO1" s="288"/>
      <c r="DDP1" s="288"/>
      <c r="DDQ1" s="288"/>
      <c r="DDR1" s="288"/>
      <c r="DDS1" s="288"/>
      <c r="DDT1" s="288"/>
      <c r="DDU1" s="288"/>
      <c r="DDV1" s="288"/>
      <c r="DDW1" s="288"/>
      <c r="DDX1" s="288"/>
      <c r="DDY1" s="288"/>
      <c r="DDZ1" s="288"/>
      <c r="DEA1" s="288"/>
      <c r="DEB1" s="288"/>
      <c r="DEC1" s="288"/>
      <c r="DED1" s="288"/>
      <c r="DEE1" s="288"/>
      <c r="DEF1" s="288"/>
      <c r="DEG1" s="288"/>
      <c r="DEH1" s="288"/>
      <c r="DEI1" s="288"/>
      <c r="DEJ1" s="288"/>
      <c r="DEK1" s="288"/>
      <c r="DEL1" s="288"/>
      <c r="DEM1" s="288"/>
      <c r="DEN1" s="288"/>
      <c r="DEO1" s="288"/>
      <c r="DEP1" s="288"/>
      <c r="DEQ1" s="288"/>
      <c r="DER1" s="288"/>
      <c r="DES1" s="288"/>
      <c r="DET1" s="288"/>
      <c r="DEU1" s="288"/>
      <c r="DEV1" s="288"/>
      <c r="DEW1" s="288"/>
      <c r="DEX1" s="288"/>
      <c r="DEY1" s="288"/>
      <c r="DEZ1" s="288"/>
      <c r="DFA1" s="288"/>
      <c r="DFB1" s="288"/>
      <c r="DFC1" s="288"/>
      <c r="DFD1" s="288"/>
      <c r="DFE1" s="288"/>
      <c r="DFF1" s="288"/>
      <c r="DFG1" s="288"/>
      <c r="DFH1" s="288"/>
      <c r="DFI1" s="288"/>
      <c r="DFJ1" s="288"/>
      <c r="DFK1" s="288"/>
      <c r="DFL1" s="288"/>
      <c r="DFM1" s="288"/>
      <c r="DFN1" s="288"/>
      <c r="DFO1" s="288"/>
      <c r="DFP1" s="288"/>
      <c r="DFQ1" s="288"/>
      <c r="DFR1" s="288"/>
      <c r="DFS1" s="288"/>
      <c r="DFT1" s="288"/>
      <c r="DFU1" s="288"/>
      <c r="DFV1" s="288"/>
      <c r="DFW1" s="288"/>
      <c r="DFX1" s="288"/>
      <c r="DFY1" s="288"/>
      <c r="DFZ1" s="288"/>
      <c r="DGA1" s="288"/>
      <c r="DGB1" s="288"/>
      <c r="DGC1" s="288"/>
      <c r="DGD1" s="288"/>
      <c r="DGE1" s="288"/>
      <c r="DGF1" s="288"/>
      <c r="DGG1" s="288"/>
      <c r="DGH1" s="288"/>
      <c r="DGI1" s="288"/>
      <c r="DGJ1" s="288"/>
      <c r="DGK1" s="288"/>
      <c r="DGL1" s="288"/>
      <c r="DGM1" s="288"/>
      <c r="DGN1" s="288"/>
      <c r="DGO1" s="288"/>
      <c r="DGP1" s="288"/>
      <c r="DGQ1" s="288"/>
      <c r="DGR1" s="288"/>
      <c r="DGS1" s="288"/>
      <c r="DGT1" s="288"/>
      <c r="DGU1" s="288"/>
      <c r="DGV1" s="288"/>
      <c r="DGW1" s="288"/>
      <c r="DGX1" s="288"/>
      <c r="DGY1" s="288"/>
      <c r="DGZ1" s="288"/>
      <c r="DHA1" s="288"/>
      <c r="DHB1" s="288"/>
      <c r="DHC1" s="288"/>
      <c r="DHD1" s="288"/>
      <c r="DHE1" s="288"/>
      <c r="DHF1" s="288"/>
      <c r="DHG1" s="288"/>
      <c r="DHH1" s="288"/>
      <c r="DHI1" s="288"/>
      <c r="DHJ1" s="288"/>
      <c r="DHK1" s="288"/>
      <c r="DHL1" s="288"/>
      <c r="DHM1" s="288"/>
      <c r="DHN1" s="288"/>
      <c r="DHO1" s="288"/>
      <c r="DHP1" s="288"/>
      <c r="DHQ1" s="288"/>
      <c r="DHR1" s="288"/>
      <c r="DHS1" s="288"/>
      <c r="DHT1" s="288"/>
      <c r="DHU1" s="288"/>
      <c r="DHV1" s="288"/>
      <c r="DHW1" s="288"/>
      <c r="DHX1" s="288"/>
      <c r="DHY1" s="288"/>
      <c r="DHZ1" s="288"/>
      <c r="DIA1" s="288"/>
      <c r="DIB1" s="288"/>
      <c r="DIC1" s="288"/>
      <c r="DID1" s="288"/>
      <c r="DIE1" s="288"/>
      <c r="DIF1" s="288"/>
      <c r="DIG1" s="288"/>
      <c r="DIH1" s="288"/>
      <c r="DII1" s="288"/>
      <c r="DIJ1" s="288"/>
      <c r="DIK1" s="288"/>
      <c r="DIL1" s="288"/>
      <c r="DIM1" s="288"/>
      <c r="DIN1" s="288"/>
      <c r="DIO1" s="288"/>
      <c r="DIP1" s="288"/>
      <c r="DIQ1" s="288"/>
      <c r="DIR1" s="288"/>
      <c r="DIS1" s="288"/>
      <c r="DIT1" s="288"/>
      <c r="DIU1" s="288"/>
      <c r="DIV1" s="288"/>
      <c r="DIW1" s="288"/>
      <c r="DIX1" s="288"/>
      <c r="DIY1" s="288"/>
      <c r="DIZ1" s="288"/>
      <c r="DJA1" s="288"/>
      <c r="DJB1" s="288"/>
      <c r="DJC1" s="288"/>
      <c r="DJD1" s="288"/>
      <c r="DJE1" s="288"/>
      <c r="DJF1" s="288"/>
      <c r="DJG1" s="288"/>
      <c r="DJH1" s="288"/>
      <c r="DJI1" s="288"/>
      <c r="DJJ1" s="288"/>
      <c r="DJK1" s="288"/>
      <c r="DJL1" s="288"/>
      <c r="DJM1" s="288"/>
      <c r="DJN1" s="288"/>
      <c r="DJO1" s="288"/>
      <c r="DJP1" s="288"/>
      <c r="DJQ1" s="288"/>
      <c r="DJR1" s="288"/>
      <c r="DJS1" s="288"/>
      <c r="DJT1" s="288"/>
      <c r="DJU1" s="288"/>
      <c r="DJV1" s="288"/>
      <c r="DJW1" s="288"/>
      <c r="DJX1" s="288"/>
      <c r="DJY1" s="288"/>
      <c r="DJZ1" s="288"/>
      <c r="DKA1" s="288"/>
      <c r="DKB1" s="288"/>
      <c r="DKC1" s="288"/>
      <c r="DKD1" s="288"/>
      <c r="DKE1" s="288"/>
      <c r="DKF1" s="288"/>
      <c r="DKG1" s="288"/>
      <c r="DKH1" s="288"/>
      <c r="DKI1" s="288"/>
      <c r="DKJ1" s="288"/>
      <c r="DKK1" s="288"/>
      <c r="DKL1" s="288"/>
      <c r="DKM1" s="288"/>
      <c r="DKN1" s="288"/>
      <c r="DKO1" s="288"/>
      <c r="DKP1" s="288"/>
      <c r="DKQ1" s="288"/>
      <c r="DKR1" s="288"/>
      <c r="DKS1" s="288"/>
      <c r="DKT1" s="288"/>
      <c r="DKU1" s="288"/>
      <c r="DKV1" s="288"/>
      <c r="DKW1" s="288"/>
      <c r="DKX1" s="288"/>
      <c r="DKY1" s="288"/>
      <c r="DKZ1" s="288"/>
      <c r="DLA1" s="288"/>
      <c r="DLB1" s="288"/>
      <c r="DLC1" s="288"/>
      <c r="DLD1" s="288"/>
      <c r="DLE1" s="288"/>
      <c r="DLF1" s="288"/>
      <c r="DLG1" s="288"/>
      <c r="DLH1" s="288"/>
      <c r="DLI1" s="288"/>
      <c r="DLJ1" s="288"/>
      <c r="DLK1" s="288"/>
      <c r="DLL1" s="288"/>
      <c r="DLM1" s="288"/>
      <c r="DLN1" s="288"/>
      <c r="DLO1" s="288"/>
      <c r="DLP1" s="288"/>
      <c r="DLQ1" s="288"/>
      <c r="DLR1" s="288"/>
      <c r="DLS1" s="288"/>
      <c r="DLT1" s="288"/>
      <c r="DLU1" s="288"/>
      <c r="DLV1" s="288"/>
      <c r="DLW1" s="288"/>
      <c r="DLX1" s="288"/>
      <c r="DLY1" s="288"/>
      <c r="DLZ1" s="288"/>
      <c r="DMA1" s="288"/>
      <c r="DMB1" s="288"/>
      <c r="DMC1" s="288"/>
      <c r="DMD1" s="288"/>
      <c r="DME1" s="288"/>
      <c r="DMF1" s="288"/>
      <c r="DMG1" s="288"/>
      <c r="DMH1" s="288"/>
      <c r="DMI1" s="288"/>
      <c r="DMJ1" s="288"/>
      <c r="DMK1" s="288"/>
      <c r="DML1" s="288"/>
      <c r="DMM1" s="288"/>
      <c r="DMN1" s="288"/>
      <c r="DMO1" s="288"/>
      <c r="DMP1" s="288"/>
      <c r="DMQ1" s="288"/>
      <c r="DMR1" s="288"/>
      <c r="DMS1" s="288"/>
      <c r="DMT1" s="288"/>
      <c r="DMU1" s="288"/>
      <c r="DMV1" s="288"/>
      <c r="DMW1" s="288"/>
      <c r="DMX1" s="288"/>
      <c r="DMY1" s="288"/>
      <c r="DMZ1" s="288"/>
      <c r="DNA1" s="288"/>
      <c r="DNB1" s="288"/>
      <c r="DNC1" s="288"/>
      <c r="DND1" s="288"/>
      <c r="DNE1" s="288"/>
      <c r="DNF1" s="288"/>
      <c r="DNG1" s="288"/>
      <c r="DNH1" s="288"/>
      <c r="DNI1" s="288"/>
      <c r="DNJ1" s="288"/>
      <c r="DNK1" s="288"/>
      <c r="DNL1" s="288"/>
      <c r="DNM1" s="288"/>
      <c r="DNN1" s="288"/>
      <c r="DNO1" s="288"/>
      <c r="DNP1" s="288"/>
      <c r="DNQ1" s="288"/>
      <c r="DNR1" s="288"/>
      <c r="DNS1" s="288"/>
      <c r="DNT1" s="288"/>
      <c r="DNU1" s="288"/>
      <c r="DNV1" s="288"/>
      <c r="DNW1" s="288"/>
      <c r="DNX1" s="288"/>
      <c r="DNY1" s="288"/>
      <c r="DNZ1" s="288"/>
      <c r="DOA1" s="288"/>
      <c r="DOB1" s="288"/>
      <c r="DOC1" s="288"/>
      <c r="DOD1" s="288"/>
      <c r="DOE1" s="288"/>
      <c r="DOF1" s="288"/>
      <c r="DOG1" s="288"/>
      <c r="DOH1" s="288"/>
      <c r="DOI1" s="288"/>
      <c r="DOJ1" s="288"/>
      <c r="DOK1" s="288"/>
      <c r="DOL1" s="288"/>
      <c r="DOM1" s="288"/>
      <c r="DON1" s="288"/>
      <c r="DOO1" s="288"/>
      <c r="DOP1" s="288"/>
      <c r="DOQ1" s="288"/>
      <c r="DOR1" s="288"/>
      <c r="DOS1" s="288"/>
      <c r="DOT1" s="288"/>
      <c r="DOU1" s="288"/>
      <c r="DOV1" s="288"/>
      <c r="DOW1" s="288"/>
      <c r="DOX1" s="288"/>
      <c r="DOY1" s="288"/>
      <c r="DOZ1" s="288"/>
      <c r="DPA1" s="288"/>
      <c r="DPB1" s="288"/>
      <c r="DPC1" s="288"/>
      <c r="DPD1" s="288"/>
      <c r="DPE1" s="288"/>
      <c r="DPF1" s="288"/>
      <c r="DPG1" s="288"/>
      <c r="DPH1" s="288"/>
      <c r="DPI1" s="288"/>
      <c r="DPJ1" s="288"/>
      <c r="DPK1" s="288"/>
      <c r="DPL1" s="288"/>
      <c r="DPM1" s="288"/>
      <c r="DPN1" s="288"/>
      <c r="DPO1" s="288"/>
      <c r="DPP1" s="288"/>
      <c r="DPQ1" s="288"/>
      <c r="DPR1" s="288"/>
      <c r="DPS1" s="288"/>
      <c r="DPT1" s="288"/>
      <c r="DPU1" s="288"/>
      <c r="DPV1" s="288"/>
      <c r="DPW1" s="288"/>
      <c r="DPX1" s="288"/>
      <c r="DPY1" s="288"/>
      <c r="DPZ1" s="288"/>
      <c r="DQA1" s="288"/>
      <c r="DQB1" s="288"/>
      <c r="DQC1" s="288"/>
      <c r="DQD1" s="288"/>
      <c r="DQE1" s="288"/>
      <c r="DQF1" s="288"/>
      <c r="DQG1" s="288"/>
      <c r="DQH1" s="288"/>
      <c r="DQI1" s="288"/>
      <c r="DQJ1" s="288"/>
      <c r="DQK1" s="288"/>
      <c r="DQL1" s="288"/>
      <c r="DQM1" s="288"/>
      <c r="DQN1" s="288"/>
      <c r="DQO1" s="288"/>
      <c r="DQP1" s="288"/>
      <c r="DQQ1" s="288"/>
      <c r="DQR1" s="288"/>
      <c r="DQS1" s="288"/>
      <c r="DQT1" s="288"/>
      <c r="DQU1" s="288"/>
      <c r="DQV1" s="288"/>
      <c r="DQW1" s="288"/>
      <c r="DQX1" s="288"/>
      <c r="DQY1" s="288"/>
      <c r="DQZ1" s="288"/>
      <c r="DRA1" s="288"/>
      <c r="DRB1" s="288"/>
      <c r="DRC1" s="288"/>
      <c r="DRD1" s="288"/>
      <c r="DRE1" s="288"/>
      <c r="DRF1" s="288"/>
      <c r="DRG1" s="288"/>
      <c r="DRH1" s="288"/>
      <c r="DRI1" s="288"/>
      <c r="DRJ1" s="288"/>
      <c r="DRK1" s="288"/>
      <c r="DRL1" s="288"/>
      <c r="DRM1" s="288"/>
      <c r="DRN1" s="288"/>
      <c r="DRO1" s="288"/>
      <c r="DRP1" s="288"/>
      <c r="DRQ1" s="288"/>
      <c r="DRR1" s="288"/>
      <c r="DRS1" s="288"/>
      <c r="DRT1" s="288"/>
      <c r="DRU1" s="288"/>
      <c r="DRV1" s="288"/>
      <c r="DRW1" s="288"/>
      <c r="DRX1" s="288"/>
      <c r="DRY1" s="288"/>
      <c r="DRZ1" s="288"/>
      <c r="DSA1" s="288"/>
      <c r="DSB1" s="288"/>
      <c r="DSC1" s="288"/>
      <c r="DSD1" s="288"/>
      <c r="DSE1" s="288"/>
      <c r="DSF1" s="288"/>
      <c r="DSG1" s="288"/>
      <c r="DSH1" s="288"/>
      <c r="DSI1" s="288"/>
      <c r="DSJ1" s="288"/>
      <c r="DSK1" s="288"/>
      <c r="DSL1" s="288"/>
      <c r="DSM1" s="288"/>
      <c r="DSN1" s="288"/>
      <c r="DSO1" s="288"/>
      <c r="DSP1" s="288"/>
      <c r="DSQ1" s="288"/>
      <c r="DSR1" s="288"/>
      <c r="DSS1" s="288"/>
      <c r="DST1" s="288"/>
      <c r="DSU1" s="288"/>
      <c r="DSV1" s="288"/>
      <c r="DSW1" s="288"/>
      <c r="DSX1" s="288"/>
      <c r="DSY1" s="288"/>
      <c r="DSZ1" s="288"/>
      <c r="DTA1" s="288"/>
      <c r="DTB1" s="288"/>
      <c r="DTC1" s="288"/>
      <c r="DTD1" s="288"/>
      <c r="DTE1" s="288"/>
      <c r="DTF1" s="288"/>
      <c r="DTG1" s="288"/>
      <c r="DTH1" s="288"/>
      <c r="DTI1" s="288"/>
      <c r="DTJ1" s="288"/>
      <c r="DTK1" s="288"/>
      <c r="DTL1" s="288"/>
      <c r="DTM1" s="288"/>
      <c r="DTN1" s="288"/>
      <c r="DTO1" s="288"/>
      <c r="DTP1" s="288"/>
      <c r="DTQ1" s="288"/>
      <c r="DTR1" s="288"/>
      <c r="DTS1" s="288"/>
      <c r="DTT1" s="288"/>
      <c r="DTU1" s="288"/>
      <c r="DTV1" s="288"/>
      <c r="DTW1" s="288"/>
      <c r="DTX1" s="288"/>
      <c r="DTY1" s="288"/>
      <c r="DTZ1" s="288"/>
      <c r="DUA1" s="288"/>
      <c r="DUB1" s="288"/>
      <c r="DUC1" s="288"/>
      <c r="DUD1" s="288"/>
      <c r="DUE1" s="288"/>
      <c r="DUF1" s="288"/>
      <c r="DUG1" s="288"/>
      <c r="DUH1" s="288"/>
      <c r="DUI1" s="288"/>
      <c r="DUJ1" s="288"/>
      <c r="DUK1" s="288"/>
      <c r="DUL1" s="288"/>
      <c r="DUM1" s="288"/>
      <c r="DUN1" s="288"/>
      <c r="DUO1" s="288"/>
      <c r="DUP1" s="288"/>
      <c r="DUQ1" s="288"/>
      <c r="DUR1" s="288"/>
      <c r="DUS1" s="288"/>
      <c r="DUT1" s="288"/>
      <c r="DUU1" s="288"/>
      <c r="DUV1" s="288"/>
      <c r="DUW1" s="288"/>
      <c r="DUX1" s="288"/>
      <c r="DUY1" s="288"/>
      <c r="DUZ1" s="288"/>
      <c r="DVA1" s="288"/>
      <c r="DVB1" s="288"/>
      <c r="DVC1" s="288"/>
      <c r="DVD1" s="288"/>
      <c r="DVE1" s="288"/>
      <c r="DVF1" s="288"/>
      <c r="DVG1" s="288"/>
      <c r="DVH1" s="288"/>
      <c r="DVI1" s="288"/>
      <c r="DVJ1" s="288"/>
      <c r="DVK1" s="288"/>
      <c r="DVL1" s="288"/>
      <c r="DVM1" s="288"/>
      <c r="DVN1" s="288"/>
      <c r="DVO1" s="288"/>
      <c r="DVP1" s="288"/>
      <c r="DVQ1" s="288"/>
      <c r="DVR1" s="288"/>
      <c r="DVS1" s="288"/>
      <c r="DVT1" s="288"/>
      <c r="DVU1" s="288"/>
      <c r="DVV1" s="288"/>
      <c r="DVW1" s="288"/>
      <c r="DVX1" s="288"/>
      <c r="DVY1" s="288"/>
      <c r="DVZ1" s="288"/>
      <c r="DWA1" s="288"/>
      <c r="DWB1" s="288"/>
      <c r="DWC1" s="288"/>
      <c r="DWD1" s="288"/>
      <c r="DWE1" s="288"/>
      <c r="DWF1" s="288"/>
      <c r="DWG1" s="288"/>
      <c r="DWH1" s="288"/>
      <c r="DWI1" s="288"/>
      <c r="DWJ1" s="288"/>
      <c r="DWK1" s="288"/>
      <c r="DWL1" s="288"/>
      <c r="DWM1" s="288"/>
      <c r="DWN1" s="288"/>
      <c r="DWO1" s="288"/>
      <c r="DWP1" s="288"/>
      <c r="DWQ1" s="288"/>
      <c r="DWR1" s="288"/>
      <c r="DWS1" s="288"/>
      <c r="DWT1" s="288"/>
      <c r="DWU1" s="288"/>
      <c r="DWV1" s="288"/>
      <c r="DWW1" s="288"/>
      <c r="DWX1" s="288"/>
      <c r="DWY1" s="288"/>
      <c r="DWZ1" s="288"/>
      <c r="DXA1" s="288"/>
      <c r="DXB1" s="288"/>
      <c r="DXC1" s="288"/>
      <c r="DXD1" s="288"/>
      <c r="DXE1" s="288"/>
      <c r="DXF1" s="288"/>
      <c r="DXG1" s="288"/>
      <c r="DXH1" s="288"/>
      <c r="DXI1" s="288"/>
      <c r="DXJ1" s="288"/>
      <c r="DXK1" s="288"/>
      <c r="DXL1" s="288"/>
      <c r="DXM1" s="288"/>
      <c r="DXN1" s="288"/>
      <c r="DXO1" s="288"/>
      <c r="DXP1" s="288"/>
      <c r="DXQ1" s="288"/>
      <c r="DXR1" s="288"/>
      <c r="DXS1" s="288"/>
      <c r="DXT1" s="288"/>
      <c r="DXU1" s="288"/>
      <c r="DXV1" s="288"/>
      <c r="DXW1" s="288"/>
      <c r="DXX1" s="288"/>
      <c r="DXY1" s="288"/>
      <c r="DXZ1" s="288"/>
      <c r="DYA1" s="288"/>
      <c r="DYB1" s="288"/>
      <c r="DYC1" s="288"/>
      <c r="DYD1" s="288"/>
      <c r="DYE1" s="288"/>
      <c r="DYF1" s="288"/>
      <c r="DYG1" s="288"/>
      <c r="DYH1" s="288"/>
      <c r="DYI1" s="288"/>
      <c r="DYJ1" s="288"/>
      <c r="DYK1" s="288"/>
      <c r="DYL1" s="288"/>
      <c r="DYM1" s="288"/>
      <c r="DYN1" s="288"/>
      <c r="DYO1" s="288"/>
      <c r="DYP1" s="288"/>
      <c r="DYQ1" s="288"/>
      <c r="DYR1" s="288"/>
      <c r="DYS1" s="288"/>
      <c r="DYT1" s="288"/>
      <c r="DYU1" s="288"/>
      <c r="DYV1" s="288"/>
      <c r="DYW1" s="288"/>
      <c r="DYX1" s="288"/>
      <c r="DYY1" s="288"/>
      <c r="DYZ1" s="288"/>
      <c r="DZA1" s="288"/>
      <c r="DZB1" s="288"/>
      <c r="DZC1" s="288"/>
      <c r="DZD1" s="288"/>
      <c r="DZE1" s="288"/>
      <c r="DZF1" s="288"/>
      <c r="DZG1" s="288"/>
      <c r="DZH1" s="288"/>
      <c r="DZI1" s="288"/>
      <c r="DZJ1" s="288"/>
      <c r="DZK1" s="288"/>
      <c r="DZL1" s="288"/>
      <c r="DZM1" s="288"/>
      <c r="DZN1" s="288"/>
      <c r="DZO1" s="288"/>
      <c r="DZP1" s="288"/>
      <c r="DZQ1" s="288"/>
      <c r="DZR1" s="288"/>
      <c r="DZS1" s="288"/>
      <c r="DZT1" s="288"/>
      <c r="DZU1" s="288"/>
      <c r="DZV1" s="288"/>
      <c r="DZW1" s="288"/>
      <c r="DZX1" s="288"/>
      <c r="DZY1" s="288"/>
      <c r="DZZ1" s="288"/>
      <c r="EAA1" s="288"/>
      <c r="EAB1" s="288"/>
      <c r="EAC1" s="288"/>
      <c r="EAD1" s="288"/>
      <c r="EAE1" s="288"/>
      <c r="EAF1" s="288"/>
      <c r="EAG1" s="288"/>
      <c r="EAH1" s="288"/>
      <c r="EAI1" s="288"/>
      <c r="EAJ1" s="288"/>
      <c r="EAK1" s="288"/>
      <c r="EAL1" s="288"/>
      <c r="EAM1" s="288"/>
      <c r="EAN1" s="288"/>
      <c r="EAO1" s="288"/>
      <c r="EAP1" s="288"/>
      <c r="EAQ1" s="288"/>
      <c r="EAR1" s="288"/>
      <c r="EAS1" s="288"/>
      <c r="EAT1" s="288"/>
      <c r="EAU1" s="288"/>
      <c r="EAV1" s="288"/>
      <c r="EAW1" s="288"/>
      <c r="EAX1" s="288"/>
      <c r="EAY1" s="288"/>
      <c r="EAZ1" s="288"/>
      <c r="EBA1" s="288"/>
      <c r="EBB1" s="288"/>
      <c r="EBC1" s="288"/>
      <c r="EBD1" s="288"/>
      <c r="EBE1" s="288"/>
      <c r="EBF1" s="288"/>
      <c r="EBG1" s="288"/>
      <c r="EBH1" s="288"/>
      <c r="EBI1" s="288"/>
      <c r="EBJ1" s="288"/>
      <c r="EBK1" s="288"/>
      <c r="EBL1" s="288"/>
      <c r="EBM1" s="288"/>
      <c r="EBN1" s="288"/>
      <c r="EBO1" s="288"/>
      <c r="EBP1" s="288"/>
      <c r="EBQ1" s="288"/>
      <c r="EBR1" s="288"/>
      <c r="EBS1" s="288"/>
      <c r="EBT1" s="288"/>
      <c r="EBU1" s="288"/>
      <c r="EBV1" s="288"/>
      <c r="EBW1" s="288"/>
      <c r="EBX1" s="288"/>
      <c r="EBY1" s="288"/>
      <c r="EBZ1" s="288"/>
      <c r="ECA1" s="288"/>
      <c r="ECB1" s="288"/>
      <c r="ECC1" s="288"/>
      <c r="ECD1" s="288"/>
      <c r="ECE1" s="288"/>
      <c r="ECF1" s="288"/>
      <c r="ECG1" s="288"/>
      <c r="ECH1" s="288"/>
      <c r="ECI1" s="288"/>
      <c r="ECJ1" s="288"/>
      <c r="ECK1" s="288"/>
      <c r="ECL1" s="288"/>
      <c r="ECM1" s="288"/>
      <c r="ECN1" s="288"/>
      <c r="ECO1" s="288"/>
      <c r="ECP1" s="288"/>
      <c r="ECQ1" s="288"/>
      <c r="ECR1" s="288"/>
      <c r="ECS1" s="288"/>
      <c r="ECT1" s="288"/>
      <c r="ECU1" s="288"/>
      <c r="ECV1" s="288"/>
      <c r="ECW1" s="288"/>
      <c r="ECX1" s="288"/>
      <c r="ECY1" s="288"/>
      <c r="ECZ1" s="288"/>
      <c r="EDA1" s="288"/>
      <c r="EDB1" s="288"/>
      <c r="EDC1" s="288"/>
      <c r="EDD1" s="288"/>
      <c r="EDE1" s="288"/>
      <c r="EDF1" s="288"/>
      <c r="EDG1" s="288"/>
      <c r="EDH1" s="288"/>
      <c r="EDI1" s="288"/>
      <c r="EDJ1" s="288"/>
      <c r="EDK1" s="288"/>
      <c r="EDL1" s="288"/>
      <c r="EDM1" s="288"/>
      <c r="EDN1" s="288"/>
      <c r="EDO1" s="288"/>
      <c r="EDP1" s="288"/>
      <c r="EDQ1" s="288"/>
      <c r="EDR1" s="288"/>
      <c r="EDS1" s="288"/>
      <c r="EDT1" s="288"/>
      <c r="EDU1" s="288"/>
      <c r="EDV1" s="288"/>
      <c r="EDW1" s="288"/>
      <c r="EDX1" s="288"/>
      <c r="EDY1" s="288"/>
      <c r="EDZ1" s="288"/>
      <c r="EEA1" s="288"/>
      <c r="EEB1" s="288"/>
      <c r="EEC1" s="288"/>
      <c r="EED1" s="288"/>
      <c r="EEE1" s="288"/>
      <c r="EEF1" s="288"/>
      <c r="EEG1" s="288"/>
      <c r="EEH1" s="288"/>
      <c r="EEI1" s="288"/>
      <c r="EEJ1" s="288"/>
      <c r="EEK1" s="288"/>
      <c r="EEL1" s="288"/>
      <c r="EEM1" s="288"/>
      <c r="EEN1" s="288"/>
      <c r="EEO1" s="288"/>
      <c r="EEP1" s="288"/>
      <c r="EEQ1" s="288"/>
      <c r="EER1" s="288"/>
      <c r="EES1" s="288"/>
      <c r="EET1" s="288"/>
      <c r="EEU1" s="288"/>
      <c r="EEV1" s="288"/>
      <c r="EEW1" s="288"/>
      <c r="EEX1" s="288"/>
      <c r="EEY1" s="288"/>
      <c r="EEZ1" s="288"/>
      <c r="EFA1" s="288"/>
      <c r="EFB1" s="288"/>
      <c r="EFC1" s="288"/>
      <c r="EFD1" s="288"/>
      <c r="EFE1" s="288"/>
      <c r="EFF1" s="288"/>
      <c r="EFG1" s="288"/>
      <c r="EFH1" s="288"/>
      <c r="EFI1" s="288"/>
      <c r="EFJ1" s="288"/>
      <c r="EFK1" s="288"/>
      <c r="EFL1" s="288"/>
      <c r="EFM1" s="288"/>
      <c r="EFN1" s="288"/>
      <c r="EFO1" s="288"/>
      <c r="EFP1" s="288"/>
      <c r="EFQ1" s="288"/>
      <c r="EFR1" s="288"/>
      <c r="EFS1" s="288"/>
      <c r="EFT1" s="288"/>
      <c r="EFU1" s="288"/>
      <c r="EFV1" s="288"/>
      <c r="EFW1" s="288"/>
      <c r="EFX1" s="288"/>
      <c r="EFY1" s="288"/>
      <c r="EFZ1" s="288"/>
      <c r="EGA1" s="288"/>
      <c r="EGB1" s="288"/>
      <c r="EGC1" s="288"/>
      <c r="EGD1" s="288"/>
      <c r="EGE1" s="288"/>
      <c r="EGF1" s="288"/>
      <c r="EGG1" s="288"/>
      <c r="EGH1" s="288"/>
      <c r="EGI1" s="288"/>
      <c r="EGJ1" s="288"/>
      <c r="EGK1" s="288"/>
      <c r="EGL1" s="288"/>
      <c r="EGM1" s="288"/>
      <c r="EGN1" s="288"/>
      <c r="EGO1" s="288"/>
      <c r="EGP1" s="288"/>
      <c r="EGQ1" s="288"/>
      <c r="EGR1" s="288"/>
      <c r="EGS1" s="288"/>
      <c r="EGT1" s="288"/>
      <c r="EGU1" s="288"/>
      <c r="EGV1" s="288"/>
      <c r="EGW1" s="288"/>
      <c r="EGX1" s="288"/>
      <c r="EGY1" s="288"/>
      <c r="EGZ1" s="288"/>
      <c r="EHA1" s="288"/>
      <c r="EHB1" s="288"/>
      <c r="EHC1" s="288"/>
      <c r="EHD1" s="288"/>
      <c r="EHE1" s="288"/>
      <c r="EHF1" s="288"/>
      <c r="EHG1" s="288"/>
      <c r="EHH1" s="288"/>
      <c r="EHI1" s="288"/>
      <c r="EHJ1" s="288"/>
      <c r="EHK1" s="288"/>
      <c r="EHL1" s="288"/>
      <c r="EHM1" s="288"/>
      <c r="EHN1" s="288"/>
      <c r="EHO1" s="288"/>
      <c r="EHP1" s="288"/>
      <c r="EHQ1" s="288"/>
      <c r="EHR1" s="288"/>
      <c r="EHS1" s="288"/>
      <c r="EHT1" s="288"/>
      <c r="EHU1" s="288"/>
      <c r="EHV1" s="288"/>
      <c r="EHW1" s="288"/>
      <c r="EHX1" s="288"/>
      <c r="EHY1" s="288"/>
      <c r="EHZ1" s="288"/>
      <c r="EIA1" s="288"/>
      <c r="EIB1" s="288"/>
      <c r="EIC1" s="288"/>
      <c r="EID1" s="288"/>
      <c r="EIE1" s="288"/>
      <c r="EIF1" s="288"/>
      <c r="EIG1" s="288"/>
      <c r="EIH1" s="288"/>
      <c r="EII1" s="288"/>
      <c r="EIJ1" s="288"/>
      <c r="EIK1" s="288"/>
      <c r="EIL1" s="288"/>
      <c r="EIM1" s="288"/>
      <c r="EIN1" s="288"/>
      <c r="EIO1" s="288"/>
      <c r="EIP1" s="288"/>
      <c r="EIQ1" s="288"/>
      <c r="EIR1" s="288"/>
      <c r="EIS1" s="288"/>
      <c r="EIT1" s="288"/>
      <c r="EIU1" s="288"/>
      <c r="EIV1" s="288"/>
      <c r="EIW1" s="288"/>
      <c r="EIX1" s="288"/>
      <c r="EIY1" s="288"/>
      <c r="EIZ1" s="288"/>
      <c r="EJA1" s="288"/>
      <c r="EJB1" s="288"/>
      <c r="EJC1" s="288"/>
      <c r="EJD1" s="288"/>
      <c r="EJE1" s="288"/>
      <c r="EJF1" s="288"/>
      <c r="EJG1" s="288"/>
      <c r="EJH1" s="288"/>
      <c r="EJI1" s="288"/>
      <c r="EJJ1" s="288"/>
      <c r="EJK1" s="288"/>
      <c r="EJL1" s="288"/>
      <c r="EJM1" s="288"/>
      <c r="EJN1" s="288"/>
      <c r="EJO1" s="288"/>
      <c r="EJP1" s="288"/>
      <c r="EJQ1" s="288"/>
      <c r="EJR1" s="288"/>
      <c r="EJS1" s="288"/>
      <c r="EJT1" s="288"/>
      <c r="EJU1" s="288"/>
      <c r="EJV1" s="288"/>
      <c r="EJW1" s="288"/>
      <c r="EJX1" s="288"/>
      <c r="EJY1" s="288"/>
      <c r="EJZ1" s="288"/>
      <c r="EKA1" s="288"/>
      <c r="EKB1" s="288"/>
      <c r="EKC1" s="288"/>
      <c r="EKD1" s="288"/>
      <c r="EKE1" s="288"/>
      <c r="EKF1" s="288"/>
      <c r="EKG1" s="288"/>
      <c r="EKH1" s="288"/>
      <c r="EKI1" s="288"/>
      <c r="EKJ1" s="288"/>
      <c r="EKK1" s="288"/>
      <c r="EKL1" s="288"/>
      <c r="EKM1" s="288"/>
      <c r="EKN1" s="288"/>
      <c r="EKO1" s="288"/>
      <c r="EKP1" s="288"/>
      <c r="EKQ1" s="288"/>
      <c r="EKR1" s="288"/>
      <c r="EKS1" s="288"/>
      <c r="EKT1" s="288"/>
      <c r="EKU1" s="288"/>
      <c r="EKV1" s="288"/>
      <c r="EKW1" s="288"/>
      <c r="EKX1" s="288"/>
      <c r="EKY1" s="288"/>
      <c r="EKZ1" s="288"/>
      <c r="ELA1" s="288"/>
      <c r="ELB1" s="288"/>
      <c r="ELC1" s="288"/>
      <c r="ELD1" s="288"/>
      <c r="ELE1" s="288"/>
      <c r="ELF1" s="288"/>
      <c r="ELG1" s="288"/>
      <c r="ELH1" s="288"/>
      <c r="ELI1" s="288"/>
      <c r="ELJ1" s="288"/>
      <c r="ELK1" s="288"/>
      <c r="ELL1" s="288"/>
      <c r="ELM1" s="288"/>
      <c r="ELN1" s="288"/>
      <c r="ELO1" s="288"/>
      <c r="ELP1" s="288"/>
      <c r="ELQ1" s="288"/>
      <c r="ELR1" s="288"/>
      <c r="ELS1" s="288"/>
      <c r="ELT1" s="288"/>
      <c r="ELU1" s="288"/>
      <c r="ELV1" s="288"/>
      <c r="ELW1" s="288"/>
      <c r="ELX1" s="288"/>
      <c r="ELY1" s="288"/>
      <c r="ELZ1" s="288"/>
      <c r="EMA1" s="288"/>
      <c r="EMB1" s="288"/>
      <c r="EMC1" s="288"/>
      <c r="EMD1" s="288"/>
      <c r="EME1" s="288"/>
      <c r="EMF1" s="288"/>
      <c r="EMG1" s="288"/>
      <c r="EMH1" s="288"/>
      <c r="EMI1" s="288"/>
      <c r="EMJ1" s="288"/>
      <c r="EMK1" s="288"/>
      <c r="EML1" s="288"/>
      <c r="EMM1" s="288"/>
      <c r="EMN1" s="288"/>
      <c r="EMO1" s="288"/>
      <c r="EMP1" s="288"/>
      <c r="EMQ1" s="288"/>
      <c r="EMR1" s="288"/>
      <c r="EMS1" s="288"/>
      <c r="EMT1" s="288"/>
      <c r="EMU1" s="288"/>
      <c r="EMV1" s="288"/>
      <c r="EMW1" s="288"/>
      <c r="EMX1" s="288"/>
      <c r="EMY1" s="288"/>
      <c r="EMZ1" s="288"/>
      <c r="ENA1" s="288"/>
      <c r="ENB1" s="288"/>
      <c r="ENC1" s="288"/>
      <c r="END1" s="288"/>
      <c r="ENE1" s="288"/>
      <c r="ENF1" s="288"/>
      <c r="ENG1" s="288"/>
      <c r="ENH1" s="288"/>
      <c r="ENI1" s="288"/>
      <c r="ENJ1" s="288"/>
      <c r="ENK1" s="288"/>
      <c r="ENL1" s="288"/>
      <c r="ENM1" s="288"/>
      <c r="ENN1" s="288"/>
      <c r="ENO1" s="288"/>
      <c r="ENP1" s="288"/>
      <c r="ENQ1" s="288"/>
      <c r="ENR1" s="288"/>
      <c r="ENS1" s="288"/>
      <c r="ENT1" s="288"/>
      <c r="ENU1" s="288"/>
      <c r="ENV1" s="288"/>
      <c r="ENW1" s="288"/>
      <c r="ENX1" s="288"/>
      <c r="ENY1" s="288"/>
      <c r="ENZ1" s="288"/>
      <c r="EOA1" s="288"/>
      <c r="EOB1" s="288"/>
      <c r="EOC1" s="288"/>
      <c r="EOD1" s="288"/>
      <c r="EOE1" s="288"/>
      <c r="EOF1" s="288"/>
      <c r="EOG1" s="288"/>
      <c r="EOH1" s="288"/>
      <c r="EOI1" s="288"/>
      <c r="EOJ1" s="288"/>
      <c r="EOK1" s="288"/>
      <c r="EOL1" s="288"/>
      <c r="EOM1" s="288"/>
      <c r="EON1" s="288"/>
      <c r="EOO1" s="288"/>
      <c r="EOP1" s="288"/>
      <c r="EOQ1" s="288"/>
      <c r="EOR1" s="288"/>
      <c r="EOS1" s="288"/>
      <c r="EOT1" s="288"/>
      <c r="EOU1" s="288"/>
      <c r="EOV1" s="288"/>
      <c r="EOW1" s="288"/>
      <c r="EOX1" s="288"/>
      <c r="EOY1" s="288"/>
      <c r="EOZ1" s="288"/>
      <c r="EPA1" s="288"/>
      <c r="EPB1" s="288"/>
      <c r="EPC1" s="288"/>
      <c r="EPD1" s="288"/>
      <c r="EPE1" s="288"/>
      <c r="EPF1" s="288"/>
      <c r="EPG1" s="288"/>
      <c r="EPH1" s="288"/>
      <c r="EPI1" s="288"/>
      <c r="EPJ1" s="288"/>
      <c r="EPK1" s="288"/>
      <c r="EPL1" s="288"/>
      <c r="EPM1" s="288"/>
      <c r="EPN1" s="288"/>
      <c r="EPO1" s="288"/>
      <c r="EPP1" s="288"/>
      <c r="EPQ1" s="288"/>
      <c r="EPR1" s="288"/>
      <c r="EPS1" s="288"/>
      <c r="EPT1" s="288"/>
      <c r="EPU1" s="288"/>
      <c r="EPV1" s="288"/>
      <c r="EPW1" s="288"/>
      <c r="EPX1" s="288"/>
      <c r="EPY1" s="288"/>
      <c r="EPZ1" s="288"/>
      <c r="EQA1" s="288"/>
      <c r="EQB1" s="288"/>
      <c r="EQC1" s="288"/>
      <c r="EQD1" s="288"/>
      <c r="EQE1" s="288"/>
      <c r="EQF1" s="288"/>
      <c r="EQG1" s="288"/>
      <c r="EQH1" s="288"/>
      <c r="EQI1" s="288"/>
      <c r="EQJ1" s="288"/>
      <c r="EQK1" s="288"/>
      <c r="EQL1" s="288"/>
      <c r="EQM1" s="288"/>
      <c r="EQN1" s="288"/>
      <c r="EQO1" s="288"/>
      <c r="EQP1" s="288"/>
      <c r="EQQ1" s="288"/>
      <c r="EQR1" s="288"/>
      <c r="EQS1" s="288"/>
      <c r="EQT1" s="288"/>
      <c r="EQU1" s="288"/>
      <c r="EQV1" s="288"/>
      <c r="EQW1" s="288"/>
      <c r="EQX1" s="288"/>
      <c r="EQY1" s="288"/>
      <c r="EQZ1" s="288"/>
      <c r="ERA1" s="288"/>
      <c r="ERB1" s="288"/>
      <c r="ERC1" s="288"/>
      <c r="ERD1" s="288"/>
      <c r="ERE1" s="288"/>
      <c r="ERF1" s="288"/>
      <c r="ERG1" s="288"/>
      <c r="ERH1" s="288"/>
      <c r="ERI1" s="288"/>
      <c r="ERJ1" s="288"/>
      <c r="ERK1" s="288"/>
      <c r="ERL1" s="288"/>
      <c r="ERM1" s="288"/>
      <c r="ERN1" s="288"/>
      <c r="ERO1" s="288"/>
      <c r="ERP1" s="288"/>
      <c r="ERQ1" s="288"/>
      <c r="ERR1" s="288"/>
      <c r="ERS1" s="288"/>
      <c r="ERT1" s="288"/>
      <c r="ERU1" s="288"/>
      <c r="ERV1" s="288"/>
      <c r="ERW1" s="288"/>
      <c r="ERX1" s="288"/>
      <c r="ERY1" s="288"/>
      <c r="ERZ1" s="288"/>
      <c r="ESA1" s="288"/>
      <c r="ESB1" s="288"/>
      <c r="ESC1" s="288"/>
      <c r="ESD1" s="288"/>
      <c r="ESE1" s="288"/>
      <c r="ESF1" s="288"/>
      <c r="ESG1" s="288"/>
      <c r="ESH1" s="288"/>
      <c r="ESI1" s="288"/>
      <c r="ESJ1" s="288"/>
      <c r="ESK1" s="288"/>
      <c r="ESL1" s="288"/>
      <c r="ESM1" s="288"/>
      <c r="ESN1" s="288"/>
      <c r="ESO1" s="288"/>
      <c r="ESP1" s="288"/>
      <c r="ESQ1" s="288"/>
      <c r="ESR1" s="288"/>
      <c r="ESS1" s="288"/>
      <c r="EST1" s="288"/>
      <c r="ESU1" s="288"/>
      <c r="ESV1" s="288"/>
      <c r="ESW1" s="288"/>
      <c r="ESX1" s="288"/>
      <c r="ESY1" s="288"/>
      <c r="ESZ1" s="288"/>
      <c r="ETA1" s="288"/>
      <c r="ETB1" s="288"/>
      <c r="ETC1" s="288"/>
      <c r="ETD1" s="288"/>
      <c r="ETE1" s="288"/>
      <c r="ETF1" s="288"/>
      <c r="ETG1" s="288"/>
      <c r="ETH1" s="288"/>
      <c r="ETI1" s="288"/>
      <c r="ETJ1" s="288"/>
      <c r="ETK1" s="288"/>
      <c r="ETL1" s="288"/>
      <c r="ETM1" s="288"/>
      <c r="ETN1" s="288"/>
      <c r="ETO1" s="288"/>
      <c r="ETP1" s="288"/>
      <c r="ETQ1" s="288"/>
      <c r="ETR1" s="288"/>
      <c r="ETS1" s="288"/>
      <c r="ETT1" s="288"/>
      <c r="ETU1" s="288"/>
      <c r="ETV1" s="288"/>
      <c r="ETW1" s="288"/>
      <c r="ETX1" s="288"/>
      <c r="ETY1" s="288"/>
      <c r="ETZ1" s="288"/>
      <c r="EUA1" s="288"/>
      <c r="EUB1" s="288"/>
      <c r="EUC1" s="288"/>
      <c r="EUD1" s="288"/>
      <c r="EUE1" s="288"/>
      <c r="EUF1" s="288"/>
      <c r="EUG1" s="288"/>
      <c r="EUH1" s="288"/>
      <c r="EUI1" s="288"/>
      <c r="EUJ1" s="288"/>
      <c r="EUK1" s="288"/>
      <c r="EUL1" s="288"/>
      <c r="EUM1" s="288"/>
      <c r="EUN1" s="288"/>
      <c r="EUO1" s="288"/>
      <c r="EUP1" s="288"/>
      <c r="EUQ1" s="288"/>
      <c r="EUR1" s="288"/>
      <c r="EUS1" s="288"/>
      <c r="EUT1" s="288"/>
      <c r="EUU1" s="288"/>
      <c r="EUV1" s="288"/>
      <c r="EUW1" s="288"/>
      <c r="EUX1" s="288"/>
      <c r="EUY1" s="288"/>
      <c r="EUZ1" s="288"/>
      <c r="EVA1" s="288"/>
      <c r="EVB1" s="288"/>
      <c r="EVC1" s="288"/>
      <c r="EVD1" s="288"/>
      <c r="EVE1" s="288"/>
      <c r="EVF1" s="288"/>
      <c r="EVG1" s="288"/>
      <c r="EVH1" s="288"/>
      <c r="EVI1" s="288"/>
      <c r="EVJ1" s="288"/>
      <c r="EVK1" s="288"/>
      <c r="EVL1" s="288"/>
      <c r="EVM1" s="288"/>
      <c r="EVN1" s="288"/>
      <c r="EVO1" s="288"/>
      <c r="EVP1" s="288"/>
      <c r="EVQ1" s="288"/>
      <c r="EVR1" s="288"/>
      <c r="EVS1" s="288"/>
      <c r="EVT1" s="288"/>
      <c r="EVU1" s="288"/>
      <c r="EVV1" s="288"/>
      <c r="EVW1" s="288"/>
      <c r="EVX1" s="288"/>
      <c r="EVY1" s="288"/>
      <c r="EVZ1" s="288"/>
      <c r="EWA1" s="288"/>
      <c r="EWB1" s="288"/>
      <c r="EWC1" s="288"/>
      <c r="EWD1" s="288"/>
      <c r="EWE1" s="288"/>
      <c r="EWF1" s="288"/>
      <c r="EWG1" s="288"/>
      <c r="EWH1" s="288"/>
      <c r="EWI1" s="288"/>
      <c r="EWJ1" s="288"/>
      <c r="EWK1" s="288"/>
      <c r="EWL1" s="288"/>
      <c r="EWM1" s="288"/>
      <c r="EWN1" s="288"/>
      <c r="EWO1" s="288"/>
      <c r="EWP1" s="288"/>
      <c r="EWQ1" s="288"/>
      <c r="EWR1" s="288"/>
      <c r="EWS1" s="288"/>
      <c r="EWT1" s="288"/>
      <c r="EWU1" s="288"/>
      <c r="EWV1" s="288"/>
      <c r="EWW1" s="288"/>
      <c r="EWX1" s="288"/>
      <c r="EWY1" s="288"/>
      <c r="EWZ1" s="288"/>
      <c r="EXA1" s="288"/>
      <c r="EXB1" s="288"/>
      <c r="EXC1" s="288"/>
      <c r="EXD1" s="288"/>
      <c r="EXE1" s="288"/>
      <c r="EXF1" s="288"/>
      <c r="EXG1" s="288"/>
      <c r="EXH1" s="288"/>
      <c r="EXI1" s="288"/>
      <c r="EXJ1" s="288"/>
      <c r="EXK1" s="288"/>
      <c r="EXL1" s="288"/>
      <c r="EXM1" s="288"/>
      <c r="EXN1" s="288"/>
      <c r="EXO1" s="288"/>
      <c r="EXP1" s="288"/>
      <c r="EXQ1" s="288"/>
      <c r="EXR1" s="288"/>
      <c r="EXS1" s="288"/>
      <c r="EXT1" s="288"/>
      <c r="EXU1" s="288"/>
      <c r="EXV1" s="288"/>
      <c r="EXW1" s="288"/>
      <c r="EXX1" s="288"/>
      <c r="EXY1" s="288"/>
      <c r="EXZ1" s="288"/>
      <c r="EYA1" s="288"/>
      <c r="EYB1" s="288"/>
      <c r="EYC1" s="288"/>
      <c r="EYD1" s="288"/>
      <c r="EYE1" s="288"/>
      <c r="EYF1" s="288"/>
      <c r="EYG1" s="288"/>
      <c r="EYH1" s="288"/>
      <c r="EYI1" s="288"/>
      <c r="EYJ1" s="288"/>
      <c r="EYK1" s="288"/>
      <c r="EYL1" s="288"/>
      <c r="EYM1" s="288"/>
      <c r="EYN1" s="288"/>
      <c r="EYO1" s="288"/>
      <c r="EYP1" s="288"/>
      <c r="EYQ1" s="288"/>
      <c r="EYR1" s="288"/>
      <c r="EYS1" s="288"/>
      <c r="EYT1" s="288"/>
      <c r="EYU1" s="288"/>
      <c r="EYV1" s="288"/>
      <c r="EYW1" s="288"/>
      <c r="EYX1" s="288"/>
      <c r="EYY1" s="288"/>
      <c r="EYZ1" s="288"/>
      <c r="EZA1" s="288"/>
      <c r="EZB1" s="288"/>
      <c r="EZC1" s="288"/>
      <c r="EZD1" s="288"/>
      <c r="EZE1" s="288"/>
      <c r="EZF1" s="288"/>
      <c r="EZG1" s="288"/>
      <c r="EZH1" s="288"/>
      <c r="EZI1" s="288"/>
      <c r="EZJ1" s="288"/>
      <c r="EZK1" s="288"/>
      <c r="EZL1" s="288"/>
      <c r="EZM1" s="288"/>
      <c r="EZN1" s="288"/>
      <c r="EZO1" s="288"/>
      <c r="EZP1" s="288"/>
      <c r="EZQ1" s="288"/>
      <c r="EZR1" s="288"/>
      <c r="EZS1" s="288"/>
      <c r="EZT1" s="288"/>
      <c r="EZU1" s="288"/>
      <c r="EZV1" s="288"/>
      <c r="EZW1" s="288"/>
      <c r="EZX1" s="288"/>
      <c r="EZY1" s="288"/>
      <c r="EZZ1" s="288"/>
      <c r="FAA1" s="288"/>
      <c r="FAB1" s="288"/>
      <c r="FAC1" s="288"/>
      <c r="FAD1" s="288"/>
      <c r="FAE1" s="288"/>
      <c r="FAF1" s="288"/>
      <c r="FAG1" s="288"/>
      <c r="FAH1" s="288"/>
      <c r="FAI1" s="288"/>
      <c r="FAJ1" s="288"/>
      <c r="FAK1" s="288"/>
      <c r="FAL1" s="288"/>
      <c r="FAM1" s="288"/>
      <c r="FAN1" s="288"/>
      <c r="FAO1" s="288"/>
      <c r="FAP1" s="288"/>
      <c r="FAQ1" s="288"/>
      <c r="FAR1" s="288"/>
      <c r="FAS1" s="288"/>
      <c r="FAT1" s="288"/>
      <c r="FAU1" s="288"/>
      <c r="FAV1" s="288"/>
      <c r="FAW1" s="288"/>
      <c r="FAX1" s="288"/>
      <c r="FAY1" s="288"/>
      <c r="FAZ1" s="288"/>
      <c r="FBA1" s="288"/>
      <c r="FBB1" s="288"/>
      <c r="FBC1" s="288"/>
      <c r="FBD1" s="288"/>
      <c r="FBE1" s="288"/>
      <c r="FBF1" s="288"/>
      <c r="FBG1" s="288"/>
      <c r="FBH1" s="288"/>
      <c r="FBI1" s="288"/>
      <c r="FBJ1" s="288"/>
      <c r="FBK1" s="288"/>
      <c r="FBL1" s="288"/>
      <c r="FBM1" s="288"/>
      <c r="FBN1" s="288"/>
      <c r="FBO1" s="288"/>
      <c r="FBP1" s="288"/>
      <c r="FBQ1" s="288"/>
      <c r="FBR1" s="288"/>
      <c r="FBS1" s="288"/>
      <c r="FBT1" s="288"/>
      <c r="FBU1" s="288"/>
      <c r="FBV1" s="288"/>
      <c r="FBW1" s="288"/>
      <c r="FBX1" s="288"/>
      <c r="FBY1" s="288"/>
      <c r="FBZ1" s="288"/>
      <c r="FCA1" s="288"/>
      <c r="FCB1" s="288"/>
      <c r="FCC1" s="288"/>
      <c r="FCD1" s="288"/>
      <c r="FCE1" s="288"/>
      <c r="FCF1" s="288"/>
      <c r="FCG1" s="288"/>
      <c r="FCH1" s="288"/>
      <c r="FCI1" s="288"/>
      <c r="FCJ1" s="288"/>
      <c r="FCK1" s="288"/>
      <c r="FCL1" s="288"/>
      <c r="FCM1" s="288"/>
      <c r="FCN1" s="288"/>
      <c r="FCO1" s="288"/>
      <c r="FCP1" s="288"/>
      <c r="FCQ1" s="288"/>
      <c r="FCR1" s="288"/>
      <c r="FCS1" s="288"/>
      <c r="FCT1" s="288"/>
      <c r="FCU1" s="288"/>
      <c r="FCV1" s="288"/>
      <c r="FCW1" s="288"/>
      <c r="FCX1" s="288"/>
      <c r="FCY1" s="288"/>
      <c r="FCZ1" s="288"/>
      <c r="FDA1" s="288"/>
      <c r="FDB1" s="288"/>
      <c r="FDC1" s="288"/>
      <c r="FDD1" s="288"/>
      <c r="FDE1" s="288"/>
      <c r="FDF1" s="288"/>
      <c r="FDG1" s="288"/>
      <c r="FDH1" s="288"/>
      <c r="FDI1" s="288"/>
      <c r="FDJ1" s="288"/>
      <c r="FDK1" s="288"/>
      <c r="FDL1" s="288"/>
      <c r="FDM1" s="288"/>
      <c r="FDN1" s="288"/>
      <c r="FDO1" s="288"/>
      <c r="FDP1" s="288"/>
      <c r="FDQ1" s="288"/>
      <c r="FDR1" s="288"/>
      <c r="FDS1" s="288"/>
      <c r="FDT1" s="288"/>
      <c r="FDU1" s="288"/>
      <c r="FDV1" s="288"/>
      <c r="FDW1" s="288"/>
      <c r="FDX1" s="288"/>
      <c r="FDY1" s="288"/>
      <c r="FDZ1" s="288"/>
      <c r="FEA1" s="288"/>
      <c r="FEB1" s="288"/>
      <c r="FEC1" s="288"/>
      <c r="FED1" s="288"/>
      <c r="FEE1" s="288"/>
      <c r="FEF1" s="288"/>
      <c r="FEG1" s="288"/>
      <c r="FEH1" s="288"/>
      <c r="FEI1" s="288"/>
      <c r="FEJ1" s="288"/>
      <c r="FEK1" s="288"/>
      <c r="FEL1" s="288"/>
      <c r="FEM1" s="288"/>
      <c r="FEN1" s="288"/>
      <c r="FEO1" s="288"/>
      <c r="FEP1" s="288"/>
      <c r="FEQ1" s="288"/>
      <c r="FER1" s="288"/>
      <c r="FES1" s="288"/>
      <c r="FET1" s="288"/>
      <c r="FEU1" s="288"/>
      <c r="FEV1" s="288"/>
      <c r="FEW1" s="288"/>
      <c r="FEX1" s="288"/>
      <c r="FEY1" s="288"/>
      <c r="FEZ1" s="288"/>
      <c r="FFA1" s="288"/>
      <c r="FFB1" s="288"/>
      <c r="FFC1" s="288"/>
      <c r="FFD1" s="288"/>
      <c r="FFE1" s="288"/>
      <c r="FFF1" s="288"/>
      <c r="FFG1" s="288"/>
      <c r="FFH1" s="288"/>
      <c r="FFI1" s="288"/>
      <c r="FFJ1" s="288"/>
      <c r="FFK1" s="288"/>
      <c r="FFL1" s="288"/>
      <c r="FFM1" s="288"/>
      <c r="FFN1" s="288"/>
      <c r="FFO1" s="288"/>
      <c r="FFP1" s="288"/>
      <c r="FFQ1" s="288"/>
      <c r="FFR1" s="288"/>
      <c r="FFS1" s="288"/>
      <c r="FFT1" s="288"/>
      <c r="FFU1" s="288"/>
      <c r="FFV1" s="288"/>
      <c r="FFW1" s="288"/>
      <c r="FFX1" s="288"/>
      <c r="FFY1" s="288"/>
      <c r="FFZ1" s="288"/>
      <c r="FGA1" s="288"/>
      <c r="FGB1" s="288"/>
      <c r="FGC1" s="288"/>
      <c r="FGD1" s="288"/>
      <c r="FGE1" s="288"/>
      <c r="FGF1" s="288"/>
      <c r="FGG1" s="288"/>
      <c r="FGH1" s="288"/>
      <c r="FGI1" s="288"/>
      <c r="FGJ1" s="288"/>
      <c r="FGK1" s="288"/>
      <c r="FGL1" s="288"/>
      <c r="FGM1" s="288"/>
      <c r="FGN1" s="288"/>
      <c r="FGO1" s="288"/>
      <c r="FGP1" s="288"/>
      <c r="FGQ1" s="288"/>
      <c r="FGR1" s="288"/>
      <c r="FGS1" s="288"/>
      <c r="FGT1" s="288"/>
      <c r="FGU1" s="288"/>
      <c r="FGV1" s="288"/>
      <c r="FGW1" s="288"/>
      <c r="FGX1" s="288"/>
      <c r="FGY1" s="288"/>
      <c r="FGZ1" s="288"/>
      <c r="FHA1" s="288"/>
      <c r="FHB1" s="288"/>
      <c r="FHC1" s="288"/>
      <c r="FHD1" s="288"/>
      <c r="FHE1" s="288"/>
      <c r="FHF1" s="288"/>
      <c r="FHG1" s="288"/>
      <c r="FHH1" s="288"/>
      <c r="FHI1" s="288"/>
      <c r="FHJ1" s="288"/>
      <c r="FHK1" s="288"/>
      <c r="FHL1" s="288"/>
      <c r="FHM1" s="288"/>
      <c r="FHN1" s="288"/>
      <c r="FHO1" s="288"/>
      <c r="FHP1" s="288"/>
      <c r="FHQ1" s="288"/>
      <c r="FHR1" s="288"/>
      <c r="FHS1" s="288"/>
      <c r="FHT1" s="288"/>
      <c r="FHU1" s="288"/>
      <c r="FHV1" s="288"/>
      <c r="FHW1" s="288"/>
      <c r="FHX1" s="288"/>
      <c r="FHY1" s="288"/>
      <c r="FHZ1" s="288"/>
      <c r="FIA1" s="288"/>
      <c r="FIB1" s="288"/>
      <c r="FIC1" s="288"/>
      <c r="FID1" s="288"/>
      <c r="FIE1" s="288"/>
      <c r="FIF1" s="288"/>
      <c r="FIG1" s="288"/>
      <c r="FIH1" s="288"/>
      <c r="FII1" s="288"/>
      <c r="FIJ1" s="288"/>
      <c r="FIK1" s="288"/>
      <c r="FIL1" s="288"/>
      <c r="FIM1" s="288"/>
      <c r="FIN1" s="288"/>
      <c r="FIO1" s="288"/>
      <c r="FIP1" s="288"/>
      <c r="FIQ1" s="288"/>
      <c r="FIR1" s="288"/>
      <c r="FIS1" s="288"/>
      <c r="FIT1" s="288"/>
      <c r="FIU1" s="288"/>
      <c r="FIV1" s="288"/>
      <c r="FIW1" s="288"/>
      <c r="FIX1" s="288"/>
      <c r="FIY1" s="288"/>
      <c r="FIZ1" s="288"/>
      <c r="FJA1" s="288"/>
      <c r="FJB1" s="288"/>
      <c r="FJC1" s="288"/>
      <c r="FJD1" s="288"/>
      <c r="FJE1" s="288"/>
      <c r="FJF1" s="288"/>
      <c r="FJG1" s="288"/>
      <c r="FJH1" s="288"/>
      <c r="FJI1" s="288"/>
      <c r="FJJ1" s="288"/>
      <c r="FJK1" s="288"/>
      <c r="FJL1" s="288"/>
      <c r="FJM1" s="288"/>
      <c r="FJN1" s="288"/>
      <c r="FJO1" s="288"/>
      <c r="FJP1" s="288"/>
      <c r="FJQ1" s="288"/>
      <c r="FJR1" s="288"/>
      <c r="FJS1" s="288"/>
      <c r="FJT1" s="288"/>
      <c r="FJU1" s="288"/>
      <c r="FJV1" s="288"/>
      <c r="FJW1" s="288"/>
      <c r="FJX1" s="288"/>
      <c r="FJY1" s="288"/>
      <c r="FJZ1" s="288"/>
      <c r="FKA1" s="288"/>
      <c r="FKB1" s="288"/>
      <c r="FKC1" s="288"/>
      <c r="FKD1" s="288"/>
      <c r="FKE1" s="288"/>
      <c r="FKF1" s="288"/>
      <c r="FKG1" s="288"/>
      <c r="FKH1" s="288"/>
      <c r="FKI1" s="288"/>
      <c r="FKJ1" s="288"/>
      <c r="FKK1" s="288"/>
      <c r="FKL1" s="288"/>
      <c r="FKM1" s="288"/>
      <c r="FKN1" s="288"/>
      <c r="FKO1" s="288"/>
      <c r="FKP1" s="288"/>
      <c r="FKQ1" s="288"/>
      <c r="FKR1" s="288"/>
      <c r="FKS1" s="288"/>
      <c r="FKT1" s="288"/>
      <c r="FKU1" s="288"/>
      <c r="FKV1" s="288"/>
      <c r="FKW1" s="288"/>
      <c r="FKX1" s="288"/>
      <c r="FKY1" s="288"/>
      <c r="FKZ1" s="288"/>
      <c r="FLA1" s="288"/>
      <c r="FLB1" s="288"/>
      <c r="FLC1" s="288"/>
      <c r="FLD1" s="288"/>
      <c r="FLE1" s="288"/>
      <c r="FLF1" s="288"/>
      <c r="FLG1" s="288"/>
      <c r="FLH1" s="288"/>
      <c r="FLI1" s="288"/>
      <c r="FLJ1" s="288"/>
      <c r="FLK1" s="288"/>
      <c r="FLL1" s="288"/>
      <c r="FLM1" s="288"/>
      <c r="FLN1" s="288"/>
      <c r="FLO1" s="288"/>
      <c r="FLP1" s="288"/>
      <c r="FLQ1" s="288"/>
      <c r="FLR1" s="288"/>
      <c r="FLS1" s="288"/>
      <c r="FLT1" s="288"/>
      <c r="FLU1" s="288"/>
      <c r="FLV1" s="288"/>
      <c r="FLW1" s="288"/>
      <c r="FLX1" s="288"/>
      <c r="FLY1" s="288"/>
      <c r="FLZ1" s="288"/>
      <c r="FMA1" s="288"/>
      <c r="FMB1" s="288"/>
      <c r="FMC1" s="288"/>
      <c r="FMD1" s="288"/>
      <c r="FME1" s="288"/>
      <c r="FMF1" s="288"/>
      <c r="FMG1" s="288"/>
      <c r="FMH1" s="288"/>
      <c r="FMI1" s="288"/>
      <c r="FMJ1" s="288"/>
      <c r="FMK1" s="288"/>
      <c r="FML1" s="288"/>
      <c r="FMM1" s="288"/>
      <c r="FMN1" s="288"/>
      <c r="FMO1" s="288"/>
      <c r="FMP1" s="288"/>
      <c r="FMQ1" s="288"/>
      <c r="FMR1" s="288"/>
      <c r="FMS1" s="288"/>
      <c r="FMT1" s="288"/>
      <c r="FMU1" s="288"/>
      <c r="FMV1" s="288"/>
      <c r="FMW1" s="288"/>
      <c r="FMX1" s="288"/>
      <c r="FMY1" s="288"/>
      <c r="FMZ1" s="288"/>
      <c r="FNA1" s="288"/>
      <c r="FNB1" s="288"/>
      <c r="FNC1" s="288"/>
      <c r="FND1" s="288"/>
      <c r="FNE1" s="288"/>
      <c r="FNF1" s="288"/>
      <c r="FNG1" s="288"/>
      <c r="FNH1" s="288"/>
      <c r="FNI1" s="288"/>
      <c r="FNJ1" s="288"/>
      <c r="FNK1" s="288"/>
      <c r="FNL1" s="288"/>
      <c r="FNM1" s="288"/>
      <c r="FNN1" s="288"/>
      <c r="FNO1" s="288"/>
      <c r="FNP1" s="288"/>
      <c r="FNQ1" s="288"/>
      <c r="FNR1" s="288"/>
      <c r="FNS1" s="288"/>
      <c r="FNT1" s="288"/>
      <c r="FNU1" s="288"/>
      <c r="FNV1" s="288"/>
      <c r="FNW1" s="288"/>
      <c r="FNX1" s="288"/>
      <c r="FNY1" s="288"/>
      <c r="FNZ1" s="288"/>
      <c r="FOA1" s="288"/>
      <c r="FOB1" s="288"/>
      <c r="FOC1" s="288"/>
      <c r="FOD1" s="288"/>
      <c r="FOE1" s="288"/>
      <c r="FOF1" s="288"/>
      <c r="FOG1" s="288"/>
      <c r="FOH1" s="288"/>
      <c r="FOI1" s="288"/>
      <c r="FOJ1" s="288"/>
      <c r="FOK1" s="288"/>
      <c r="FOL1" s="288"/>
      <c r="FOM1" s="288"/>
      <c r="FON1" s="288"/>
      <c r="FOO1" s="288"/>
      <c r="FOP1" s="288"/>
      <c r="FOQ1" s="288"/>
      <c r="FOR1" s="288"/>
      <c r="FOS1" s="288"/>
      <c r="FOT1" s="288"/>
      <c r="FOU1" s="288"/>
      <c r="FOV1" s="288"/>
      <c r="FOW1" s="288"/>
      <c r="FOX1" s="288"/>
      <c r="FOY1" s="288"/>
      <c r="FOZ1" s="288"/>
      <c r="FPA1" s="288"/>
      <c r="FPB1" s="288"/>
      <c r="FPC1" s="288"/>
      <c r="FPD1" s="288"/>
      <c r="FPE1" s="288"/>
      <c r="FPF1" s="288"/>
      <c r="FPG1" s="288"/>
      <c r="FPH1" s="288"/>
      <c r="FPI1" s="288"/>
      <c r="FPJ1" s="288"/>
      <c r="FPK1" s="288"/>
      <c r="FPL1" s="288"/>
      <c r="FPM1" s="288"/>
      <c r="FPN1" s="288"/>
      <c r="FPO1" s="288"/>
      <c r="FPP1" s="288"/>
      <c r="FPQ1" s="288"/>
      <c r="FPR1" s="288"/>
      <c r="FPS1" s="288"/>
      <c r="FPT1" s="288"/>
      <c r="FPU1" s="288"/>
      <c r="FPV1" s="288"/>
      <c r="FPW1" s="288"/>
      <c r="FPX1" s="288"/>
      <c r="FPY1" s="288"/>
      <c r="FPZ1" s="288"/>
      <c r="FQA1" s="288"/>
      <c r="FQB1" s="288"/>
      <c r="FQC1" s="288"/>
      <c r="FQD1" s="288"/>
      <c r="FQE1" s="288"/>
      <c r="FQF1" s="288"/>
      <c r="FQG1" s="288"/>
      <c r="FQH1" s="288"/>
      <c r="FQI1" s="288"/>
      <c r="FQJ1" s="288"/>
      <c r="FQK1" s="288"/>
      <c r="FQL1" s="288"/>
      <c r="FQM1" s="288"/>
      <c r="FQN1" s="288"/>
      <c r="FQO1" s="288"/>
      <c r="FQP1" s="288"/>
      <c r="FQQ1" s="288"/>
      <c r="FQR1" s="288"/>
      <c r="FQS1" s="288"/>
      <c r="FQT1" s="288"/>
      <c r="FQU1" s="288"/>
      <c r="FQV1" s="288"/>
      <c r="FQW1" s="288"/>
      <c r="FQX1" s="288"/>
      <c r="FQY1" s="288"/>
      <c r="FQZ1" s="288"/>
      <c r="FRA1" s="288"/>
      <c r="FRB1" s="288"/>
      <c r="FRC1" s="288"/>
      <c r="FRD1" s="288"/>
      <c r="FRE1" s="288"/>
      <c r="FRF1" s="288"/>
      <c r="FRG1" s="288"/>
      <c r="FRH1" s="288"/>
      <c r="FRI1" s="288"/>
      <c r="FRJ1" s="288"/>
      <c r="FRK1" s="288"/>
      <c r="FRL1" s="288"/>
      <c r="FRM1" s="288"/>
      <c r="FRN1" s="288"/>
      <c r="FRO1" s="288"/>
      <c r="FRP1" s="288"/>
      <c r="FRQ1" s="288"/>
      <c r="FRR1" s="288"/>
      <c r="FRS1" s="288"/>
      <c r="FRT1" s="288"/>
      <c r="FRU1" s="288"/>
      <c r="FRV1" s="288"/>
      <c r="FRW1" s="288"/>
      <c r="FRX1" s="288"/>
      <c r="FRY1" s="288"/>
      <c r="FRZ1" s="288"/>
      <c r="FSA1" s="288"/>
      <c r="FSB1" s="288"/>
      <c r="FSC1" s="288"/>
      <c r="FSD1" s="288"/>
      <c r="FSE1" s="288"/>
      <c r="FSF1" s="288"/>
      <c r="FSG1" s="288"/>
      <c r="FSH1" s="288"/>
      <c r="FSI1" s="288"/>
      <c r="FSJ1" s="288"/>
      <c r="FSK1" s="288"/>
      <c r="FSL1" s="288"/>
      <c r="FSM1" s="288"/>
      <c r="FSN1" s="288"/>
      <c r="FSO1" s="288"/>
      <c r="FSP1" s="288"/>
      <c r="FSQ1" s="288"/>
      <c r="FSR1" s="288"/>
      <c r="FSS1" s="288"/>
      <c r="FST1" s="288"/>
      <c r="FSU1" s="288"/>
      <c r="FSV1" s="288"/>
      <c r="FSW1" s="288"/>
      <c r="FSX1" s="288"/>
      <c r="FSY1" s="288"/>
      <c r="FSZ1" s="288"/>
      <c r="FTA1" s="288"/>
      <c r="FTB1" s="288"/>
      <c r="FTC1" s="288"/>
      <c r="FTD1" s="288"/>
      <c r="FTE1" s="288"/>
      <c r="FTF1" s="288"/>
      <c r="FTG1" s="288"/>
      <c r="FTH1" s="288"/>
      <c r="FTI1" s="288"/>
      <c r="FTJ1" s="288"/>
      <c r="FTK1" s="288"/>
      <c r="FTL1" s="288"/>
      <c r="FTM1" s="288"/>
      <c r="FTN1" s="288"/>
      <c r="FTO1" s="288"/>
      <c r="FTP1" s="288"/>
      <c r="FTQ1" s="288"/>
      <c r="FTR1" s="288"/>
      <c r="FTS1" s="288"/>
      <c r="FTT1" s="288"/>
      <c r="FTU1" s="288"/>
      <c r="FTV1" s="288"/>
      <c r="FTW1" s="288"/>
      <c r="FTX1" s="288"/>
      <c r="FTY1" s="288"/>
      <c r="FTZ1" s="288"/>
      <c r="FUA1" s="288"/>
      <c r="FUB1" s="288"/>
      <c r="FUC1" s="288"/>
      <c r="FUD1" s="288"/>
      <c r="FUE1" s="288"/>
      <c r="FUF1" s="288"/>
      <c r="FUG1" s="288"/>
      <c r="FUH1" s="288"/>
      <c r="FUI1" s="288"/>
      <c r="FUJ1" s="288"/>
      <c r="FUK1" s="288"/>
      <c r="FUL1" s="288"/>
      <c r="FUM1" s="288"/>
      <c r="FUN1" s="288"/>
      <c r="FUO1" s="288"/>
      <c r="FUP1" s="288"/>
      <c r="FUQ1" s="288"/>
      <c r="FUR1" s="288"/>
      <c r="FUS1" s="288"/>
      <c r="FUT1" s="288"/>
      <c r="FUU1" s="288"/>
      <c r="FUV1" s="288"/>
      <c r="FUW1" s="288"/>
      <c r="FUX1" s="288"/>
      <c r="FUY1" s="288"/>
      <c r="FUZ1" s="288"/>
      <c r="FVA1" s="288"/>
      <c r="FVB1" s="288"/>
      <c r="FVC1" s="288"/>
      <c r="FVD1" s="288"/>
      <c r="FVE1" s="288"/>
      <c r="FVF1" s="288"/>
      <c r="FVG1" s="288"/>
      <c r="FVH1" s="288"/>
      <c r="FVI1" s="288"/>
      <c r="FVJ1" s="288"/>
      <c r="FVK1" s="288"/>
      <c r="FVL1" s="288"/>
      <c r="FVM1" s="288"/>
      <c r="FVN1" s="288"/>
      <c r="FVO1" s="288"/>
      <c r="FVP1" s="288"/>
      <c r="FVQ1" s="288"/>
      <c r="FVR1" s="288"/>
      <c r="FVS1" s="288"/>
      <c r="FVT1" s="288"/>
      <c r="FVU1" s="288"/>
      <c r="FVV1" s="288"/>
      <c r="FVW1" s="288"/>
      <c r="FVX1" s="288"/>
      <c r="FVY1" s="288"/>
      <c r="FVZ1" s="288"/>
      <c r="FWA1" s="288"/>
      <c r="FWB1" s="288"/>
      <c r="FWC1" s="288"/>
      <c r="FWD1" s="288"/>
      <c r="FWE1" s="288"/>
      <c r="FWF1" s="288"/>
      <c r="FWG1" s="288"/>
      <c r="FWH1" s="288"/>
      <c r="FWI1" s="288"/>
      <c r="FWJ1" s="288"/>
      <c r="FWK1" s="288"/>
      <c r="FWL1" s="288"/>
      <c r="FWM1" s="288"/>
      <c r="FWN1" s="288"/>
      <c r="FWO1" s="288"/>
      <c r="FWP1" s="288"/>
      <c r="FWQ1" s="288"/>
      <c r="FWR1" s="288"/>
      <c r="FWS1" s="288"/>
      <c r="FWT1" s="288"/>
      <c r="FWU1" s="288"/>
      <c r="FWV1" s="288"/>
      <c r="FWW1" s="288"/>
      <c r="FWX1" s="288"/>
      <c r="FWY1" s="288"/>
      <c r="FWZ1" s="288"/>
      <c r="FXA1" s="288"/>
      <c r="FXB1" s="288"/>
      <c r="FXC1" s="288"/>
      <c r="FXD1" s="288"/>
      <c r="FXE1" s="288"/>
      <c r="FXF1" s="288"/>
      <c r="FXG1" s="288"/>
      <c r="FXH1" s="288"/>
      <c r="FXI1" s="288"/>
      <c r="FXJ1" s="288"/>
      <c r="FXK1" s="288"/>
      <c r="FXL1" s="288"/>
      <c r="FXM1" s="288"/>
      <c r="FXN1" s="288"/>
      <c r="FXO1" s="288"/>
      <c r="FXP1" s="288"/>
      <c r="FXQ1" s="288"/>
      <c r="FXR1" s="288"/>
      <c r="FXS1" s="288"/>
      <c r="FXT1" s="288"/>
      <c r="FXU1" s="288"/>
      <c r="FXV1" s="288"/>
      <c r="FXW1" s="288"/>
      <c r="FXX1" s="288"/>
      <c r="FXY1" s="288"/>
      <c r="FXZ1" s="288"/>
      <c r="FYA1" s="288"/>
      <c r="FYB1" s="288"/>
      <c r="FYC1" s="288"/>
      <c r="FYD1" s="288"/>
      <c r="FYE1" s="288"/>
      <c r="FYF1" s="288"/>
      <c r="FYG1" s="288"/>
      <c r="FYH1" s="288"/>
      <c r="FYI1" s="288"/>
      <c r="FYJ1" s="288"/>
      <c r="FYK1" s="288"/>
      <c r="FYL1" s="288"/>
      <c r="FYM1" s="288"/>
      <c r="FYN1" s="288"/>
      <c r="FYO1" s="288"/>
      <c r="FYP1" s="288"/>
      <c r="FYQ1" s="288"/>
      <c r="FYR1" s="288"/>
      <c r="FYS1" s="288"/>
      <c r="FYT1" s="288"/>
      <c r="FYU1" s="288"/>
      <c r="FYV1" s="288"/>
      <c r="FYW1" s="288"/>
      <c r="FYX1" s="288"/>
      <c r="FYY1" s="288"/>
      <c r="FYZ1" s="288"/>
      <c r="FZA1" s="288"/>
      <c r="FZB1" s="288"/>
      <c r="FZC1" s="288"/>
      <c r="FZD1" s="288"/>
      <c r="FZE1" s="288"/>
      <c r="FZF1" s="288"/>
      <c r="FZG1" s="288"/>
      <c r="FZH1" s="288"/>
      <c r="FZI1" s="288"/>
      <c r="FZJ1" s="288"/>
      <c r="FZK1" s="288"/>
      <c r="FZL1" s="288"/>
      <c r="FZM1" s="288"/>
      <c r="FZN1" s="288"/>
      <c r="FZO1" s="288"/>
      <c r="FZP1" s="288"/>
      <c r="FZQ1" s="288"/>
      <c r="FZR1" s="288"/>
      <c r="FZS1" s="288"/>
      <c r="FZT1" s="288"/>
      <c r="FZU1" s="288"/>
      <c r="FZV1" s="288"/>
      <c r="FZW1" s="288"/>
      <c r="FZX1" s="288"/>
      <c r="FZY1" s="288"/>
      <c r="FZZ1" s="288"/>
      <c r="GAA1" s="288"/>
      <c r="GAB1" s="288"/>
      <c r="GAC1" s="288"/>
      <c r="GAD1" s="288"/>
      <c r="GAE1" s="288"/>
      <c r="GAF1" s="288"/>
      <c r="GAG1" s="288"/>
      <c r="GAH1" s="288"/>
      <c r="GAI1" s="288"/>
      <c r="GAJ1" s="288"/>
      <c r="GAK1" s="288"/>
      <c r="GAL1" s="288"/>
      <c r="GAM1" s="288"/>
      <c r="GAN1" s="288"/>
      <c r="GAO1" s="288"/>
      <c r="GAP1" s="288"/>
      <c r="GAQ1" s="288"/>
      <c r="GAR1" s="288"/>
      <c r="GAS1" s="288"/>
      <c r="GAT1" s="288"/>
      <c r="GAU1" s="288"/>
      <c r="GAV1" s="288"/>
      <c r="GAW1" s="288"/>
      <c r="GAX1" s="288"/>
      <c r="GAY1" s="288"/>
      <c r="GAZ1" s="288"/>
      <c r="GBA1" s="288"/>
      <c r="GBB1" s="288"/>
      <c r="GBC1" s="288"/>
      <c r="GBD1" s="288"/>
      <c r="GBE1" s="288"/>
      <c r="GBF1" s="288"/>
      <c r="GBG1" s="288"/>
      <c r="GBH1" s="288"/>
      <c r="GBI1" s="288"/>
      <c r="GBJ1" s="288"/>
      <c r="GBK1" s="288"/>
      <c r="GBL1" s="288"/>
      <c r="GBM1" s="288"/>
      <c r="GBN1" s="288"/>
      <c r="GBO1" s="288"/>
      <c r="GBP1" s="288"/>
      <c r="GBQ1" s="288"/>
      <c r="GBR1" s="288"/>
      <c r="GBS1" s="288"/>
      <c r="GBT1" s="288"/>
      <c r="GBU1" s="288"/>
      <c r="GBV1" s="288"/>
      <c r="GBW1" s="288"/>
      <c r="GBX1" s="288"/>
      <c r="GBY1" s="288"/>
      <c r="GBZ1" s="288"/>
      <c r="GCA1" s="288"/>
      <c r="GCB1" s="288"/>
      <c r="GCC1" s="288"/>
      <c r="GCD1" s="288"/>
      <c r="GCE1" s="288"/>
      <c r="GCF1" s="288"/>
      <c r="GCG1" s="288"/>
      <c r="GCH1" s="288"/>
      <c r="GCI1" s="288"/>
      <c r="GCJ1" s="288"/>
      <c r="GCK1" s="288"/>
      <c r="GCL1" s="288"/>
      <c r="GCM1" s="288"/>
      <c r="GCN1" s="288"/>
      <c r="GCO1" s="288"/>
      <c r="GCP1" s="288"/>
      <c r="GCQ1" s="288"/>
      <c r="GCR1" s="288"/>
      <c r="GCS1" s="288"/>
      <c r="GCT1" s="288"/>
      <c r="GCU1" s="288"/>
      <c r="GCV1" s="288"/>
      <c r="GCW1" s="288"/>
      <c r="GCX1" s="288"/>
      <c r="GCY1" s="288"/>
      <c r="GCZ1" s="288"/>
      <c r="GDA1" s="288"/>
      <c r="GDB1" s="288"/>
      <c r="GDC1" s="288"/>
      <c r="GDD1" s="288"/>
      <c r="GDE1" s="288"/>
      <c r="GDF1" s="288"/>
      <c r="GDG1" s="288"/>
      <c r="GDH1" s="288"/>
      <c r="GDI1" s="288"/>
      <c r="GDJ1" s="288"/>
      <c r="GDK1" s="288"/>
      <c r="GDL1" s="288"/>
      <c r="GDM1" s="288"/>
      <c r="GDN1" s="288"/>
      <c r="GDO1" s="288"/>
      <c r="GDP1" s="288"/>
      <c r="GDQ1" s="288"/>
      <c r="GDR1" s="288"/>
      <c r="GDS1" s="288"/>
      <c r="GDT1" s="288"/>
      <c r="GDU1" s="288"/>
      <c r="GDV1" s="288"/>
      <c r="GDW1" s="288"/>
      <c r="GDX1" s="288"/>
      <c r="GDY1" s="288"/>
      <c r="GDZ1" s="288"/>
      <c r="GEA1" s="288"/>
      <c r="GEB1" s="288"/>
      <c r="GEC1" s="288"/>
      <c r="GED1" s="288"/>
      <c r="GEE1" s="288"/>
      <c r="GEF1" s="288"/>
      <c r="GEG1" s="288"/>
      <c r="GEH1" s="288"/>
      <c r="GEI1" s="288"/>
      <c r="GEJ1" s="288"/>
      <c r="GEK1" s="288"/>
      <c r="GEL1" s="288"/>
      <c r="GEM1" s="288"/>
      <c r="GEN1" s="288"/>
      <c r="GEO1" s="288"/>
      <c r="GEP1" s="288"/>
      <c r="GEQ1" s="288"/>
      <c r="GER1" s="288"/>
      <c r="GES1" s="288"/>
      <c r="GET1" s="288"/>
      <c r="GEU1" s="288"/>
      <c r="GEV1" s="288"/>
      <c r="GEW1" s="288"/>
      <c r="GEX1" s="288"/>
      <c r="GEY1" s="288"/>
      <c r="GEZ1" s="288"/>
      <c r="GFA1" s="288"/>
      <c r="GFB1" s="288"/>
      <c r="GFC1" s="288"/>
      <c r="GFD1" s="288"/>
      <c r="GFE1" s="288"/>
      <c r="GFF1" s="288"/>
      <c r="GFG1" s="288"/>
      <c r="GFH1" s="288"/>
      <c r="GFI1" s="288"/>
      <c r="GFJ1" s="288"/>
      <c r="GFK1" s="288"/>
      <c r="GFL1" s="288"/>
      <c r="GFM1" s="288"/>
      <c r="GFN1" s="288"/>
      <c r="GFO1" s="288"/>
      <c r="GFP1" s="288"/>
      <c r="GFQ1" s="288"/>
      <c r="GFR1" s="288"/>
      <c r="GFS1" s="288"/>
      <c r="GFT1" s="288"/>
      <c r="GFU1" s="288"/>
      <c r="GFV1" s="288"/>
      <c r="GFW1" s="288"/>
      <c r="GFX1" s="288"/>
      <c r="GFY1" s="288"/>
      <c r="GFZ1" s="288"/>
      <c r="GGA1" s="288"/>
      <c r="GGB1" s="288"/>
      <c r="GGC1" s="288"/>
      <c r="GGD1" s="288"/>
      <c r="GGE1" s="288"/>
      <c r="GGF1" s="288"/>
      <c r="GGG1" s="288"/>
      <c r="GGH1" s="288"/>
      <c r="GGI1" s="288"/>
      <c r="GGJ1" s="288"/>
      <c r="GGK1" s="288"/>
      <c r="GGL1" s="288"/>
      <c r="GGM1" s="288"/>
      <c r="GGN1" s="288"/>
      <c r="GGO1" s="288"/>
      <c r="GGP1" s="288"/>
      <c r="GGQ1" s="288"/>
      <c r="GGR1" s="288"/>
      <c r="GGS1" s="288"/>
      <c r="GGT1" s="288"/>
      <c r="GGU1" s="288"/>
      <c r="GGV1" s="288"/>
      <c r="GGW1" s="288"/>
      <c r="GGX1" s="288"/>
      <c r="GGY1" s="288"/>
      <c r="GGZ1" s="288"/>
      <c r="GHA1" s="288"/>
      <c r="GHB1" s="288"/>
      <c r="GHC1" s="288"/>
      <c r="GHD1" s="288"/>
      <c r="GHE1" s="288"/>
      <c r="GHF1" s="288"/>
      <c r="GHG1" s="288"/>
      <c r="GHH1" s="288"/>
      <c r="GHI1" s="288"/>
      <c r="GHJ1" s="288"/>
      <c r="GHK1" s="288"/>
      <c r="GHL1" s="288"/>
      <c r="GHM1" s="288"/>
      <c r="GHN1" s="288"/>
      <c r="GHO1" s="288"/>
      <c r="GHP1" s="288"/>
      <c r="GHQ1" s="288"/>
      <c r="GHR1" s="288"/>
      <c r="GHS1" s="288"/>
      <c r="GHT1" s="288"/>
      <c r="GHU1" s="288"/>
      <c r="GHV1" s="288"/>
      <c r="GHW1" s="288"/>
      <c r="GHX1" s="288"/>
      <c r="GHY1" s="288"/>
      <c r="GHZ1" s="288"/>
      <c r="GIA1" s="288"/>
      <c r="GIB1" s="288"/>
      <c r="GIC1" s="288"/>
      <c r="GID1" s="288"/>
      <c r="GIE1" s="288"/>
      <c r="GIF1" s="288"/>
      <c r="GIG1" s="288"/>
      <c r="GIH1" s="288"/>
      <c r="GII1" s="288"/>
      <c r="GIJ1" s="288"/>
      <c r="GIK1" s="288"/>
      <c r="GIL1" s="288"/>
      <c r="GIM1" s="288"/>
      <c r="GIN1" s="288"/>
      <c r="GIO1" s="288"/>
      <c r="GIP1" s="288"/>
      <c r="GIQ1" s="288"/>
      <c r="GIR1" s="288"/>
      <c r="GIS1" s="288"/>
      <c r="GIT1" s="288"/>
      <c r="GIU1" s="288"/>
      <c r="GIV1" s="288"/>
      <c r="GIW1" s="288"/>
      <c r="GIX1" s="288"/>
      <c r="GIY1" s="288"/>
      <c r="GIZ1" s="288"/>
      <c r="GJA1" s="288"/>
      <c r="GJB1" s="288"/>
      <c r="GJC1" s="288"/>
      <c r="GJD1" s="288"/>
      <c r="GJE1" s="288"/>
      <c r="GJF1" s="288"/>
      <c r="GJG1" s="288"/>
      <c r="GJH1" s="288"/>
      <c r="GJI1" s="288"/>
      <c r="GJJ1" s="288"/>
      <c r="GJK1" s="288"/>
      <c r="GJL1" s="288"/>
      <c r="GJM1" s="288"/>
      <c r="GJN1" s="288"/>
      <c r="GJO1" s="288"/>
      <c r="GJP1" s="288"/>
      <c r="GJQ1" s="288"/>
      <c r="GJR1" s="288"/>
      <c r="GJS1" s="288"/>
      <c r="GJT1" s="288"/>
      <c r="GJU1" s="288"/>
      <c r="GJV1" s="288"/>
      <c r="GJW1" s="288"/>
      <c r="GJX1" s="288"/>
      <c r="GJY1" s="288"/>
      <c r="GJZ1" s="288"/>
      <c r="GKA1" s="288"/>
      <c r="GKB1" s="288"/>
      <c r="GKC1" s="288"/>
      <c r="GKD1" s="288"/>
      <c r="GKE1" s="288"/>
      <c r="GKF1" s="288"/>
      <c r="GKG1" s="288"/>
      <c r="GKH1" s="288"/>
      <c r="GKI1" s="288"/>
      <c r="GKJ1" s="288"/>
      <c r="GKK1" s="288"/>
      <c r="GKL1" s="288"/>
      <c r="GKM1" s="288"/>
      <c r="GKN1" s="288"/>
      <c r="GKO1" s="288"/>
      <c r="GKP1" s="288"/>
      <c r="GKQ1" s="288"/>
      <c r="GKR1" s="288"/>
      <c r="GKS1" s="288"/>
      <c r="GKT1" s="288"/>
      <c r="GKU1" s="288"/>
      <c r="GKV1" s="288"/>
      <c r="GKW1" s="288"/>
      <c r="GKX1" s="288"/>
      <c r="GKY1" s="288"/>
      <c r="GKZ1" s="288"/>
      <c r="GLA1" s="288"/>
      <c r="GLB1" s="288"/>
      <c r="GLC1" s="288"/>
      <c r="GLD1" s="288"/>
      <c r="GLE1" s="288"/>
      <c r="GLF1" s="288"/>
      <c r="GLG1" s="288"/>
      <c r="GLH1" s="288"/>
      <c r="GLI1" s="288"/>
      <c r="GLJ1" s="288"/>
      <c r="GLK1" s="288"/>
      <c r="GLL1" s="288"/>
      <c r="GLM1" s="288"/>
      <c r="GLN1" s="288"/>
      <c r="GLO1" s="288"/>
      <c r="GLP1" s="288"/>
      <c r="GLQ1" s="288"/>
      <c r="GLR1" s="288"/>
      <c r="GLS1" s="288"/>
      <c r="GLT1" s="288"/>
      <c r="GLU1" s="288"/>
      <c r="GLV1" s="288"/>
      <c r="GLW1" s="288"/>
      <c r="GLX1" s="288"/>
      <c r="GLY1" s="288"/>
      <c r="GLZ1" s="288"/>
      <c r="GMA1" s="288"/>
      <c r="GMB1" s="288"/>
      <c r="GMC1" s="288"/>
      <c r="GMD1" s="288"/>
      <c r="GME1" s="288"/>
      <c r="GMF1" s="288"/>
      <c r="GMG1" s="288"/>
      <c r="GMH1" s="288"/>
      <c r="GMI1" s="288"/>
      <c r="GMJ1" s="288"/>
      <c r="GMK1" s="288"/>
      <c r="GML1" s="288"/>
      <c r="GMM1" s="288"/>
      <c r="GMN1" s="288"/>
      <c r="GMO1" s="288"/>
      <c r="GMP1" s="288"/>
      <c r="GMQ1" s="288"/>
      <c r="GMR1" s="288"/>
      <c r="GMS1" s="288"/>
      <c r="GMT1" s="288"/>
      <c r="GMU1" s="288"/>
      <c r="GMV1" s="288"/>
      <c r="GMW1" s="288"/>
      <c r="GMX1" s="288"/>
      <c r="GMY1" s="288"/>
      <c r="GMZ1" s="288"/>
      <c r="GNA1" s="288"/>
      <c r="GNB1" s="288"/>
      <c r="GNC1" s="288"/>
      <c r="GND1" s="288"/>
      <c r="GNE1" s="288"/>
      <c r="GNF1" s="288"/>
      <c r="GNG1" s="288"/>
      <c r="GNH1" s="288"/>
      <c r="GNI1" s="288"/>
      <c r="GNJ1" s="288"/>
      <c r="GNK1" s="288"/>
      <c r="GNL1" s="288"/>
      <c r="GNM1" s="288"/>
      <c r="GNN1" s="288"/>
      <c r="GNO1" s="288"/>
      <c r="GNP1" s="288"/>
      <c r="GNQ1" s="288"/>
      <c r="GNR1" s="288"/>
      <c r="GNS1" s="288"/>
      <c r="GNT1" s="288"/>
      <c r="GNU1" s="288"/>
      <c r="GNV1" s="288"/>
      <c r="GNW1" s="288"/>
      <c r="GNX1" s="288"/>
      <c r="GNY1" s="288"/>
      <c r="GNZ1" s="288"/>
      <c r="GOA1" s="288"/>
      <c r="GOB1" s="288"/>
      <c r="GOC1" s="288"/>
      <c r="GOD1" s="288"/>
      <c r="GOE1" s="288"/>
      <c r="GOF1" s="288"/>
      <c r="GOG1" s="288"/>
      <c r="GOH1" s="288"/>
      <c r="GOI1" s="288"/>
      <c r="GOJ1" s="288"/>
      <c r="GOK1" s="288"/>
      <c r="GOL1" s="288"/>
      <c r="GOM1" s="288"/>
      <c r="GON1" s="288"/>
      <c r="GOO1" s="288"/>
      <c r="GOP1" s="288"/>
      <c r="GOQ1" s="288"/>
      <c r="GOR1" s="288"/>
      <c r="GOS1" s="288"/>
      <c r="GOT1" s="288"/>
      <c r="GOU1" s="288"/>
      <c r="GOV1" s="288"/>
      <c r="GOW1" s="288"/>
      <c r="GOX1" s="288"/>
      <c r="GOY1" s="288"/>
      <c r="GOZ1" s="288"/>
      <c r="GPA1" s="288"/>
      <c r="GPB1" s="288"/>
      <c r="GPC1" s="288"/>
      <c r="GPD1" s="288"/>
      <c r="GPE1" s="288"/>
      <c r="GPF1" s="288"/>
      <c r="GPG1" s="288"/>
      <c r="GPH1" s="288"/>
      <c r="GPI1" s="288"/>
      <c r="GPJ1" s="288"/>
      <c r="GPK1" s="288"/>
      <c r="GPL1" s="288"/>
      <c r="GPM1" s="288"/>
      <c r="GPN1" s="288"/>
      <c r="GPO1" s="288"/>
      <c r="GPP1" s="288"/>
      <c r="GPQ1" s="288"/>
      <c r="GPR1" s="288"/>
      <c r="GPS1" s="288"/>
      <c r="GPT1" s="288"/>
      <c r="GPU1" s="288"/>
      <c r="GPV1" s="288"/>
      <c r="GPW1" s="288"/>
      <c r="GPX1" s="288"/>
      <c r="GPY1" s="288"/>
      <c r="GPZ1" s="288"/>
      <c r="GQA1" s="288"/>
      <c r="GQB1" s="288"/>
      <c r="GQC1" s="288"/>
      <c r="GQD1" s="288"/>
      <c r="GQE1" s="288"/>
      <c r="GQF1" s="288"/>
      <c r="GQG1" s="288"/>
      <c r="GQH1" s="288"/>
      <c r="GQI1" s="288"/>
      <c r="GQJ1" s="288"/>
      <c r="GQK1" s="288"/>
      <c r="GQL1" s="288"/>
      <c r="GQM1" s="288"/>
      <c r="GQN1" s="288"/>
      <c r="GQO1" s="288"/>
      <c r="GQP1" s="288"/>
      <c r="GQQ1" s="288"/>
      <c r="GQR1" s="288"/>
      <c r="GQS1" s="288"/>
      <c r="GQT1" s="288"/>
      <c r="GQU1" s="288"/>
      <c r="GQV1" s="288"/>
      <c r="GQW1" s="288"/>
      <c r="GQX1" s="288"/>
      <c r="GQY1" s="288"/>
      <c r="GQZ1" s="288"/>
      <c r="GRA1" s="288"/>
      <c r="GRB1" s="288"/>
      <c r="GRC1" s="288"/>
      <c r="GRD1" s="288"/>
      <c r="GRE1" s="288"/>
      <c r="GRF1" s="288"/>
      <c r="GRG1" s="288"/>
      <c r="GRH1" s="288"/>
      <c r="GRI1" s="288"/>
      <c r="GRJ1" s="288"/>
      <c r="GRK1" s="288"/>
      <c r="GRL1" s="288"/>
      <c r="GRM1" s="288"/>
      <c r="GRN1" s="288"/>
      <c r="GRO1" s="288"/>
      <c r="GRP1" s="288"/>
      <c r="GRQ1" s="288"/>
      <c r="GRR1" s="288"/>
      <c r="GRS1" s="288"/>
      <c r="GRT1" s="288"/>
      <c r="GRU1" s="288"/>
      <c r="GRV1" s="288"/>
      <c r="GRW1" s="288"/>
      <c r="GRX1" s="288"/>
      <c r="GRY1" s="288"/>
      <c r="GRZ1" s="288"/>
      <c r="GSA1" s="288"/>
      <c r="GSB1" s="288"/>
      <c r="GSC1" s="288"/>
      <c r="GSD1" s="288"/>
      <c r="GSE1" s="288"/>
      <c r="GSF1" s="288"/>
      <c r="GSG1" s="288"/>
      <c r="GSH1" s="288"/>
      <c r="GSI1" s="288"/>
      <c r="GSJ1" s="288"/>
      <c r="GSK1" s="288"/>
      <c r="GSL1" s="288"/>
      <c r="GSM1" s="288"/>
      <c r="GSN1" s="288"/>
      <c r="GSO1" s="288"/>
      <c r="GSP1" s="288"/>
      <c r="GSQ1" s="288"/>
      <c r="GSR1" s="288"/>
      <c r="GSS1" s="288"/>
      <c r="GST1" s="288"/>
      <c r="GSU1" s="288"/>
      <c r="GSV1" s="288"/>
      <c r="GSW1" s="288"/>
      <c r="GSX1" s="288"/>
      <c r="GSY1" s="288"/>
      <c r="GSZ1" s="288"/>
      <c r="GTA1" s="288"/>
      <c r="GTB1" s="288"/>
      <c r="GTC1" s="288"/>
      <c r="GTD1" s="288"/>
      <c r="GTE1" s="288"/>
      <c r="GTF1" s="288"/>
      <c r="GTG1" s="288"/>
      <c r="GTH1" s="288"/>
      <c r="GTI1" s="288"/>
      <c r="GTJ1" s="288"/>
      <c r="GTK1" s="288"/>
      <c r="GTL1" s="288"/>
      <c r="GTM1" s="288"/>
      <c r="GTN1" s="288"/>
      <c r="GTO1" s="288"/>
      <c r="GTP1" s="288"/>
      <c r="GTQ1" s="288"/>
      <c r="GTR1" s="288"/>
      <c r="GTS1" s="288"/>
      <c r="GTT1" s="288"/>
      <c r="GTU1" s="288"/>
      <c r="GTV1" s="288"/>
      <c r="GTW1" s="288"/>
      <c r="GTX1" s="288"/>
      <c r="GTY1" s="288"/>
      <c r="GTZ1" s="288"/>
      <c r="GUA1" s="288"/>
      <c r="GUB1" s="288"/>
      <c r="GUC1" s="288"/>
      <c r="GUD1" s="288"/>
      <c r="GUE1" s="288"/>
      <c r="GUF1" s="288"/>
      <c r="GUG1" s="288"/>
      <c r="GUH1" s="288"/>
      <c r="GUI1" s="288"/>
      <c r="GUJ1" s="288"/>
      <c r="GUK1" s="288"/>
      <c r="GUL1" s="288"/>
      <c r="GUM1" s="288"/>
      <c r="GUN1" s="288"/>
      <c r="GUO1" s="288"/>
      <c r="GUP1" s="288"/>
      <c r="GUQ1" s="288"/>
      <c r="GUR1" s="288"/>
      <c r="GUS1" s="288"/>
      <c r="GUT1" s="288"/>
      <c r="GUU1" s="288"/>
      <c r="GUV1" s="288"/>
      <c r="GUW1" s="288"/>
      <c r="GUX1" s="288"/>
      <c r="GUY1" s="288"/>
      <c r="GUZ1" s="288"/>
      <c r="GVA1" s="288"/>
      <c r="GVB1" s="288"/>
      <c r="GVC1" s="288"/>
      <c r="GVD1" s="288"/>
      <c r="GVE1" s="288"/>
      <c r="GVF1" s="288"/>
      <c r="GVG1" s="288"/>
      <c r="GVH1" s="288"/>
      <c r="GVI1" s="288"/>
      <c r="GVJ1" s="288"/>
      <c r="GVK1" s="288"/>
      <c r="GVL1" s="288"/>
      <c r="GVM1" s="288"/>
      <c r="GVN1" s="288"/>
      <c r="GVO1" s="288"/>
      <c r="GVP1" s="288"/>
      <c r="GVQ1" s="288"/>
      <c r="GVR1" s="288"/>
      <c r="GVS1" s="288"/>
      <c r="GVT1" s="288"/>
      <c r="GVU1" s="288"/>
      <c r="GVV1" s="288"/>
      <c r="GVW1" s="288"/>
      <c r="GVX1" s="288"/>
      <c r="GVY1" s="288"/>
      <c r="GVZ1" s="288"/>
      <c r="GWA1" s="288"/>
      <c r="GWB1" s="288"/>
      <c r="GWC1" s="288"/>
      <c r="GWD1" s="288"/>
      <c r="GWE1" s="288"/>
      <c r="GWF1" s="288"/>
      <c r="GWG1" s="288"/>
      <c r="GWH1" s="288"/>
      <c r="GWI1" s="288"/>
      <c r="GWJ1" s="288"/>
      <c r="GWK1" s="288"/>
      <c r="GWL1" s="288"/>
      <c r="GWM1" s="288"/>
      <c r="GWN1" s="288"/>
      <c r="GWO1" s="288"/>
      <c r="GWP1" s="288"/>
      <c r="GWQ1" s="288"/>
      <c r="GWR1" s="288"/>
      <c r="GWS1" s="288"/>
      <c r="GWT1" s="288"/>
      <c r="GWU1" s="288"/>
      <c r="GWV1" s="288"/>
      <c r="GWW1" s="288"/>
      <c r="GWX1" s="288"/>
      <c r="GWY1" s="288"/>
      <c r="GWZ1" s="288"/>
      <c r="GXA1" s="288"/>
      <c r="GXB1" s="288"/>
      <c r="GXC1" s="288"/>
      <c r="GXD1" s="288"/>
      <c r="GXE1" s="288"/>
      <c r="GXF1" s="288"/>
      <c r="GXG1" s="288"/>
      <c r="GXH1" s="288"/>
      <c r="GXI1" s="288"/>
      <c r="GXJ1" s="288"/>
      <c r="GXK1" s="288"/>
      <c r="GXL1" s="288"/>
      <c r="GXM1" s="288"/>
      <c r="GXN1" s="288"/>
      <c r="GXO1" s="288"/>
      <c r="GXP1" s="288"/>
      <c r="GXQ1" s="288"/>
      <c r="GXR1" s="288"/>
      <c r="GXS1" s="288"/>
      <c r="GXT1" s="288"/>
      <c r="GXU1" s="288"/>
      <c r="GXV1" s="288"/>
      <c r="GXW1" s="288"/>
      <c r="GXX1" s="288"/>
      <c r="GXY1" s="288"/>
      <c r="GXZ1" s="288"/>
      <c r="GYA1" s="288"/>
      <c r="GYB1" s="288"/>
      <c r="GYC1" s="288"/>
      <c r="GYD1" s="288"/>
      <c r="GYE1" s="288"/>
      <c r="GYF1" s="288"/>
      <c r="GYG1" s="288"/>
      <c r="GYH1" s="288"/>
      <c r="GYI1" s="288"/>
      <c r="GYJ1" s="288"/>
      <c r="GYK1" s="288"/>
      <c r="GYL1" s="288"/>
      <c r="GYM1" s="288"/>
      <c r="GYN1" s="288"/>
      <c r="GYO1" s="288"/>
      <c r="GYP1" s="288"/>
      <c r="GYQ1" s="288"/>
      <c r="GYR1" s="288"/>
      <c r="GYS1" s="288"/>
      <c r="GYT1" s="288"/>
      <c r="GYU1" s="288"/>
      <c r="GYV1" s="288"/>
      <c r="GYW1" s="288"/>
      <c r="GYX1" s="288"/>
      <c r="GYY1" s="288"/>
      <c r="GYZ1" s="288"/>
      <c r="GZA1" s="288"/>
      <c r="GZB1" s="288"/>
      <c r="GZC1" s="288"/>
      <c r="GZD1" s="288"/>
      <c r="GZE1" s="288"/>
      <c r="GZF1" s="288"/>
      <c r="GZG1" s="288"/>
      <c r="GZH1" s="288"/>
      <c r="GZI1" s="288"/>
      <c r="GZJ1" s="288"/>
      <c r="GZK1" s="288"/>
      <c r="GZL1" s="288"/>
      <c r="GZM1" s="288"/>
      <c r="GZN1" s="288"/>
      <c r="GZO1" s="288"/>
      <c r="GZP1" s="288"/>
      <c r="GZQ1" s="288"/>
      <c r="GZR1" s="288"/>
      <c r="GZS1" s="288"/>
      <c r="GZT1" s="288"/>
      <c r="GZU1" s="288"/>
      <c r="GZV1" s="288"/>
      <c r="GZW1" s="288"/>
      <c r="GZX1" s="288"/>
      <c r="GZY1" s="288"/>
      <c r="GZZ1" s="288"/>
      <c r="HAA1" s="288"/>
      <c r="HAB1" s="288"/>
      <c r="HAC1" s="288"/>
      <c r="HAD1" s="288"/>
      <c r="HAE1" s="288"/>
      <c r="HAF1" s="288"/>
      <c r="HAG1" s="288"/>
      <c r="HAH1" s="288"/>
      <c r="HAI1" s="288"/>
      <c r="HAJ1" s="288"/>
      <c r="HAK1" s="288"/>
      <c r="HAL1" s="288"/>
      <c r="HAM1" s="288"/>
      <c r="HAN1" s="288"/>
      <c r="HAO1" s="288"/>
      <c r="HAP1" s="288"/>
      <c r="HAQ1" s="288"/>
      <c r="HAR1" s="288"/>
      <c r="HAS1" s="288"/>
      <c r="HAT1" s="288"/>
      <c r="HAU1" s="288"/>
      <c r="HAV1" s="288"/>
      <c r="HAW1" s="288"/>
      <c r="HAX1" s="288"/>
      <c r="HAY1" s="288"/>
      <c r="HAZ1" s="288"/>
      <c r="HBA1" s="288"/>
      <c r="HBB1" s="288"/>
      <c r="HBC1" s="288"/>
      <c r="HBD1" s="288"/>
      <c r="HBE1" s="288"/>
      <c r="HBF1" s="288"/>
      <c r="HBG1" s="288"/>
      <c r="HBH1" s="288"/>
      <c r="HBI1" s="288"/>
      <c r="HBJ1" s="288"/>
      <c r="HBK1" s="288"/>
      <c r="HBL1" s="288"/>
      <c r="HBM1" s="288"/>
      <c r="HBN1" s="288"/>
      <c r="HBO1" s="288"/>
      <c r="HBP1" s="288"/>
      <c r="HBQ1" s="288"/>
      <c r="HBR1" s="288"/>
      <c r="HBS1" s="288"/>
      <c r="HBT1" s="288"/>
      <c r="HBU1" s="288"/>
      <c r="HBV1" s="288"/>
      <c r="HBW1" s="288"/>
      <c r="HBX1" s="288"/>
      <c r="HBY1" s="288"/>
      <c r="HBZ1" s="288"/>
      <c r="HCA1" s="288"/>
      <c r="HCB1" s="288"/>
      <c r="HCC1" s="288"/>
      <c r="HCD1" s="288"/>
      <c r="HCE1" s="288"/>
      <c r="HCF1" s="288"/>
      <c r="HCG1" s="288"/>
      <c r="HCH1" s="288"/>
      <c r="HCI1" s="288"/>
      <c r="HCJ1" s="288"/>
      <c r="HCK1" s="288"/>
      <c r="HCL1" s="288"/>
      <c r="HCM1" s="288"/>
      <c r="HCN1" s="288"/>
      <c r="HCO1" s="288"/>
      <c r="HCP1" s="288"/>
      <c r="HCQ1" s="288"/>
      <c r="HCR1" s="288"/>
      <c r="HCS1" s="288"/>
      <c r="HCT1" s="288"/>
      <c r="HCU1" s="288"/>
      <c r="HCV1" s="288"/>
      <c r="HCW1" s="288"/>
      <c r="HCX1" s="288"/>
      <c r="HCY1" s="288"/>
      <c r="HCZ1" s="288"/>
      <c r="HDA1" s="288"/>
      <c r="HDB1" s="288"/>
      <c r="HDC1" s="288"/>
      <c r="HDD1" s="288"/>
      <c r="HDE1" s="288"/>
      <c r="HDF1" s="288"/>
      <c r="HDG1" s="288"/>
      <c r="HDH1" s="288"/>
      <c r="HDI1" s="288"/>
      <c r="HDJ1" s="288"/>
      <c r="HDK1" s="288"/>
      <c r="HDL1" s="288"/>
      <c r="HDM1" s="288"/>
      <c r="HDN1" s="288"/>
      <c r="HDO1" s="288"/>
      <c r="HDP1" s="288"/>
      <c r="HDQ1" s="288"/>
      <c r="HDR1" s="288"/>
      <c r="HDS1" s="288"/>
      <c r="HDT1" s="288"/>
      <c r="HDU1" s="288"/>
      <c r="HDV1" s="288"/>
      <c r="HDW1" s="288"/>
      <c r="HDX1" s="288"/>
      <c r="HDY1" s="288"/>
      <c r="HDZ1" s="288"/>
      <c r="HEA1" s="288"/>
      <c r="HEB1" s="288"/>
      <c r="HEC1" s="288"/>
      <c r="HED1" s="288"/>
      <c r="HEE1" s="288"/>
      <c r="HEF1" s="288"/>
      <c r="HEG1" s="288"/>
      <c r="HEH1" s="288"/>
      <c r="HEI1" s="288"/>
      <c r="HEJ1" s="288"/>
      <c r="HEK1" s="288"/>
      <c r="HEL1" s="288"/>
      <c r="HEM1" s="288"/>
      <c r="HEN1" s="288"/>
      <c r="HEO1" s="288"/>
      <c r="HEP1" s="288"/>
      <c r="HEQ1" s="288"/>
      <c r="HER1" s="288"/>
      <c r="HES1" s="288"/>
      <c r="HET1" s="288"/>
      <c r="HEU1" s="288"/>
      <c r="HEV1" s="288"/>
      <c r="HEW1" s="288"/>
      <c r="HEX1" s="288"/>
      <c r="HEY1" s="288"/>
      <c r="HEZ1" s="288"/>
      <c r="HFA1" s="288"/>
      <c r="HFB1" s="288"/>
      <c r="HFC1" s="288"/>
      <c r="HFD1" s="288"/>
      <c r="HFE1" s="288"/>
      <c r="HFF1" s="288"/>
      <c r="HFG1" s="288"/>
      <c r="HFH1" s="288"/>
      <c r="HFI1" s="288"/>
      <c r="HFJ1" s="288"/>
      <c r="HFK1" s="288"/>
      <c r="HFL1" s="288"/>
      <c r="HFM1" s="288"/>
      <c r="HFN1" s="288"/>
      <c r="HFO1" s="288"/>
      <c r="HFP1" s="288"/>
      <c r="HFQ1" s="288"/>
      <c r="HFR1" s="288"/>
      <c r="HFS1" s="288"/>
      <c r="HFT1" s="288"/>
      <c r="HFU1" s="288"/>
      <c r="HFV1" s="288"/>
      <c r="HFW1" s="288"/>
      <c r="HFX1" s="288"/>
      <c r="HFY1" s="288"/>
      <c r="HFZ1" s="288"/>
      <c r="HGA1" s="288"/>
      <c r="HGB1" s="288"/>
      <c r="HGC1" s="288"/>
      <c r="HGD1" s="288"/>
      <c r="HGE1" s="288"/>
      <c r="HGF1" s="288"/>
      <c r="HGG1" s="288"/>
      <c r="HGH1" s="288"/>
      <c r="HGI1" s="288"/>
      <c r="HGJ1" s="288"/>
      <c r="HGK1" s="288"/>
      <c r="HGL1" s="288"/>
      <c r="HGM1" s="288"/>
      <c r="HGN1" s="288"/>
      <c r="HGO1" s="288"/>
      <c r="HGP1" s="288"/>
      <c r="HGQ1" s="288"/>
      <c r="HGR1" s="288"/>
      <c r="HGS1" s="288"/>
      <c r="HGT1" s="288"/>
      <c r="HGU1" s="288"/>
      <c r="HGV1" s="288"/>
      <c r="HGW1" s="288"/>
      <c r="HGX1" s="288"/>
      <c r="HGY1" s="288"/>
      <c r="HGZ1" s="288"/>
      <c r="HHA1" s="288"/>
      <c r="HHB1" s="288"/>
      <c r="HHC1" s="288"/>
      <c r="HHD1" s="288"/>
      <c r="HHE1" s="288"/>
      <c r="HHF1" s="288"/>
      <c r="HHG1" s="288"/>
      <c r="HHH1" s="288"/>
      <c r="HHI1" s="288"/>
      <c r="HHJ1" s="288"/>
      <c r="HHK1" s="288"/>
      <c r="HHL1" s="288"/>
      <c r="HHM1" s="288"/>
      <c r="HHN1" s="288"/>
      <c r="HHO1" s="288"/>
      <c r="HHP1" s="288"/>
      <c r="HHQ1" s="288"/>
      <c r="HHR1" s="288"/>
      <c r="HHS1" s="288"/>
      <c r="HHT1" s="288"/>
      <c r="HHU1" s="288"/>
      <c r="HHV1" s="288"/>
      <c r="HHW1" s="288"/>
      <c r="HHX1" s="288"/>
      <c r="HHY1" s="288"/>
      <c r="HHZ1" s="288"/>
      <c r="HIA1" s="288"/>
      <c r="HIB1" s="288"/>
      <c r="HIC1" s="288"/>
      <c r="HID1" s="288"/>
      <c r="HIE1" s="288"/>
      <c r="HIF1" s="288"/>
      <c r="HIG1" s="288"/>
      <c r="HIH1" s="288"/>
      <c r="HII1" s="288"/>
      <c r="HIJ1" s="288"/>
      <c r="HIK1" s="288"/>
      <c r="HIL1" s="288"/>
      <c r="HIM1" s="288"/>
      <c r="HIN1" s="288"/>
      <c r="HIO1" s="288"/>
      <c r="HIP1" s="288"/>
      <c r="HIQ1" s="288"/>
      <c r="HIR1" s="288"/>
      <c r="HIS1" s="288"/>
      <c r="HIT1" s="288"/>
      <c r="HIU1" s="288"/>
      <c r="HIV1" s="288"/>
      <c r="HIW1" s="288"/>
      <c r="HIX1" s="288"/>
      <c r="HIY1" s="288"/>
      <c r="HIZ1" s="288"/>
      <c r="HJA1" s="288"/>
      <c r="HJB1" s="288"/>
      <c r="HJC1" s="288"/>
      <c r="HJD1" s="288"/>
      <c r="HJE1" s="288"/>
      <c r="HJF1" s="288"/>
      <c r="HJG1" s="288"/>
      <c r="HJH1" s="288"/>
      <c r="HJI1" s="288"/>
      <c r="HJJ1" s="288"/>
      <c r="HJK1" s="288"/>
      <c r="HJL1" s="288"/>
      <c r="HJM1" s="288"/>
      <c r="HJN1" s="288"/>
      <c r="HJO1" s="288"/>
      <c r="HJP1" s="288"/>
      <c r="HJQ1" s="288"/>
      <c r="HJR1" s="288"/>
      <c r="HJS1" s="288"/>
      <c r="HJT1" s="288"/>
      <c r="HJU1" s="288"/>
      <c r="HJV1" s="288"/>
      <c r="HJW1" s="288"/>
      <c r="HJX1" s="288"/>
      <c r="HJY1" s="288"/>
      <c r="HJZ1" s="288"/>
      <c r="HKA1" s="288"/>
      <c r="HKB1" s="288"/>
      <c r="HKC1" s="288"/>
      <c r="HKD1" s="288"/>
      <c r="HKE1" s="288"/>
      <c r="HKF1" s="288"/>
      <c r="HKG1" s="288"/>
      <c r="HKH1" s="288"/>
      <c r="HKI1" s="288"/>
      <c r="HKJ1" s="288"/>
      <c r="HKK1" s="288"/>
      <c r="HKL1" s="288"/>
      <c r="HKM1" s="288"/>
      <c r="HKN1" s="288"/>
      <c r="HKO1" s="288"/>
      <c r="HKP1" s="288"/>
      <c r="HKQ1" s="288"/>
      <c r="HKR1" s="288"/>
      <c r="HKS1" s="288"/>
      <c r="HKT1" s="288"/>
      <c r="HKU1" s="288"/>
      <c r="HKV1" s="288"/>
      <c r="HKW1" s="288"/>
      <c r="HKX1" s="288"/>
      <c r="HKY1" s="288"/>
      <c r="HKZ1" s="288"/>
      <c r="HLA1" s="288"/>
      <c r="HLB1" s="288"/>
      <c r="HLC1" s="288"/>
      <c r="HLD1" s="288"/>
      <c r="HLE1" s="288"/>
      <c r="HLF1" s="288"/>
      <c r="HLG1" s="288"/>
      <c r="HLH1" s="288"/>
      <c r="HLI1" s="288"/>
      <c r="HLJ1" s="288"/>
      <c r="HLK1" s="288"/>
      <c r="HLL1" s="288"/>
      <c r="HLM1" s="288"/>
      <c r="HLN1" s="288"/>
      <c r="HLO1" s="288"/>
      <c r="HLP1" s="288"/>
      <c r="HLQ1" s="288"/>
      <c r="HLR1" s="288"/>
      <c r="HLS1" s="288"/>
      <c r="HLT1" s="288"/>
      <c r="HLU1" s="288"/>
      <c r="HLV1" s="288"/>
      <c r="HLW1" s="288"/>
      <c r="HLX1" s="288"/>
      <c r="HLY1" s="288"/>
      <c r="HLZ1" s="288"/>
      <c r="HMA1" s="288"/>
      <c r="HMB1" s="288"/>
      <c r="HMC1" s="288"/>
      <c r="HMD1" s="288"/>
      <c r="HME1" s="288"/>
      <c r="HMF1" s="288"/>
      <c r="HMG1" s="288"/>
      <c r="HMH1" s="288"/>
      <c r="HMI1" s="288"/>
      <c r="HMJ1" s="288"/>
      <c r="HMK1" s="288"/>
      <c r="HML1" s="288"/>
      <c r="HMM1" s="288"/>
      <c r="HMN1" s="288"/>
      <c r="HMO1" s="288"/>
      <c r="HMP1" s="288"/>
      <c r="HMQ1" s="288"/>
      <c r="HMR1" s="288"/>
      <c r="HMS1" s="288"/>
      <c r="HMT1" s="288"/>
      <c r="HMU1" s="288"/>
      <c r="HMV1" s="288"/>
      <c r="HMW1" s="288"/>
      <c r="HMX1" s="288"/>
      <c r="HMY1" s="288"/>
      <c r="HMZ1" s="288"/>
      <c r="HNA1" s="288"/>
      <c r="HNB1" s="288"/>
      <c r="HNC1" s="288"/>
      <c r="HND1" s="288"/>
      <c r="HNE1" s="288"/>
      <c r="HNF1" s="288"/>
      <c r="HNG1" s="288"/>
      <c r="HNH1" s="288"/>
      <c r="HNI1" s="288"/>
      <c r="HNJ1" s="288"/>
      <c r="HNK1" s="288"/>
      <c r="HNL1" s="288"/>
      <c r="HNM1" s="288"/>
      <c r="HNN1" s="288"/>
      <c r="HNO1" s="288"/>
      <c r="HNP1" s="288"/>
      <c r="HNQ1" s="288"/>
      <c r="HNR1" s="288"/>
      <c r="HNS1" s="288"/>
      <c r="HNT1" s="288"/>
      <c r="HNU1" s="288"/>
      <c r="HNV1" s="288"/>
      <c r="HNW1" s="288"/>
      <c r="HNX1" s="288"/>
      <c r="HNY1" s="288"/>
      <c r="HNZ1" s="288"/>
      <c r="HOA1" s="288"/>
      <c r="HOB1" s="288"/>
      <c r="HOC1" s="288"/>
      <c r="HOD1" s="288"/>
      <c r="HOE1" s="288"/>
      <c r="HOF1" s="288"/>
      <c r="HOG1" s="288"/>
      <c r="HOH1" s="288"/>
      <c r="HOI1" s="288"/>
      <c r="HOJ1" s="288"/>
      <c r="HOK1" s="288"/>
      <c r="HOL1" s="288"/>
      <c r="HOM1" s="288"/>
      <c r="HON1" s="288"/>
      <c r="HOO1" s="288"/>
      <c r="HOP1" s="288"/>
      <c r="HOQ1" s="288"/>
      <c r="HOR1" s="288"/>
      <c r="HOS1" s="288"/>
      <c r="HOT1" s="288"/>
      <c r="HOU1" s="288"/>
      <c r="HOV1" s="288"/>
      <c r="HOW1" s="288"/>
      <c r="HOX1" s="288"/>
      <c r="HOY1" s="288"/>
      <c r="HOZ1" s="288"/>
      <c r="HPA1" s="288"/>
      <c r="HPB1" s="288"/>
      <c r="HPC1" s="288"/>
      <c r="HPD1" s="288"/>
      <c r="HPE1" s="288"/>
      <c r="HPF1" s="288"/>
      <c r="HPG1" s="288"/>
      <c r="HPH1" s="288"/>
      <c r="HPI1" s="288"/>
      <c r="HPJ1" s="288"/>
      <c r="HPK1" s="288"/>
      <c r="HPL1" s="288"/>
      <c r="HPM1" s="288"/>
      <c r="HPN1" s="288"/>
      <c r="HPO1" s="288"/>
      <c r="HPP1" s="288"/>
      <c r="HPQ1" s="288"/>
      <c r="HPR1" s="288"/>
      <c r="HPS1" s="288"/>
      <c r="HPT1" s="288"/>
      <c r="HPU1" s="288"/>
      <c r="HPV1" s="288"/>
      <c r="HPW1" s="288"/>
      <c r="HPX1" s="288"/>
      <c r="HPY1" s="288"/>
      <c r="HPZ1" s="288"/>
      <c r="HQA1" s="288"/>
      <c r="HQB1" s="288"/>
      <c r="HQC1" s="288"/>
      <c r="HQD1" s="288"/>
      <c r="HQE1" s="288"/>
      <c r="HQF1" s="288"/>
      <c r="HQG1" s="288"/>
      <c r="HQH1" s="288"/>
      <c r="HQI1" s="288"/>
      <c r="HQJ1" s="288"/>
      <c r="HQK1" s="288"/>
      <c r="HQL1" s="288"/>
      <c r="HQM1" s="288"/>
      <c r="HQN1" s="288"/>
      <c r="HQO1" s="288"/>
      <c r="HQP1" s="288"/>
      <c r="HQQ1" s="288"/>
      <c r="HQR1" s="288"/>
      <c r="HQS1" s="288"/>
      <c r="HQT1" s="288"/>
      <c r="HQU1" s="288"/>
      <c r="HQV1" s="288"/>
      <c r="HQW1" s="288"/>
      <c r="HQX1" s="288"/>
      <c r="HQY1" s="288"/>
      <c r="HQZ1" s="288"/>
      <c r="HRA1" s="288"/>
      <c r="HRB1" s="288"/>
      <c r="HRC1" s="288"/>
      <c r="HRD1" s="288"/>
      <c r="HRE1" s="288"/>
      <c r="HRF1" s="288"/>
      <c r="HRG1" s="288"/>
      <c r="HRH1" s="288"/>
      <c r="HRI1" s="288"/>
      <c r="HRJ1" s="288"/>
      <c r="HRK1" s="288"/>
      <c r="HRL1" s="288"/>
      <c r="HRM1" s="288"/>
      <c r="HRN1" s="288"/>
      <c r="HRO1" s="288"/>
      <c r="HRP1" s="288"/>
      <c r="HRQ1" s="288"/>
      <c r="HRR1" s="288"/>
      <c r="HRS1" s="288"/>
      <c r="HRT1" s="288"/>
      <c r="HRU1" s="288"/>
      <c r="HRV1" s="288"/>
      <c r="HRW1" s="288"/>
      <c r="HRX1" s="288"/>
      <c r="HRY1" s="288"/>
      <c r="HRZ1" s="288"/>
      <c r="HSA1" s="288"/>
      <c r="HSB1" s="288"/>
      <c r="HSC1" s="288"/>
      <c r="HSD1" s="288"/>
      <c r="HSE1" s="288"/>
      <c r="HSF1" s="288"/>
      <c r="HSG1" s="288"/>
      <c r="HSH1" s="288"/>
      <c r="HSI1" s="288"/>
      <c r="HSJ1" s="288"/>
      <c r="HSK1" s="288"/>
      <c r="HSL1" s="288"/>
      <c r="HSM1" s="288"/>
      <c r="HSN1" s="288"/>
      <c r="HSO1" s="288"/>
      <c r="HSP1" s="288"/>
      <c r="HSQ1" s="288"/>
      <c r="HSR1" s="288"/>
      <c r="HSS1" s="288"/>
      <c r="HST1" s="288"/>
      <c r="HSU1" s="288"/>
      <c r="HSV1" s="288"/>
      <c r="HSW1" s="288"/>
      <c r="HSX1" s="288"/>
      <c r="HSY1" s="288"/>
      <c r="HSZ1" s="288"/>
      <c r="HTA1" s="288"/>
      <c r="HTB1" s="288"/>
      <c r="HTC1" s="288"/>
      <c r="HTD1" s="288"/>
      <c r="HTE1" s="288"/>
      <c r="HTF1" s="288"/>
      <c r="HTG1" s="288"/>
      <c r="HTH1" s="288"/>
      <c r="HTI1" s="288"/>
      <c r="HTJ1" s="288"/>
      <c r="HTK1" s="288"/>
      <c r="HTL1" s="288"/>
      <c r="HTM1" s="288"/>
      <c r="HTN1" s="288"/>
      <c r="HTO1" s="288"/>
      <c r="HTP1" s="288"/>
      <c r="HTQ1" s="288"/>
      <c r="HTR1" s="288"/>
      <c r="HTS1" s="288"/>
      <c r="HTT1" s="288"/>
      <c r="HTU1" s="288"/>
      <c r="HTV1" s="288"/>
      <c r="HTW1" s="288"/>
      <c r="HTX1" s="288"/>
      <c r="HTY1" s="288"/>
      <c r="HTZ1" s="288"/>
      <c r="HUA1" s="288"/>
      <c r="HUB1" s="288"/>
      <c r="HUC1" s="288"/>
      <c r="HUD1" s="288"/>
      <c r="HUE1" s="288"/>
      <c r="HUF1" s="288"/>
      <c r="HUG1" s="288"/>
      <c r="HUH1" s="288"/>
      <c r="HUI1" s="288"/>
      <c r="HUJ1" s="288"/>
      <c r="HUK1" s="288"/>
      <c r="HUL1" s="288"/>
      <c r="HUM1" s="288"/>
      <c r="HUN1" s="288"/>
      <c r="HUO1" s="288"/>
      <c r="HUP1" s="288"/>
      <c r="HUQ1" s="288"/>
      <c r="HUR1" s="288"/>
      <c r="HUS1" s="288"/>
      <c r="HUT1" s="288"/>
      <c r="HUU1" s="288"/>
      <c r="HUV1" s="288"/>
      <c r="HUW1" s="288"/>
      <c r="HUX1" s="288"/>
      <c r="HUY1" s="288"/>
      <c r="HUZ1" s="288"/>
      <c r="HVA1" s="288"/>
      <c r="HVB1" s="288"/>
      <c r="HVC1" s="288"/>
      <c r="HVD1" s="288"/>
      <c r="HVE1" s="288"/>
      <c r="HVF1" s="288"/>
      <c r="HVG1" s="288"/>
      <c r="HVH1" s="288"/>
      <c r="HVI1" s="288"/>
      <c r="HVJ1" s="288"/>
      <c r="HVK1" s="288"/>
      <c r="HVL1" s="288"/>
      <c r="HVM1" s="288"/>
      <c r="HVN1" s="288"/>
      <c r="HVO1" s="288"/>
      <c r="HVP1" s="288"/>
      <c r="HVQ1" s="288"/>
      <c r="HVR1" s="288"/>
      <c r="HVS1" s="288"/>
      <c r="HVT1" s="288"/>
      <c r="HVU1" s="288"/>
      <c r="HVV1" s="288"/>
      <c r="HVW1" s="288"/>
      <c r="HVX1" s="288"/>
      <c r="HVY1" s="288"/>
      <c r="HVZ1" s="288"/>
      <c r="HWA1" s="288"/>
      <c r="HWB1" s="288"/>
      <c r="HWC1" s="288"/>
      <c r="HWD1" s="288"/>
      <c r="HWE1" s="288"/>
      <c r="HWF1" s="288"/>
      <c r="HWG1" s="288"/>
      <c r="HWH1" s="288"/>
      <c r="HWI1" s="288"/>
      <c r="HWJ1" s="288"/>
      <c r="HWK1" s="288"/>
      <c r="HWL1" s="288"/>
      <c r="HWM1" s="288"/>
      <c r="HWN1" s="288"/>
      <c r="HWO1" s="288"/>
      <c r="HWP1" s="288"/>
      <c r="HWQ1" s="288"/>
      <c r="HWR1" s="288"/>
      <c r="HWS1" s="288"/>
      <c r="HWT1" s="288"/>
      <c r="HWU1" s="288"/>
      <c r="HWV1" s="288"/>
      <c r="HWW1" s="288"/>
      <c r="HWX1" s="288"/>
      <c r="HWY1" s="288"/>
      <c r="HWZ1" s="288"/>
      <c r="HXA1" s="288"/>
      <c r="HXB1" s="288"/>
      <c r="HXC1" s="288"/>
      <c r="HXD1" s="288"/>
      <c r="HXE1" s="288"/>
      <c r="HXF1" s="288"/>
      <c r="HXG1" s="288"/>
      <c r="HXH1" s="288"/>
      <c r="HXI1" s="288"/>
      <c r="HXJ1" s="288"/>
      <c r="HXK1" s="288"/>
      <c r="HXL1" s="288"/>
      <c r="HXM1" s="288"/>
      <c r="HXN1" s="288"/>
      <c r="HXO1" s="288"/>
      <c r="HXP1" s="288"/>
      <c r="HXQ1" s="288"/>
      <c r="HXR1" s="288"/>
      <c r="HXS1" s="288"/>
      <c r="HXT1" s="288"/>
      <c r="HXU1" s="288"/>
      <c r="HXV1" s="288"/>
      <c r="HXW1" s="288"/>
      <c r="HXX1" s="288"/>
      <c r="HXY1" s="288"/>
      <c r="HXZ1" s="288"/>
      <c r="HYA1" s="288"/>
      <c r="HYB1" s="288"/>
      <c r="HYC1" s="288"/>
      <c r="HYD1" s="288"/>
      <c r="HYE1" s="288"/>
      <c r="HYF1" s="288"/>
      <c r="HYG1" s="288"/>
      <c r="HYH1" s="288"/>
      <c r="HYI1" s="288"/>
      <c r="HYJ1" s="288"/>
      <c r="HYK1" s="288"/>
      <c r="HYL1" s="288"/>
      <c r="HYM1" s="288"/>
      <c r="HYN1" s="288"/>
      <c r="HYO1" s="288"/>
      <c r="HYP1" s="288"/>
      <c r="HYQ1" s="288"/>
      <c r="HYR1" s="288"/>
      <c r="HYS1" s="288"/>
      <c r="HYT1" s="288"/>
      <c r="HYU1" s="288"/>
      <c r="HYV1" s="288"/>
      <c r="HYW1" s="288"/>
      <c r="HYX1" s="288"/>
      <c r="HYY1" s="288"/>
      <c r="HYZ1" s="288"/>
      <c r="HZA1" s="288"/>
      <c r="HZB1" s="288"/>
      <c r="HZC1" s="288"/>
      <c r="HZD1" s="288"/>
      <c r="HZE1" s="288"/>
      <c r="HZF1" s="288"/>
      <c r="HZG1" s="288"/>
      <c r="HZH1" s="288"/>
      <c r="HZI1" s="288"/>
      <c r="HZJ1" s="288"/>
      <c r="HZK1" s="288"/>
      <c r="HZL1" s="288"/>
      <c r="HZM1" s="288"/>
      <c r="HZN1" s="288"/>
      <c r="HZO1" s="288"/>
      <c r="HZP1" s="288"/>
      <c r="HZQ1" s="288"/>
      <c r="HZR1" s="288"/>
      <c r="HZS1" s="288"/>
      <c r="HZT1" s="288"/>
      <c r="HZU1" s="288"/>
      <c r="HZV1" s="288"/>
      <c r="HZW1" s="288"/>
      <c r="HZX1" s="288"/>
      <c r="HZY1" s="288"/>
      <c r="HZZ1" s="288"/>
      <c r="IAA1" s="288"/>
      <c r="IAB1" s="288"/>
      <c r="IAC1" s="288"/>
      <c r="IAD1" s="288"/>
      <c r="IAE1" s="288"/>
      <c r="IAF1" s="288"/>
      <c r="IAG1" s="288"/>
      <c r="IAH1" s="288"/>
      <c r="IAI1" s="288"/>
      <c r="IAJ1" s="288"/>
      <c r="IAK1" s="288"/>
      <c r="IAL1" s="288"/>
      <c r="IAM1" s="288"/>
      <c r="IAN1" s="288"/>
      <c r="IAO1" s="288"/>
      <c r="IAP1" s="288"/>
      <c r="IAQ1" s="288"/>
      <c r="IAR1" s="288"/>
      <c r="IAS1" s="288"/>
      <c r="IAT1" s="288"/>
      <c r="IAU1" s="288"/>
      <c r="IAV1" s="288"/>
      <c r="IAW1" s="288"/>
      <c r="IAX1" s="288"/>
      <c r="IAY1" s="288"/>
      <c r="IAZ1" s="288"/>
      <c r="IBA1" s="288"/>
      <c r="IBB1" s="288"/>
      <c r="IBC1" s="288"/>
      <c r="IBD1" s="288"/>
      <c r="IBE1" s="288"/>
      <c r="IBF1" s="288"/>
      <c r="IBG1" s="288"/>
      <c r="IBH1" s="288"/>
      <c r="IBI1" s="288"/>
      <c r="IBJ1" s="288"/>
      <c r="IBK1" s="288"/>
      <c r="IBL1" s="288"/>
      <c r="IBM1" s="288"/>
      <c r="IBN1" s="288"/>
      <c r="IBO1" s="288"/>
      <c r="IBP1" s="288"/>
      <c r="IBQ1" s="288"/>
      <c r="IBR1" s="288"/>
      <c r="IBS1" s="288"/>
      <c r="IBT1" s="288"/>
      <c r="IBU1" s="288"/>
      <c r="IBV1" s="288"/>
      <c r="IBW1" s="288"/>
      <c r="IBX1" s="288"/>
      <c r="IBY1" s="288"/>
      <c r="IBZ1" s="288"/>
      <c r="ICA1" s="288"/>
      <c r="ICB1" s="288"/>
      <c r="ICC1" s="288"/>
      <c r="ICD1" s="288"/>
      <c r="ICE1" s="288"/>
      <c r="ICF1" s="288"/>
      <c r="ICG1" s="288"/>
      <c r="ICH1" s="288"/>
      <c r="ICI1" s="288"/>
      <c r="ICJ1" s="288"/>
      <c r="ICK1" s="288"/>
      <c r="ICL1" s="288"/>
      <c r="ICM1" s="288"/>
      <c r="ICN1" s="288"/>
      <c r="ICO1" s="288"/>
      <c r="ICP1" s="288"/>
      <c r="ICQ1" s="288"/>
      <c r="ICR1" s="288"/>
      <c r="ICS1" s="288"/>
      <c r="ICT1" s="288"/>
      <c r="ICU1" s="288"/>
      <c r="ICV1" s="288"/>
      <c r="ICW1" s="288"/>
      <c r="ICX1" s="288"/>
      <c r="ICY1" s="288"/>
      <c r="ICZ1" s="288"/>
      <c r="IDA1" s="288"/>
      <c r="IDB1" s="288"/>
      <c r="IDC1" s="288"/>
      <c r="IDD1" s="288"/>
      <c r="IDE1" s="288"/>
      <c r="IDF1" s="288"/>
      <c r="IDG1" s="288"/>
      <c r="IDH1" s="288"/>
      <c r="IDI1" s="288"/>
      <c r="IDJ1" s="288"/>
      <c r="IDK1" s="288"/>
      <c r="IDL1" s="288"/>
      <c r="IDM1" s="288"/>
      <c r="IDN1" s="288"/>
      <c r="IDO1" s="288"/>
      <c r="IDP1" s="288"/>
      <c r="IDQ1" s="288"/>
      <c r="IDR1" s="288"/>
      <c r="IDS1" s="288"/>
      <c r="IDT1" s="288"/>
      <c r="IDU1" s="288"/>
      <c r="IDV1" s="288"/>
      <c r="IDW1" s="288"/>
      <c r="IDX1" s="288"/>
      <c r="IDY1" s="288"/>
      <c r="IDZ1" s="288"/>
      <c r="IEA1" s="288"/>
      <c r="IEB1" s="288"/>
      <c r="IEC1" s="288"/>
      <c r="IED1" s="288"/>
      <c r="IEE1" s="288"/>
      <c r="IEF1" s="288"/>
      <c r="IEG1" s="288"/>
      <c r="IEH1" s="288"/>
      <c r="IEI1" s="288"/>
      <c r="IEJ1" s="288"/>
      <c r="IEK1" s="288"/>
      <c r="IEL1" s="288"/>
      <c r="IEM1" s="288"/>
      <c r="IEN1" s="288"/>
      <c r="IEO1" s="288"/>
      <c r="IEP1" s="288"/>
      <c r="IEQ1" s="288"/>
      <c r="IER1" s="288"/>
      <c r="IES1" s="288"/>
      <c r="IET1" s="288"/>
      <c r="IEU1" s="288"/>
      <c r="IEV1" s="288"/>
      <c r="IEW1" s="288"/>
      <c r="IEX1" s="288"/>
      <c r="IEY1" s="288"/>
      <c r="IEZ1" s="288"/>
      <c r="IFA1" s="288"/>
      <c r="IFB1" s="288"/>
      <c r="IFC1" s="288"/>
      <c r="IFD1" s="288"/>
      <c r="IFE1" s="288"/>
      <c r="IFF1" s="288"/>
      <c r="IFG1" s="288"/>
      <c r="IFH1" s="288"/>
      <c r="IFI1" s="288"/>
      <c r="IFJ1" s="288"/>
      <c r="IFK1" s="288"/>
      <c r="IFL1" s="288"/>
      <c r="IFM1" s="288"/>
      <c r="IFN1" s="288"/>
      <c r="IFO1" s="288"/>
      <c r="IFP1" s="288"/>
      <c r="IFQ1" s="288"/>
      <c r="IFR1" s="288"/>
      <c r="IFS1" s="288"/>
      <c r="IFT1" s="288"/>
      <c r="IFU1" s="288"/>
      <c r="IFV1" s="288"/>
      <c r="IFW1" s="288"/>
      <c r="IFX1" s="288"/>
      <c r="IFY1" s="288"/>
      <c r="IFZ1" s="288"/>
      <c r="IGA1" s="288"/>
      <c r="IGB1" s="288"/>
      <c r="IGC1" s="288"/>
      <c r="IGD1" s="288"/>
      <c r="IGE1" s="288"/>
      <c r="IGF1" s="288"/>
      <c r="IGG1" s="288"/>
      <c r="IGH1" s="288"/>
      <c r="IGI1" s="288"/>
      <c r="IGJ1" s="288"/>
      <c r="IGK1" s="288"/>
      <c r="IGL1" s="288"/>
      <c r="IGM1" s="288"/>
      <c r="IGN1" s="288"/>
      <c r="IGO1" s="288"/>
      <c r="IGP1" s="288"/>
      <c r="IGQ1" s="288"/>
      <c r="IGR1" s="288"/>
      <c r="IGS1" s="288"/>
      <c r="IGT1" s="288"/>
      <c r="IGU1" s="288"/>
      <c r="IGV1" s="288"/>
      <c r="IGW1" s="288"/>
      <c r="IGX1" s="288"/>
      <c r="IGY1" s="288"/>
      <c r="IGZ1" s="288"/>
      <c r="IHA1" s="288"/>
      <c r="IHB1" s="288"/>
      <c r="IHC1" s="288"/>
      <c r="IHD1" s="288"/>
      <c r="IHE1" s="288"/>
      <c r="IHF1" s="288"/>
      <c r="IHG1" s="288"/>
      <c r="IHH1" s="288"/>
      <c r="IHI1" s="288"/>
      <c r="IHJ1" s="288"/>
      <c r="IHK1" s="288"/>
      <c r="IHL1" s="288"/>
      <c r="IHM1" s="288"/>
      <c r="IHN1" s="288"/>
      <c r="IHO1" s="288"/>
      <c r="IHP1" s="288"/>
      <c r="IHQ1" s="288"/>
      <c r="IHR1" s="288"/>
      <c r="IHS1" s="288"/>
      <c r="IHT1" s="288"/>
      <c r="IHU1" s="288"/>
      <c r="IHV1" s="288"/>
      <c r="IHW1" s="288"/>
      <c r="IHX1" s="288"/>
      <c r="IHY1" s="288"/>
      <c r="IHZ1" s="288"/>
      <c r="IIA1" s="288"/>
      <c r="IIB1" s="288"/>
      <c r="IIC1" s="288"/>
      <c r="IID1" s="288"/>
      <c r="IIE1" s="288"/>
      <c r="IIF1" s="288"/>
      <c r="IIG1" s="288"/>
      <c r="IIH1" s="288"/>
      <c r="III1" s="288"/>
      <c r="IIJ1" s="288"/>
      <c r="IIK1" s="288"/>
      <c r="IIL1" s="288"/>
      <c r="IIM1" s="288"/>
      <c r="IIN1" s="288"/>
      <c r="IIO1" s="288"/>
      <c r="IIP1" s="288"/>
      <c r="IIQ1" s="288"/>
      <c r="IIR1" s="288"/>
      <c r="IIS1" s="288"/>
      <c r="IIT1" s="288"/>
      <c r="IIU1" s="288"/>
      <c r="IIV1" s="288"/>
      <c r="IIW1" s="288"/>
      <c r="IIX1" s="288"/>
      <c r="IIY1" s="288"/>
      <c r="IIZ1" s="288"/>
      <c r="IJA1" s="288"/>
      <c r="IJB1" s="288"/>
      <c r="IJC1" s="288"/>
      <c r="IJD1" s="288"/>
      <c r="IJE1" s="288"/>
      <c r="IJF1" s="288"/>
      <c r="IJG1" s="288"/>
      <c r="IJH1" s="288"/>
      <c r="IJI1" s="288"/>
      <c r="IJJ1" s="288"/>
      <c r="IJK1" s="288"/>
      <c r="IJL1" s="288"/>
      <c r="IJM1" s="288"/>
      <c r="IJN1" s="288"/>
      <c r="IJO1" s="288"/>
      <c r="IJP1" s="288"/>
      <c r="IJQ1" s="288"/>
      <c r="IJR1" s="288"/>
      <c r="IJS1" s="288"/>
      <c r="IJT1" s="288"/>
      <c r="IJU1" s="288"/>
      <c r="IJV1" s="288"/>
      <c r="IJW1" s="288"/>
      <c r="IJX1" s="288"/>
      <c r="IJY1" s="288"/>
      <c r="IJZ1" s="288"/>
      <c r="IKA1" s="288"/>
      <c r="IKB1" s="288"/>
      <c r="IKC1" s="288"/>
      <c r="IKD1" s="288"/>
      <c r="IKE1" s="288"/>
      <c r="IKF1" s="288"/>
      <c r="IKG1" s="288"/>
      <c r="IKH1" s="288"/>
      <c r="IKI1" s="288"/>
      <c r="IKJ1" s="288"/>
      <c r="IKK1" s="288"/>
      <c r="IKL1" s="288"/>
      <c r="IKM1" s="288"/>
      <c r="IKN1" s="288"/>
      <c r="IKO1" s="288"/>
      <c r="IKP1" s="288"/>
      <c r="IKQ1" s="288"/>
      <c r="IKR1" s="288"/>
      <c r="IKS1" s="288"/>
      <c r="IKT1" s="288"/>
      <c r="IKU1" s="288"/>
      <c r="IKV1" s="288"/>
      <c r="IKW1" s="288"/>
      <c r="IKX1" s="288"/>
      <c r="IKY1" s="288"/>
      <c r="IKZ1" s="288"/>
      <c r="ILA1" s="288"/>
      <c r="ILB1" s="288"/>
      <c r="ILC1" s="288"/>
      <c r="ILD1" s="288"/>
      <c r="ILE1" s="288"/>
      <c r="ILF1" s="288"/>
      <c r="ILG1" s="288"/>
      <c r="ILH1" s="288"/>
      <c r="ILI1" s="288"/>
      <c r="ILJ1" s="288"/>
      <c r="ILK1" s="288"/>
      <c r="ILL1" s="288"/>
      <c r="ILM1" s="288"/>
      <c r="ILN1" s="288"/>
      <c r="ILO1" s="288"/>
      <c r="ILP1" s="288"/>
      <c r="ILQ1" s="288"/>
      <c r="ILR1" s="288"/>
      <c r="ILS1" s="288"/>
      <c r="ILT1" s="288"/>
      <c r="ILU1" s="288"/>
      <c r="ILV1" s="288"/>
      <c r="ILW1" s="288"/>
      <c r="ILX1" s="288"/>
      <c r="ILY1" s="288"/>
      <c r="ILZ1" s="288"/>
      <c r="IMA1" s="288"/>
      <c r="IMB1" s="288"/>
      <c r="IMC1" s="288"/>
      <c r="IMD1" s="288"/>
      <c r="IME1" s="288"/>
      <c r="IMF1" s="288"/>
      <c r="IMG1" s="288"/>
      <c r="IMH1" s="288"/>
      <c r="IMI1" s="288"/>
      <c r="IMJ1" s="288"/>
      <c r="IMK1" s="288"/>
      <c r="IML1" s="288"/>
      <c r="IMM1" s="288"/>
      <c r="IMN1" s="288"/>
      <c r="IMO1" s="288"/>
      <c r="IMP1" s="288"/>
      <c r="IMQ1" s="288"/>
      <c r="IMR1" s="288"/>
      <c r="IMS1" s="288"/>
      <c r="IMT1" s="288"/>
      <c r="IMU1" s="288"/>
      <c r="IMV1" s="288"/>
      <c r="IMW1" s="288"/>
      <c r="IMX1" s="288"/>
      <c r="IMY1" s="288"/>
      <c r="IMZ1" s="288"/>
      <c r="INA1" s="288"/>
      <c r="INB1" s="288"/>
      <c r="INC1" s="288"/>
      <c r="IND1" s="288"/>
      <c r="INE1" s="288"/>
      <c r="INF1" s="288"/>
      <c r="ING1" s="288"/>
      <c r="INH1" s="288"/>
      <c r="INI1" s="288"/>
      <c r="INJ1" s="288"/>
      <c r="INK1" s="288"/>
      <c r="INL1" s="288"/>
      <c r="INM1" s="288"/>
      <c r="INN1" s="288"/>
      <c r="INO1" s="288"/>
      <c r="INP1" s="288"/>
      <c r="INQ1" s="288"/>
      <c r="INR1" s="288"/>
      <c r="INS1" s="288"/>
      <c r="INT1" s="288"/>
      <c r="INU1" s="288"/>
      <c r="INV1" s="288"/>
      <c r="INW1" s="288"/>
      <c r="INX1" s="288"/>
      <c r="INY1" s="288"/>
      <c r="INZ1" s="288"/>
      <c r="IOA1" s="288"/>
      <c r="IOB1" s="288"/>
      <c r="IOC1" s="288"/>
      <c r="IOD1" s="288"/>
      <c r="IOE1" s="288"/>
      <c r="IOF1" s="288"/>
      <c r="IOG1" s="288"/>
      <c r="IOH1" s="288"/>
      <c r="IOI1" s="288"/>
      <c r="IOJ1" s="288"/>
      <c r="IOK1" s="288"/>
      <c r="IOL1" s="288"/>
      <c r="IOM1" s="288"/>
      <c r="ION1" s="288"/>
      <c r="IOO1" s="288"/>
      <c r="IOP1" s="288"/>
      <c r="IOQ1" s="288"/>
      <c r="IOR1" s="288"/>
      <c r="IOS1" s="288"/>
      <c r="IOT1" s="288"/>
      <c r="IOU1" s="288"/>
      <c r="IOV1" s="288"/>
      <c r="IOW1" s="288"/>
      <c r="IOX1" s="288"/>
      <c r="IOY1" s="288"/>
      <c r="IOZ1" s="288"/>
      <c r="IPA1" s="288"/>
      <c r="IPB1" s="288"/>
      <c r="IPC1" s="288"/>
      <c r="IPD1" s="288"/>
      <c r="IPE1" s="288"/>
      <c r="IPF1" s="288"/>
      <c r="IPG1" s="288"/>
      <c r="IPH1" s="288"/>
      <c r="IPI1" s="288"/>
      <c r="IPJ1" s="288"/>
      <c r="IPK1" s="288"/>
      <c r="IPL1" s="288"/>
      <c r="IPM1" s="288"/>
      <c r="IPN1" s="288"/>
      <c r="IPO1" s="288"/>
      <c r="IPP1" s="288"/>
      <c r="IPQ1" s="288"/>
      <c r="IPR1" s="288"/>
      <c r="IPS1" s="288"/>
      <c r="IPT1" s="288"/>
      <c r="IPU1" s="288"/>
      <c r="IPV1" s="288"/>
      <c r="IPW1" s="288"/>
      <c r="IPX1" s="288"/>
      <c r="IPY1" s="288"/>
      <c r="IPZ1" s="288"/>
      <c r="IQA1" s="288"/>
      <c r="IQB1" s="288"/>
      <c r="IQC1" s="288"/>
      <c r="IQD1" s="288"/>
      <c r="IQE1" s="288"/>
      <c r="IQF1" s="288"/>
      <c r="IQG1" s="288"/>
      <c r="IQH1" s="288"/>
      <c r="IQI1" s="288"/>
      <c r="IQJ1" s="288"/>
      <c r="IQK1" s="288"/>
      <c r="IQL1" s="288"/>
      <c r="IQM1" s="288"/>
      <c r="IQN1" s="288"/>
      <c r="IQO1" s="288"/>
      <c r="IQP1" s="288"/>
      <c r="IQQ1" s="288"/>
      <c r="IQR1" s="288"/>
      <c r="IQS1" s="288"/>
      <c r="IQT1" s="288"/>
      <c r="IQU1" s="288"/>
      <c r="IQV1" s="288"/>
      <c r="IQW1" s="288"/>
      <c r="IQX1" s="288"/>
      <c r="IQY1" s="288"/>
      <c r="IQZ1" s="288"/>
      <c r="IRA1" s="288"/>
      <c r="IRB1" s="288"/>
      <c r="IRC1" s="288"/>
      <c r="IRD1" s="288"/>
      <c r="IRE1" s="288"/>
      <c r="IRF1" s="288"/>
      <c r="IRG1" s="288"/>
      <c r="IRH1" s="288"/>
      <c r="IRI1" s="288"/>
      <c r="IRJ1" s="288"/>
      <c r="IRK1" s="288"/>
      <c r="IRL1" s="288"/>
      <c r="IRM1" s="288"/>
      <c r="IRN1" s="288"/>
      <c r="IRO1" s="288"/>
      <c r="IRP1" s="288"/>
      <c r="IRQ1" s="288"/>
      <c r="IRR1" s="288"/>
      <c r="IRS1" s="288"/>
      <c r="IRT1" s="288"/>
      <c r="IRU1" s="288"/>
      <c r="IRV1" s="288"/>
      <c r="IRW1" s="288"/>
      <c r="IRX1" s="288"/>
      <c r="IRY1" s="288"/>
      <c r="IRZ1" s="288"/>
      <c r="ISA1" s="288"/>
      <c r="ISB1" s="288"/>
      <c r="ISC1" s="288"/>
      <c r="ISD1" s="288"/>
      <c r="ISE1" s="288"/>
      <c r="ISF1" s="288"/>
      <c r="ISG1" s="288"/>
      <c r="ISH1" s="288"/>
      <c r="ISI1" s="288"/>
      <c r="ISJ1" s="288"/>
      <c r="ISK1" s="288"/>
      <c r="ISL1" s="288"/>
      <c r="ISM1" s="288"/>
      <c r="ISN1" s="288"/>
      <c r="ISO1" s="288"/>
      <c r="ISP1" s="288"/>
      <c r="ISQ1" s="288"/>
      <c r="ISR1" s="288"/>
      <c r="ISS1" s="288"/>
      <c r="IST1" s="288"/>
      <c r="ISU1" s="288"/>
      <c r="ISV1" s="288"/>
      <c r="ISW1" s="288"/>
      <c r="ISX1" s="288"/>
      <c r="ISY1" s="288"/>
      <c r="ISZ1" s="288"/>
      <c r="ITA1" s="288"/>
      <c r="ITB1" s="288"/>
      <c r="ITC1" s="288"/>
      <c r="ITD1" s="288"/>
      <c r="ITE1" s="288"/>
      <c r="ITF1" s="288"/>
      <c r="ITG1" s="288"/>
      <c r="ITH1" s="288"/>
      <c r="ITI1" s="288"/>
      <c r="ITJ1" s="288"/>
      <c r="ITK1" s="288"/>
      <c r="ITL1" s="288"/>
      <c r="ITM1" s="288"/>
      <c r="ITN1" s="288"/>
      <c r="ITO1" s="288"/>
      <c r="ITP1" s="288"/>
      <c r="ITQ1" s="288"/>
      <c r="ITR1" s="288"/>
      <c r="ITS1" s="288"/>
      <c r="ITT1" s="288"/>
      <c r="ITU1" s="288"/>
      <c r="ITV1" s="288"/>
      <c r="ITW1" s="288"/>
      <c r="ITX1" s="288"/>
      <c r="ITY1" s="288"/>
      <c r="ITZ1" s="288"/>
      <c r="IUA1" s="288"/>
      <c r="IUB1" s="288"/>
      <c r="IUC1" s="288"/>
      <c r="IUD1" s="288"/>
      <c r="IUE1" s="288"/>
      <c r="IUF1" s="288"/>
      <c r="IUG1" s="288"/>
      <c r="IUH1" s="288"/>
      <c r="IUI1" s="288"/>
      <c r="IUJ1" s="288"/>
      <c r="IUK1" s="288"/>
      <c r="IUL1" s="288"/>
      <c r="IUM1" s="288"/>
      <c r="IUN1" s="288"/>
      <c r="IUO1" s="288"/>
      <c r="IUP1" s="288"/>
      <c r="IUQ1" s="288"/>
      <c r="IUR1" s="288"/>
      <c r="IUS1" s="288"/>
      <c r="IUT1" s="288"/>
      <c r="IUU1" s="288"/>
      <c r="IUV1" s="288"/>
      <c r="IUW1" s="288"/>
      <c r="IUX1" s="288"/>
      <c r="IUY1" s="288"/>
      <c r="IUZ1" s="288"/>
      <c r="IVA1" s="288"/>
      <c r="IVB1" s="288"/>
      <c r="IVC1" s="288"/>
      <c r="IVD1" s="288"/>
      <c r="IVE1" s="288"/>
      <c r="IVF1" s="288"/>
      <c r="IVG1" s="288"/>
      <c r="IVH1" s="288"/>
      <c r="IVI1" s="288"/>
      <c r="IVJ1" s="288"/>
      <c r="IVK1" s="288"/>
      <c r="IVL1" s="288"/>
      <c r="IVM1" s="288"/>
      <c r="IVN1" s="288"/>
      <c r="IVO1" s="288"/>
      <c r="IVP1" s="288"/>
      <c r="IVQ1" s="288"/>
      <c r="IVR1" s="288"/>
      <c r="IVS1" s="288"/>
      <c r="IVT1" s="288"/>
      <c r="IVU1" s="288"/>
      <c r="IVV1" s="288"/>
      <c r="IVW1" s="288"/>
      <c r="IVX1" s="288"/>
      <c r="IVY1" s="288"/>
      <c r="IVZ1" s="288"/>
      <c r="IWA1" s="288"/>
      <c r="IWB1" s="288"/>
      <c r="IWC1" s="288"/>
      <c r="IWD1" s="288"/>
      <c r="IWE1" s="288"/>
      <c r="IWF1" s="288"/>
      <c r="IWG1" s="288"/>
      <c r="IWH1" s="288"/>
      <c r="IWI1" s="288"/>
      <c r="IWJ1" s="288"/>
      <c r="IWK1" s="288"/>
      <c r="IWL1" s="288"/>
      <c r="IWM1" s="288"/>
      <c r="IWN1" s="288"/>
      <c r="IWO1" s="288"/>
      <c r="IWP1" s="288"/>
      <c r="IWQ1" s="288"/>
      <c r="IWR1" s="288"/>
      <c r="IWS1" s="288"/>
      <c r="IWT1" s="288"/>
      <c r="IWU1" s="288"/>
      <c r="IWV1" s="288"/>
      <c r="IWW1" s="288"/>
      <c r="IWX1" s="288"/>
      <c r="IWY1" s="288"/>
      <c r="IWZ1" s="288"/>
      <c r="IXA1" s="288"/>
      <c r="IXB1" s="288"/>
      <c r="IXC1" s="288"/>
      <c r="IXD1" s="288"/>
      <c r="IXE1" s="288"/>
      <c r="IXF1" s="288"/>
      <c r="IXG1" s="288"/>
      <c r="IXH1" s="288"/>
      <c r="IXI1" s="288"/>
      <c r="IXJ1" s="288"/>
      <c r="IXK1" s="288"/>
      <c r="IXL1" s="288"/>
      <c r="IXM1" s="288"/>
      <c r="IXN1" s="288"/>
      <c r="IXO1" s="288"/>
      <c r="IXP1" s="288"/>
      <c r="IXQ1" s="288"/>
      <c r="IXR1" s="288"/>
      <c r="IXS1" s="288"/>
      <c r="IXT1" s="288"/>
      <c r="IXU1" s="288"/>
      <c r="IXV1" s="288"/>
      <c r="IXW1" s="288"/>
      <c r="IXX1" s="288"/>
      <c r="IXY1" s="288"/>
      <c r="IXZ1" s="288"/>
      <c r="IYA1" s="288"/>
      <c r="IYB1" s="288"/>
      <c r="IYC1" s="288"/>
      <c r="IYD1" s="288"/>
      <c r="IYE1" s="288"/>
      <c r="IYF1" s="288"/>
      <c r="IYG1" s="288"/>
      <c r="IYH1" s="288"/>
      <c r="IYI1" s="288"/>
      <c r="IYJ1" s="288"/>
      <c r="IYK1" s="288"/>
      <c r="IYL1" s="288"/>
      <c r="IYM1" s="288"/>
      <c r="IYN1" s="288"/>
      <c r="IYO1" s="288"/>
      <c r="IYP1" s="288"/>
      <c r="IYQ1" s="288"/>
      <c r="IYR1" s="288"/>
      <c r="IYS1" s="288"/>
      <c r="IYT1" s="288"/>
      <c r="IYU1" s="288"/>
      <c r="IYV1" s="288"/>
      <c r="IYW1" s="288"/>
      <c r="IYX1" s="288"/>
      <c r="IYY1" s="288"/>
      <c r="IYZ1" s="288"/>
      <c r="IZA1" s="288"/>
      <c r="IZB1" s="288"/>
      <c r="IZC1" s="288"/>
      <c r="IZD1" s="288"/>
      <c r="IZE1" s="288"/>
      <c r="IZF1" s="288"/>
      <c r="IZG1" s="288"/>
      <c r="IZH1" s="288"/>
      <c r="IZI1" s="288"/>
      <c r="IZJ1" s="288"/>
      <c r="IZK1" s="288"/>
      <c r="IZL1" s="288"/>
      <c r="IZM1" s="288"/>
      <c r="IZN1" s="288"/>
      <c r="IZO1" s="288"/>
      <c r="IZP1" s="288"/>
      <c r="IZQ1" s="288"/>
      <c r="IZR1" s="288"/>
      <c r="IZS1" s="288"/>
      <c r="IZT1" s="288"/>
      <c r="IZU1" s="288"/>
      <c r="IZV1" s="288"/>
      <c r="IZW1" s="288"/>
      <c r="IZX1" s="288"/>
      <c r="IZY1" s="288"/>
      <c r="IZZ1" s="288"/>
      <c r="JAA1" s="288"/>
      <c r="JAB1" s="288"/>
      <c r="JAC1" s="288"/>
      <c r="JAD1" s="288"/>
      <c r="JAE1" s="288"/>
      <c r="JAF1" s="288"/>
      <c r="JAG1" s="288"/>
      <c r="JAH1" s="288"/>
      <c r="JAI1" s="288"/>
      <c r="JAJ1" s="288"/>
      <c r="JAK1" s="288"/>
      <c r="JAL1" s="288"/>
      <c r="JAM1" s="288"/>
      <c r="JAN1" s="288"/>
      <c r="JAO1" s="288"/>
      <c r="JAP1" s="288"/>
      <c r="JAQ1" s="288"/>
      <c r="JAR1" s="288"/>
      <c r="JAS1" s="288"/>
      <c r="JAT1" s="288"/>
      <c r="JAU1" s="288"/>
      <c r="JAV1" s="288"/>
      <c r="JAW1" s="288"/>
      <c r="JAX1" s="288"/>
      <c r="JAY1" s="288"/>
      <c r="JAZ1" s="288"/>
      <c r="JBA1" s="288"/>
      <c r="JBB1" s="288"/>
      <c r="JBC1" s="288"/>
      <c r="JBD1" s="288"/>
      <c r="JBE1" s="288"/>
      <c r="JBF1" s="288"/>
      <c r="JBG1" s="288"/>
      <c r="JBH1" s="288"/>
      <c r="JBI1" s="288"/>
      <c r="JBJ1" s="288"/>
      <c r="JBK1" s="288"/>
      <c r="JBL1" s="288"/>
      <c r="JBM1" s="288"/>
      <c r="JBN1" s="288"/>
      <c r="JBO1" s="288"/>
      <c r="JBP1" s="288"/>
      <c r="JBQ1" s="288"/>
      <c r="JBR1" s="288"/>
      <c r="JBS1" s="288"/>
      <c r="JBT1" s="288"/>
      <c r="JBU1" s="288"/>
      <c r="JBV1" s="288"/>
      <c r="JBW1" s="288"/>
      <c r="JBX1" s="288"/>
      <c r="JBY1" s="288"/>
      <c r="JBZ1" s="288"/>
      <c r="JCA1" s="288"/>
      <c r="JCB1" s="288"/>
      <c r="JCC1" s="288"/>
      <c r="JCD1" s="288"/>
      <c r="JCE1" s="288"/>
      <c r="JCF1" s="288"/>
      <c r="JCG1" s="288"/>
      <c r="JCH1" s="288"/>
      <c r="JCI1" s="288"/>
      <c r="JCJ1" s="288"/>
      <c r="JCK1" s="288"/>
      <c r="JCL1" s="288"/>
      <c r="JCM1" s="288"/>
      <c r="JCN1" s="288"/>
      <c r="JCO1" s="288"/>
      <c r="JCP1" s="288"/>
      <c r="JCQ1" s="288"/>
      <c r="JCR1" s="288"/>
      <c r="JCS1" s="288"/>
      <c r="JCT1" s="288"/>
      <c r="JCU1" s="288"/>
      <c r="JCV1" s="288"/>
      <c r="JCW1" s="288"/>
      <c r="JCX1" s="288"/>
      <c r="JCY1" s="288"/>
      <c r="JCZ1" s="288"/>
      <c r="JDA1" s="288"/>
      <c r="JDB1" s="288"/>
      <c r="JDC1" s="288"/>
      <c r="JDD1" s="288"/>
      <c r="JDE1" s="288"/>
      <c r="JDF1" s="288"/>
      <c r="JDG1" s="288"/>
      <c r="JDH1" s="288"/>
      <c r="JDI1" s="288"/>
      <c r="JDJ1" s="288"/>
      <c r="JDK1" s="288"/>
      <c r="JDL1" s="288"/>
      <c r="JDM1" s="288"/>
      <c r="JDN1" s="288"/>
      <c r="JDO1" s="288"/>
      <c r="JDP1" s="288"/>
      <c r="JDQ1" s="288"/>
      <c r="JDR1" s="288"/>
      <c r="JDS1" s="288"/>
      <c r="JDT1" s="288"/>
      <c r="JDU1" s="288"/>
      <c r="JDV1" s="288"/>
      <c r="JDW1" s="288"/>
      <c r="JDX1" s="288"/>
      <c r="JDY1" s="288"/>
      <c r="JDZ1" s="288"/>
      <c r="JEA1" s="288"/>
      <c r="JEB1" s="288"/>
      <c r="JEC1" s="288"/>
      <c r="JED1" s="288"/>
      <c r="JEE1" s="288"/>
      <c r="JEF1" s="288"/>
      <c r="JEG1" s="288"/>
      <c r="JEH1" s="288"/>
      <c r="JEI1" s="288"/>
      <c r="JEJ1" s="288"/>
      <c r="JEK1" s="288"/>
      <c r="JEL1" s="288"/>
      <c r="JEM1" s="288"/>
      <c r="JEN1" s="288"/>
      <c r="JEO1" s="288"/>
      <c r="JEP1" s="288"/>
      <c r="JEQ1" s="288"/>
      <c r="JER1" s="288"/>
      <c r="JES1" s="288"/>
      <c r="JET1" s="288"/>
      <c r="JEU1" s="288"/>
      <c r="JEV1" s="288"/>
      <c r="JEW1" s="288"/>
      <c r="JEX1" s="288"/>
      <c r="JEY1" s="288"/>
      <c r="JEZ1" s="288"/>
      <c r="JFA1" s="288"/>
      <c r="JFB1" s="288"/>
      <c r="JFC1" s="288"/>
      <c r="JFD1" s="288"/>
      <c r="JFE1" s="288"/>
      <c r="JFF1" s="288"/>
      <c r="JFG1" s="288"/>
      <c r="JFH1" s="288"/>
      <c r="JFI1" s="288"/>
      <c r="JFJ1" s="288"/>
      <c r="JFK1" s="288"/>
      <c r="JFL1" s="288"/>
      <c r="JFM1" s="288"/>
      <c r="JFN1" s="288"/>
      <c r="JFO1" s="288"/>
      <c r="JFP1" s="288"/>
      <c r="JFQ1" s="288"/>
      <c r="JFR1" s="288"/>
      <c r="JFS1" s="288"/>
      <c r="JFT1" s="288"/>
      <c r="JFU1" s="288"/>
      <c r="JFV1" s="288"/>
      <c r="JFW1" s="288"/>
      <c r="JFX1" s="288"/>
      <c r="JFY1" s="288"/>
      <c r="JFZ1" s="288"/>
      <c r="JGA1" s="288"/>
      <c r="JGB1" s="288"/>
      <c r="JGC1" s="288"/>
      <c r="JGD1" s="288"/>
      <c r="JGE1" s="288"/>
      <c r="JGF1" s="288"/>
      <c r="JGG1" s="288"/>
      <c r="JGH1" s="288"/>
      <c r="JGI1" s="288"/>
      <c r="JGJ1" s="288"/>
      <c r="JGK1" s="288"/>
      <c r="JGL1" s="288"/>
      <c r="JGM1" s="288"/>
      <c r="JGN1" s="288"/>
      <c r="JGO1" s="288"/>
      <c r="JGP1" s="288"/>
      <c r="JGQ1" s="288"/>
      <c r="JGR1" s="288"/>
      <c r="JGS1" s="288"/>
      <c r="JGT1" s="288"/>
      <c r="JGU1" s="288"/>
      <c r="JGV1" s="288"/>
      <c r="JGW1" s="288"/>
      <c r="JGX1" s="288"/>
      <c r="JGY1" s="288"/>
      <c r="JGZ1" s="288"/>
      <c r="JHA1" s="288"/>
      <c r="JHB1" s="288"/>
      <c r="JHC1" s="288"/>
      <c r="JHD1" s="288"/>
      <c r="JHE1" s="288"/>
      <c r="JHF1" s="288"/>
      <c r="JHG1" s="288"/>
      <c r="JHH1" s="288"/>
      <c r="JHI1" s="288"/>
      <c r="JHJ1" s="288"/>
      <c r="JHK1" s="288"/>
      <c r="JHL1" s="288"/>
      <c r="JHM1" s="288"/>
      <c r="JHN1" s="288"/>
      <c r="JHO1" s="288"/>
      <c r="JHP1" s="288"/>
      <c r="JHQ1" s="288"/>
      <c r="JHR1" s="288"/>
      <c r="JHS1" s="288"/>
      <c r="JHT1" s="288"/>
      <c r="JHU1" s="288"/>
      <c r="JHV1" s="288"/>
      <c r="JHW1" s="288"/>
      <c r="JHX1" s="288"/>
      <c r="JHY1" s="288"/>
      <c r="JHZ1" s="288"/>
      <c r="JIA1" s="288"/>
      <c r="JIB1" s="288"/>
      <c r="JIC1" s="288"/>
      <c r="JID1" s="288"/>
      <c r="JIE1" s="288"/>
      <c r="JIF1" s="288"/>
      <c r="JIG1" s="288"/>
      <c r="JIH1" s="288"/>
      <c r="JII1" s="288"/>
      <c r="JIJ1" s="288"/>
      <c r="JIK1" s="288"/>
      <c r="JIL1" s="288"/>
      <c r="JIM1" s="288"/>
      <c r="JIN1" s="288"/>
      <c r="JIO1" s="288"/>
      <c r="JIP1" s="288"/>
      <c r="JIQ1" s="288"/>
      <c r="JIR1" s="288"/>
      <c r="JIS1" s="288"/>
      <c r="JIT1" s="288"/>
      <c r="JIU1" s="288"/>
      <c r="JIV1" s="288"/>
      <c r="JIW1" s="288"/>
      <c r="JIX1" s="288"/>
      <c r="JIY1" s="288"/>
      <c r="JIZ1" s="288"/>
      <c r="JJA1" s="288"/>
      <c r="JJB1" s="288"/>
      <c r="JJC1" s="288"/>
      <c r="JJD1" s="288"/>
      <c r="JJE1" s="288"/>
      <c r="JJF1" s="288"/>
      <c r="JJG1" s="288"/>
      <c r="JJH1" s="288"/>
      <c r="JJI1" s="288"/>
      <c r="JJJ1" s="288"/>
      <c r="JJK1" s="288"/>
      <c r="JJL1" s="288"/>
      <c r="JJM1" s="288"/>
      <c r="JJN1" s="288"/>
      <c r="JJO1" s="288"/>
      <c r="JJP1" s="288"/>
      <c r="JJQ1" s="288"/>
      <c r="JJR1" s="288"/>
      <c r="JJS1" s="288"/>
      <c r="JJT1" s="288"/>
      <c r="JJU1" s="288"/>
      <c r="JJV1" s="288"/>
      <c r="JJW1" s="288"/>
      <c r="JJX1" s="288"/>
      <c r="JJY1" s="288"/>
      <c r="JJZ1" s="288"/>
      <c r="JKA1" s="288"/>
      <c r="JKB1" s="288"/>
      <c r="JKC1" s="288"/>
      <c r="JKD1" s="288"/>
      <c r="JKE1" s="288"/>
      <c r="JKF1" s="288"/>
      <c r="JKG1" s="288"/>
      <c r="JKH1" s="288"/>
      <c r="JKI1" s="288"/>
      <c r="JKJ1" s="288"/>
      <c r="JKK1" s="288"/>
      <c r="JKL1" s="288"/>
      <c r="JKM1" s="288"/>
      <c r="JKN1" s="288"/>
      <c r="JKO1" s="288"/>
      <c r="JKP1" s="288"/>
      <c r="JKQ1" s="288"/>
      <c r="JKR1" s="288"/>
      <c r="JKS1" s="288"/>
      <c r="JKT1" s="288"/>
      <c r="JKU1" s="288"/>
      <c r="JKV1" s="288"/>
      <c r="JKW1" s="288"/>
      <c r="JKX1" s="288"/>
      <c r="JKY1" s="288"/>
      <c r="JKZ1" s="288"/>
      <c r="JLA1" s="288"/>
      <c r="JLB1" s="288"/>
      <c r="JLC1" s="288"/>
      <c r="JLD1" s="288"/>
      <c r="JLE1" s="288"/>
      <c r="JLF1" s="288"/>
      <c r="JLG1" s="288"/>
      <c r="JLH1" s="288"/>
      <c r="JLI1" s="288"/>
      <c r="JLJ1" s="288"/>
      <c r="JLK1" s="288"/>
      <c r="JLL1" s="288"/>
      <c r="JLM1" s="288"/>
      <c r="JLN1" s="288"/>
      <c r="JLO1" s="288"/>
      <c r="JLP1" s="288"/>
      <c r="JLQ1" s="288"/>
      <c r="JLR1" s="288"/>
      <c r="JLS1" s="288"/>
      <c r="JLT1" s="288"/>
      <c r="JLU1" s="288"/>
      <c r="JLV1" s="288"/>
      <c r="JLW1" s="288"/>
      <c r="JLX1" s="288"/>
      <c r="JLY1" s="288"/>
      <c r="JLZ1" s="288"/>
      <c r="JMA1" s="288"/>
      <c r="JMB1" s="288"/>
      <c r="JMC1" s="288"/>
      <c r="JMD1" s="288"/>
      <c r="JME1" s="288"/>
      <c r="JMF1" s="288"/>
      <c r="JMG1" s="288"/>
      <c r="JMH1" s="288"/>
      <c r="JMI1" s="288"/>
      <c r="JMJ1" s="288"/>
      <c r="JMK1" s="288"/>
      <c r="JML1" s="288"/>
      <c r="JMM1" s="288"/>
      <c r="JMN1" s="288"/>
      <c r="JMO1" s="288"/>
      <c r="JMP1" s="288"/>
      <c r="JMQ1" s="288"/>
      <c r="JMR1" s="288"/>
      <c r="JMS1" s="288"/>
      <c r="JMT1" s="288"/>
      <c r="JMU1" s="288"/>
      <c r="JMV1" s="288"/>
      <c r="JMW1" s="288"/>
      <c r="JMX1" s="288"/>
      <c r="JMY1" s="288"/>
      <c r="JMZ1" s="288"/>
      <c r="JNA1" s="288"/>
      <c r="JNB1" s="288"/>
      <c r="JNC1" s="288"/>
      <c r="JND1" s="288"/>
      <c r="JNE1" s="288"/>
      <c r="JNF1" s="288"/>
      <c r="JNG1" s="288"/>
      <c r="JNH1" s="288"/>
      <c r="JNI1" s="288"/>
      <c r="JNJ1" s="288"/>
      <c r="JNK1" s="288"/>
      <c r="JNL1" s="288"/>
      <c r="JNM1" s="288"/>
      <c r="JNN1" s="288"/>
      <c r="JNO1" s="288"/>
      <c r="JNP1" s="288"/>
      <c r="JNQ1" s="288"/>
      <c r="JNR1" s="288"/>
      <c r="JNS1" s="288"/>
      <c r="JNT1" s="288"/>
      <c r="JNU1" s="288"/>
      <c r="JNV1" s="288"/>
      <c r="JNW1" s="288"/>
      <c r="JNX1" s="288"/>
      <c r="JNY1" s="288"/>
      <c r="JNZ1" s="288"/>
      <c r="JOA1" s="288"/>
      <c r="JOB1" s="288"/>
      <c r="JOC1" s="288"/>
      <c r="JOD1" s="288"/>
      <c r="JOE1" s="288"/>
      <c r="JOF1" s="288"/>
      <c r="JOG1" s="288"/>
      <c r="JOH1" s="288"/>
      <c r="JOI1" s="288"/>
      <c r="JOJ1" s="288"/>
      <c r="JOK1" s="288"/>
      <c r="JOL1" s="288"/>
      <c r="JOM1" s="288"/>
      <c r="JON1" s="288"/>
      <c r="JOO1" s="288"/>
      <c r="JOP1" s="288"/>
      <c r="JOQ1" s="288"/>
      <c r="JOR1" s="288"/>
      <c r="JOS1" s="288"/>
      <c r="JOT1" s="288"/>
      <c r="JOU1" s="288"/>
      <c r="JOV1" s="288"/>
      <c r="JOW1" s="288"/>
      <c r="JOX1" s="288"/>
      <c r="JOY1" s="288"/>
      <c r="JOZ1" s="288"/>
      <c r="JPA1" s="288"/>
      <c r="JPB1" s="288"/>
      <c r="JPC1" s="288"/>
      <c r="JPD1" s="288"/>
      <c r="JPE1" s="288"/>
      <c r="JPF1" s="288"/>
      <c r="JPG1" s="288"/>
      <c r="JPH1" s="288"/>
      <c r="JPI1" s="288"/>
      <c r="JPJ1" s="288"/>
      <c r="JPK1" s="288"/>
      <c r="JPL1" s="288"/>
      <c r="JPM1" s="288"/>
      <c r="JPN1" s="288"/>
      <c r="JPO1" s="288"/>
      <c r="JPP1" s="288"/>
      <c r="JPQ1" s="288"/>
      <c r="JPR1" s="288"/>
      <c r="JPS1" s="288"/>
      <c r="JPT1" s="288"/>
      <c r="JPU1" s="288"/>
      <c r="JPV1" s="288"/>
      <c r="JPW1" s="288"/>
      <c r="JPX1" s="288"/>
      <c r="JPY1" s="288"/>
      <c r="JPZ1" s="288"/>
      <c r="JQA1" s="288"/>
      <c r="JQB1" s="288"/>
      <c r="JQC1" s="288"/>
      <c r="JQD1" s="288"/>
      <c r="JQE1" s="288"/>
      <c r="JQF1" s="288"/>
      <c r="JQG1" s="288"/>
      <c r="JQH1" s="288"/>
      <c r="JQI1" s="288"/>
      <c r="JQJ1" s="288"/>
      <c r="JQK1" s="288"/>
      <c r="JQL1" s="288"/>
      <c r="JQM1" s="288"/>
      <c r="JQN1" s="288"/>
      <c r="JQO1" s="288"/>
      <c r="JQP1" s="288"/>
      <c r="JQQ1" s="288"/>
      <c r="JQR1" s="288"/>
      <c r="JQS1" s="288"/>
      <c r="JQT1" s="288"/>
      <c r="JQU1" s="288"/>
      <c r="JQV1" s="288"/>
      <c r="JQW1" s="288"/>
      <c r="JQX1" s="288"/>
      <c r="JQY1" s="288"/>
      <c r="JQZ1" s="288"/>
      <c r="JRA1" s="288"/>
      <c r="JRB1" s="288"/>
      <c r="JRC1" s="288"/>
      <c r="JRD1" s="288"/>
      <c r="JRE1" s="288"/>
      <c r="JRF1" s="288"/>
      <c r="JRG1" s="288"/>
      <c r="JRH1" s="288"/>
      <c r="JRI1" s="288"/>
      <c r="JRJ1" s="288"/>
      <c r="JRK1" s="288"/>
      <c r="JRL1" s="288"/>
      <c r="JRM1" s="288"/>
      <c r="JRN1" s="288"/>
      <c r="JRO1" s="288"/>
      <c r="JRP1" s="288"/>
      <c r="JRQ1" s="288"/>
      <c r="JRR1" s="288"/>
      <c r="JRS1" s="288"/>
      <c r="JRT1" s="288"/>
      <c r="JRU1" s="288"/>
      <c r="JRV1" s="288"/>
      <c r="JRW1" s="288"/>
      <c r="JRX1" s="288"/>
      <c r="JRY1" s="288"/>
      <c r="JRZ1" s="288"/>
      <c r="JSA1" s="288"/>
      <c r="JSB1" s="288"/>
      <c r="JSC1" s="288"/>
      <c r="JSD1" s="288"/>
      <c r="JSE1" s="288"/>
      <c r="JSF1" s="288"/>
      <c r="JSG1" s="288"/>
      <c r="JSH1" s="288"/>
      <c r="JSI1" s="288"/>
      <c r="JSJ1" s="288"/>
      <c r="JSK1" s="288"/>
      <c r="JSL1" s="288"/>
      <c r="JSM1" s="288"/>
      <c r="JSN1" s="288"/>
      <c r="JSO1" s="288"/>
      <c r="JSP1" s="288"/>
      <c r="JSQ1" s="288"/>
      <c r="JSR1" s="288"/>
      <c r="JSS1" s="288"/>
      <c r="JST1" s="288"/>
      <c r="JSU1" s="288"/>
      <c r="JSV1" s="288"/>
      <c r="JSW1" s="288"/>
      <c r="JSX1" s="288"/>
      <c r="JSY1" s="288"/>
      <c r="JSZ1" s="288"/>
      <c r="JTA1" s="288"/>
      <c r="JTB1" s="288"/>
      <c r="JTC1" s="288"/>
      <c r="JTD1" s="288"/>
      <c r="JTE1" s="288"/>
      <c r="JTF1" s="288"/>
      <c r="JTG1" s="288"/>
      <c r="JTH1" s="288"/>
      <c r="JTI1" s="288"/>
      <c r="JTJ1" s="288"/>
      <c r="JTK1" s="288"/>
      <c r="JTL1" s="288"/>
      <c r="JTM1" s="288"/>
      <c r="JTN1" s="288"/>
      <c r="JTO1" s="288"/>
      <c r="JTP1" s="288"/>
      <c r="JTQ1" s="288"/>
      <c r="JTR1" s="288"/>
      <c r="JTS1" s="288"/>
      <c r="JTT1" s="288"/>
      <c r="JTU1" s="288"/>
      <c r="JTV1" s="288"/>
      <c r="JTW1" s="288"/>
      <c r="JTX1" s="288"/>
      <c r="JTY1" s="288"/>
      <c r="JTZ1" s="288"/>
      <c r="JUA1" s="288"/>
      <c r="JUB1" s="288"/>
      <c r="JUC1" s="288"/>
      <c r="JUD1" s="288"/>
      <c r="JUE1" s="288"/>
      <c r="JUF1" s="288"/>
      <c r="JUG1" s="288"/>
      <c r="JUH1" s="288"/>
      <c r="JUI1" s="288"/>
      <c r="JUJ1" s="288"/>
      <c r="JUK1" s="288"/>
      <c r="JUL1" s="288"/>
      <c r="JUM1" s="288"/>
      <c r="JUN1" s="288"/>
      <c r="JUO1" s="288"/>
      <c r="JUP1" s="288"/>
      <c r="JUQ1" s="288"/>
      <c r="JUR1" s="288"/>
      <c r="JUS1" s="288"/>
      <c r="JUT1" s="288"/>
      <c r="JUU1" s="288"/>
      <c r="JUV1" s="288"/>
      <c r="JUW1" s="288"/>
      <c r="JUX1" s="288"/>
      <c r="JUY1" s="288"/>
      <c r="JUZ1" s="288"/>
      <c r="JVA1" s="288"/>
      <c r="JVB1" s="288"/>
      <c r="JVC1" s="288"/>
      <c r="JVD1" s="288"/>
      <c r="JVE1" s="288"/>
      <c r="JVF1" s="288"/>
      <c r="JVG1" s="288"/>
      <c r="JVH1" s="288"/>
      <c r="JVI1" s="288"/>
      <c r="JVJ1" s="288"/>
      <c r="JVK1" s="288"/>
      <c r="JVL1" s="288"/>
      <c r="JVM1" s="288"/>
      <c r="JVN1" s="288"/>
      <c r="JVO1" s="288"/>
      <c r="JVP1" s="288"/>
      <c r="JVQ1" s="288"/>
      <c r="JVR1" s="288"/>
      <c r="JVS1" s="288"/>
      <c r="JVT1" s="288"/>
      <c r="JVU1" s="288"/>
      <c r="JVV1" s="288"/>
      <c r="JVW1" s="288"/>
      <c r="JVX1" s="288"/>
      <c r="JVY1" s="288"/>
      <c r="JVZ1" s="288"/>
      <c r="JWA1" s="288"/>
      <c r="JWB1" s="288"/>
      <c r="JWC1" s="288"/>
      <c r="JWD1" s="288"/>
      <c r="JWE1" s="288"/>
      <c r="JWF1" s="288"/>
      <c r="JWG1" s="288"/>
      <c r="JWH1" s="288"/>
      <c r="JWI1" s="288"/>
      <c r="JWJ1" s="288"/>
      <c r="JWK1" s="288"/>
      <c r="JWL1" s="288"/>
      <c r="JWM1" s="288"/>
      <c r="JWN1" s="288"/>
      <c r="JWO1" s="288"/>
      <c r="JWP1" s="288"/>
      <c r="JWQ1" s="288"/>
      <c r="JWR1" s="288"/>
      <c r="JWS1" s="288"/>
      <c r="JWT1" s="288"/>
      <c r="JWU1" s="288"/>
      <c r="JWV1" s="288"/>
      <c r="JWW1" s="288"/>
      <c r="JWX1" s="288"/>
      <c r="JWY1" s="288"/>
      <c r="JWZ1" s="288"/>
      <c r="JXA1" s="288"/>
      <c r="JXB1" s="288"/>
      <c r="JXC1" s="288"/>
      <c r="JXD1" s="288"/>
      <c r="JXE1" s="288"/>
      <c r="JXF1" s="288"/>
      <c r="JXG1" s="288"/>
      <c r="JXH1" s="288"/>
      <c r="JXI1" s="288"/>
      <c r="JXJ1" s="288"/>
      <c r="JXK1" s="288"/>
      <c r="JXL1" s="288"/>
      <c r="JXM1" s="288"/>
      <c r="JXN1" s="288"/>
      <c r="JXO1" s="288"/>
      <c r="JXP1" s="288"/>
      <c r="JXQ1" s="288"/>
      <c r="JXR1" s="288"/>
      <c r="JXS1" s="288"/>
      <c r="JXT1" s="288"/>
      <c r="JXU1" s="288"/>
      <c r="JXV1" s="288"/>
      <c r="JXW1" s="288"/>
      <c r="JXX1" s="288"/>
      <c r="JXY1" s="288"/>
      <c r="JXZ1" s="288"/>
      <c r="JYA1" s="288"/>
      <c r="JYB1" s="288"/>
      <c r="JYC1" s="288"/>
      <c r="JYD1" s="288"/>
      <c r="JYE1" s="288"/>
      <c r="JYF1" s="288"/>
      <c r="JYG1" s="288"/>
      <c r="JYH1" s="288"/>
      <c r="JYI1" s="288"/>
      <c r="JYJ1" s="288"/>
      <c r="JYK1" s="288"/>
      <c r="JYL1" s="288"/>
      <c r="JYM1" s="288"/>
      <c r="JYN1" s="288"/>
      <c r="JYO1" s="288"/>
      <c r="JYP1" s="288"/>
      <c r="JYQ1" s="288"/>
      <c r="JYR1" s="288"/>
      <c r="JYS1" s="288"/>
      <c r="JYT1" s="288"/>
      <c r="JYU1" s="288"/>
      <c r="JYV1" s="288"/>
      <c r="JYW1" s="288"/>
      <c r="JYX1" s="288"/>
      <c r="JYY1" s="288"/>
      <c r="JYZ1" s="288"/>
      <c r="JZA1" s="288"/>
      <c r="JZB1" s="288"/>
      <c r="JZC1" s="288"/>
      <c r="JZD1" s="288"/>
      <c r="JZE1" s="288"/>
      <c r="JZF1" s="288"/>
      <c r="JZG1" s="288"/>
      <c r="JZH1" s="288"/>
      <c r="JZI1" s="288"/>
      <c r="JZJ1" s="288"/>
      <c r="JZK1" s="288"/>
      <c r="JZL1" s="288"/>
      <c r="JZM1" s="288"/>
      <c r="JZN1" s="288"/>
      <c r="JZO1" s="288"/>
      <c r="JZP1" s="288"/>
      <c r="JZQ1" s="288"/>
      <c r="JZR1" s="288"/>
      <c r="JZS1" s="288"/>
      <c r="JZT1" s="288"/>
      <c r="JZU1" s="288"/>
      <c r="JZV1" s="288"/>
      <c r="JZW1" s="288"/>
      <c r="JZX1" s="288"/>
      <c r="JZY1" s="288"/>
      <c r="JZZ1" s="288"/>
      <c r="KAA1" s="288"/>
      <c r="KAB1" s="288"/>
      <c r="KAC1" s="288"/>
      <c r="KAD1" s="288"/>
      <c r="KAE1" s="288"/>
      <c r="KAF1" s="288"/>
      <c r="KAG1" s="288"/>
      <c r="KAH1" s="288"/>
      <c r="KAI1" s="288"/>
      <c r="KAJ1" s="288"/>
      <c r="KAK1" s="288"/>
      <c r="KAL1" s="288"/>
      <c r="KAM1" s="288"/>
      <c r="KAN1" s="288"/>
      <c r="KAO1" s="288"/>
      <c r="KAP1" s="288"/>
      <c r="KAQ1" s="288"/>
      <c r="KAR1" s="288"/>
      <c r="KAS1" s="288"/>
      <c r="KAT1" s="288"/>
      <c r="KAU1" s="288"/>
      <c r="KAV1" s="288"/>
      <c r="KAW1" s="288"/>
      <c r="KAX1" s="288"/>
      <c r="KAY1" s="288"/>
      <c r="KAZ1" s="288"/>
      <c r="KBA1" s="288"/>
      <c r="KBB1" s="288"/>
      <c r="KBC1" s="288"/>
      <c r="KBD1" s="288"/>
      <c r="KBE1" s="288"/>
      <c r="KBF1" s="288"/>
      <c r="KBG1" s="288"/>
      <c r="KBH1" s="288"/>
      <c r="KBI1" s="288"/>
      <c r="KBJ1" s="288"/>
      <c r="KBK1" s="288"/>
      <c r="KBL1" s="288"/>
      <c r="KBM1" s="288"/>
      <c r="KBN1" s="288"/>
      <c r="KBO1" s="288"/>
      <c r="KBP1" s="288"/>
      <c r="KBQ1" s="288"/>
      <c r="KBR1" s="288"/>
      <c r="KBS1" s="288"/>
      <c r="KBT1" s="288"/>
      <c r="KBU1" s="288"/>
      <c r="KBV1" s="288"/>
      <c r="KBW1" s="288"/>
      <c r="KBX1" s="288"/>
      <c r="KBY1" s="288"/>
      <c r="KBZ1" s="288"/>
      <c r="KCA1" s="288"/>
      <c r="KCB1" s="288"/>
      <c r="KCC1" s="288"/>
      <c r="KCD1" s="288"/>
      <c r="KCE1" s="288"/>
      <c r="KCF1" s="288"/>
      <c r="KCG1" s="288"/>
      <c r="KCH1" s="288"/>
      <c r="KCI1" s="288"/>
      <c r="KCJ1" s="288"/>
      <c r="KCK1" s="288"/>
      <c r="KCL1" s="288"/>
      <c r="KCM1" s="288"/>
      <c r="KCN1" s="288"/>
      <c r="KCO1" s="288"/>
      <c r="KCP1" s="288"/>
      <c r="KCQ1" s="288"/>
      <c r="KCR1" s="288"/>
      <c r="KCS1" s="288"/>
      <c r="KCT1" s="288"/>
      <c r="KCU1" s="288"/>
      <c r="KCV1" s="288"/>
      <c r="KCW1" s="288"/>
      <c r="KCX1" s="288"/>
      <c r="KCY1" s="288"/>
      <c r="KCZ1" s="288"/>
      <c r="KDA1" s="288"/>
      <c r="KDB1" s="288"/>
      <c r="KDC1" s="288"/>
      <c r="KDD1" s="288"/>
      <c r="KDE1" s="288"/>
      <c r="KDF1" s="288"/>
      <c r="KDG1" s="288"/>
      <c r="KDH1" s="288"/>
      <c r="KDI1" s="288"/>
      <c r="KDJ1" s="288"/>
      <c r="KDK1" s="288"/>
      <c r="KDL1" s="288"/>
      <c r="KDM1" s="288"/>
      <c r="KDN1" s="288"/>
      <c r="KDO1" s="288"/>
      <c r="KDP1" s="288"/>
      <c r="KDQ1" s="288"/>
      <c r="KDR1" s="288"/>
      <c r="KDS1" s="288"/>
      <c r="KDT1" s="288"/>
      <c r="KDU1" s="288"/>
      <c r="KDV1" s="288"/>
      <c r="KDW1" s="288"/>
      <c r="KDX1" s="288"/>
      <c r="KDY1" s="288"/>
      <c r="KDZ1" s="288"/>
      <c r="KEA1" s="288"/>
      <c r="KEB1" s="288"/>
      <c r="KEC1" s="288"/>
      <c r="KED1" s="288"/>
      <c r="KEE1" s="288"/>
      <c r="KEF1" s="288"/>
      <c r="KEG1" s="288"/>
      <c r="KEH1" s="288"/>
      <c r="KEI1" s="288"/>
      <c r="KEJ1" s="288"/>
      <c r="KEK1" s="288"/>
      <c r="KEL1" s="288"/>
      <c r="KEM1" s="288"/>
      <c r="KEN1" s="288"/>
      <c r="KEO1" s="288"/>
      <c r="KEP1" s="288"/>
      <c r="KEQ1" s="288"/>
      <c r="KER1" s="288"/>
      <c r="KES1" s="288"/>
      <c r="KET1" s="288"/>
      <c r="KEU1" s="288"/>
      <c r="KEV1" s="288"/>
      <c r="KEW1" s="288"/>
      <c r="KEX1" s="288"/>
      <c r="KEY1" s="288"/>
      <c r="KEZ1" s="288"/>
      <c r="KFA1" s="288"/>
      <c r="KFB1" s="288"/>
      <c r="KFC1" s="288"/>
      <c r="KFD1" s="288"/>
      <c r="KFE1" s="288"/>
      <c r="KFF1" s="288"/>
      <c r="KFG1" s="288"/>
      <c r="KFH1" s="288"/>
      <c r="KFI1" s="288"/>
      <c r="KFJ1" s="288"/>
      <c r="KFK1" s="288"/>
      <c r="KFL1" s="288"/>
      <c r="KFM1" s="288"/>
      <c r="KFN1" s="288"/>
      <c r="KFO1" s="288"/>
      <c r="KFP1" s="288"/>
      <c r="KFQ1" s="288"/>
      <c r="KFR1" s="288"/>
      <c r="KFS1" s="288"/>
      <c r="KFT1" s="288"/>
      <c r="KFU1" s="288"/>
      <c r="KFV1" s="288"/>
      <c r="KFW1" s="288"/>
      <c r="KFX1" s="288"/>
      <c r="KFY1" s="288"/>
      <c r="KFZ1" s="288"/>
      <c r="KGA1" s="288"/>
      <c r="KGB1" s="288"/>
      <c r="KGC1" s="288"/>
      <c r="KGD1" s="288"/>
      <c r="KGE1" s="288"/>
      <c r="KGF1" s="288"/>
      <c r="KGG1" s="288"/>
      <c r="KGH1" s="288"/>
      <c r="KGI1" s="288"/>
      <c r="KGJ1" s="288"/>
      <c r="KGK1" s="288"/>
      <c r="KGL1" s="288"/>
      <c r="KGM1" s="288"/>
      <c r="KGN1" s="288"/>
      <c r="KGO1" s="288"/>
      <c r="KGP1" s="288"/>
      <c r="KGQ1" s="288"/>
      <c r="KGR1" s="288"/>
      <c r="KGS1" s="288"/>
      <c r="KGT1" s="288"/>
      <c r="KGU1" s="288"/>
      <c r="KGV1" s="288"/>
      <c r="KGW1" s="288"/>
      <c r="KGX1" s="288"/>
      <c r="KGY1" s="288"/>
      <c r="KGZ1" s="288"/>
      <c r="KHA1" s="288"/>
      <c r="KHB1" s="288"/>
      <c r="KHC1" s="288"/>
      <c r="KHD1" s="288"/>
      <c r="KHE1" s="288"/>
      <c r="KHF1" s="288"/>
      <c r="KHG1" s="288"/>
      <c r="KHH1" s="288"/>
      <c r="KHI1" s="288"/>
      <c r="KHJ1" s="288"/>
      <c r="KHK1" s="288"/>
      <c r="KHL1" s="288"/>
      <c r="KHM1" s="288"/>
      <c r="KHN1" s="288"/>
      <c r="KHO1" s="288"/>
      <c r="KHP1" s="288"/>
      <c r="KHQ1" s="288"/>
      <c r="KHR1" s="288"/>
      <c r="KHS1" s="288"/>
      <c r="KHT1" s="288"/>
      <c r="KHU1" s="288"/>
      <c r="KHV1" s="288"/>
      <c r="KHW1" s="288"/>
      <c r="KHX1" s="288"/>
      <c r="KHY1" s="288"/>
      <c r="KHZ1" s="288"/>
      <c r="KIA1" s="288"/>
      <c r="KIB1" s="288"/>
      <c r="KIC1" s="288"/>
      <c r="KID1" s="288"/>
      <c r="KIE1" s="288"/>
      <c r="KIF1" s="288"/>
      <c r="KIG1" s="288"/>
      <c r="KIH1" s="288"/>
      <c r="KII1" s="288"/>
      <c r="KIJ1" s="288"/>
      <c r="KIK1" s="288"/>
      <c r="KIL1" s="288"/>
      <c r="KIM1" s="288"/>
      <c r="KIN1" s="288"/>
      <c r="KIO1" s="288"/>
      <c r="KIP1" s="288"/>
      <c r="KIQ1" s="288"/>
      <c r="KIR1" s="288"/>
      <c r="KIS1" s="288"/>
      <c r="KIT1" s="288"/>
      <c r="KIU1" s="288"/>
      <c r="KIV1" s="288"/>
      <c r="KIW1" s="288"/>
      <c r="KIX1" s="288"/>
      <c r="KIY1" s="288"/>
      <c r="KIZ1" s="288"/>
      <c r="KJA1" s="288"/>
      <c r="KJB1" s="288"/>
      <c r="KJC1" s="288"/>
      <c r="KJD1" s="288"/>
      <c r="KJE1" s="288"/>
      <c r="KJF1" s="288"/>
      <c r="KJG1" s="288"/>
      <c r="KJH1" s="288"/>
      <c r="KJI1" s="288"/>
      <c r="KJJ1" s="288"/>
      <c r="KJK1" s="288"/>
      <c r="KJL1" s="288"/>
      <c r="KJM1" s="288"/>
      <c r="KJN1" s="288"/>
      <c r="KJO1" s="288"/>
      <c r="KJP1" s="288"/>
      <c r="KJQ1" s="288"/>
      <c r="KJR1" s="288"/>
      <c r="KJS1" s="288"/>
      <c r="KJT1" s="288"/>
      <c r="KJU1" s="288"/>
      <c r="KJV1" s="288"/>
      <c r="KJW1" s="288"/>
      <c r="KJX1" s="288"/>
      <c r="KJY1" s="288"/>
      <c r="KJZ1" s="288"/>
      <c r="KKA1" s="288"/>
      <c r="KKB1" s="288"/>
      <c r="KKC1" s="288"/>
      <c r="KKD1" s="288"/>
      <c r="KKE1" s="288"/>
      <c r="KKF1" s="288"/>
      <c r="KKG1" s="288"/>
      <c r="KKH1" s="288"/>
      <c r="KKI1" s="288"/>
      <c r="KKJ1" s="288"/>
      <c r="KKK1" s="288"/>
      <c r="KKL1" s="288"/>
      <c r="KKM1" s="288"/>
      <c r="KKN1" s="288"/>
      <c r="KKO1" s="288"/>
      <c r="KKP1" s="288"/>
      <c r="KKQ1" s="288"/>
      <c r="KKR1" s="288"/>
      <c r="KKS1" s="288"/>
      <c r="KKT1" s="288"/>
      <c r="KKU1" s="288"/>
      <c r="KKV1" s="288"/>
      <c r="KKW1" s="288"/>
      <c r="KKX1" s="288"/>
      <c r="KKY1" s="288"/>
      <c r="KKZ1" s="288"/>
      <c r="KLA1" s="288"/>
      <c r="KLB1" s="288"/>
      <c r="KLC1" s="288"/>
      <c r="KLD1" s="288"/>
      <c r="KLE1" s="288"/>
      <c r="KLF1" s="288"/>
      <c r="KLG1" s="288"/>
      <c r="KLH1" s="288"/>
      <c r="KLI1" s="288"/>
      <c r="KLJ1" s="288"/>
      <c r="KLK1" s="288"/>
      <c r="KLL1" s="288"/>
      <c r="KLM1" s="288"/>
      <c r="KLN1" s="288"/>
      <c r="KLO1" s="288"/>
      <c r="KLP1" s="288"/>
      <c r="KLQ1" s="288"/>
      <c r="KLR1" s="288"/>
      <c r="KLS1" s="288"/>
      <c r="KLT1" s="288"/>
      <c r="KLU1" s="288"/>
      <c r="KLV1" s="288"/>
      <c r="KLW1" s="288"/>
      <c r="KLX1" s="288"/>
      <c r="KLY1" s="288"/>
      <c r="KLZ1" s="288"/>
      <c r="KMA1" s="288"/>
      <c r="KMB1" s="288"/>
      <c r="KMC1" s="288"/>
      <c r="KMD1" s="288"/>
      <c r="KME1" s="288"/>
      <c r="KMF1" s="288"/>
      <c r="KMG1" s="288"/>
      <c r="KMH1" s="288"/>
      <c r="KMI1" s="288"/>
      <c r="KMJ1" s="288"/>
      <c r="KMK1" s="288"/>
      <c r="KML1" s="288"/>
      <c r="KMM1" s="288"/>
      <c r="KMN1" s="288"/>
      <c r="KMO1" s="288"/>
      <c r="KMP1" s="288"/>
      <c r="KMQ1" s="288"/>
      <c r="KMR1" s="288"/>
      <c r="KMS1" s="288"/>
      <c r="KMT1" s="288"/>
      <c r="KMU1" s="288"/>
      <c r="KMV1" s="288"/>
      <c r="KMW1" s="288"/>
      <c r="KMX1" s="288"/>
      <c r="KMY1" s="288"/>
      <c r="KMZ1" s="288"/>
      <c r="KNA1" s="288"/>
      <c r="KNB1" s="288"/>
      <c r="KNC1" s="288"/>
      <c r="KND1" s="288"/>
      <c r="KNE1" s="288"/>
      <c r="KNF1" s="288"/>
      <c r="KNG1" s="288"/>
      <c r="KNH1" s="288"/>
      <c r="KNI1" s="288"/>
      <c r="KNJ1" s="288"/>
      <c r="KNK1" s="288"/>
      <c r="KNL1" s="288"/>
      <c r="KNM1" s="288"/>
      <c r="KNN1" s="288"/>
      <c r="KNO1" s="288"/>
      <c r="KNP1" s="288"/>
      <c r="KNQ1" s="288"/>
      <c r="KNR1" s="288"/>
      <c r="KNS1" s="288"/>
      <c r="KNT1" s="288"/>
      <c r="KNU1" s="288"/>
      <c r="KNV1" s="288"/>
      <c r="KNW1" s="288"/>
      <c r="KNX1" s="288"/>
      <c r="KNY1" s="288"/>
      <c r="KNZ1" s="288"/>
      <c r="KOA1" s="288"/>
      <c r="KOB1" s="288"/>
      <c r="KOC1" s="288"/>
      <c r="KOD1" s="288"/>
      <c r="KOE1" s="288"/>
      <c r="KOF1" s="288"/>
      <c r="KOG1" s="288"/>
      <c r="KOH1" s="288"/>
      <c r="KOI1" s="288"/>
      <c r="KOJ1" s="288"/>
      <c r="KOK1" s="288"/>
      <c r="KOL1" s="288"/>
      <c r="KOM1" s="288"/>
      <c r="KON1" s="288"/>
      <c r="KOO1" s="288"/>
      <c r="KOP1" s="288"/>
      <c r="KOQ1" s="288"/>
      <c r="KOR1" s="288"/>
      <c r="KOS1" s="288"/>
      <c r="KOT1" s="288"/>
      <c r="KOU1" s="288"/>
      <c r="KOV1" s="288"/>
      <c r="KOW1" s="288"/>
      <c r="KOX1" s="288"/>
      <c r="KOY1" s="288"/>
      <c r="KOZ1" s="288"/>
      <c r="KPA1" s="288"/>
      <c r="KPB1" s="288"/>
      <c r="KPC1" s="288"/>
      <c r="KPD1" s="288"/>
      <c r="KPE1" s="288"/>
      <c r="KPF1" s="288"/>
      <c r="KPG1" s="288"/>
      <c r="KPH1" s="288"/>
      <c r="KPI1" s="288"/>
      <c r="KPJ1" s="288"/>
      <c r="KPK1" s="288"/>
      <c r="KPL1" s="288"/>
      <c r="KPM1" s="288"/>
      <c r="KPN1" s="288"/>
      <c r="KPO1" s="288"/>
      <c r="KPP1" s="288"/>
      <c r="KPQ1" s="288"/>
      <c r="KPR1" s="288"/>
      <c r="KPS1" s="288"/>
      <c r="KPT1" s="288"/>
      <c r="KPU1" s="288"/>
      <c r="KPV1" s="288"/>
      <c r="KPW1" s="288"/>
      <c r="KPX1" s="288"/>
      <c r="KPY1" s="288"/>
      <c r="KPZ1" s="288"/>
      <c r="KQA1" s="288"/>
      <c r="KQB1" s="288"/>
      <c r="KQC1" s="288"/>
      <c r="KQD1" s="288"/>
      <c r="KQE1" s="288"/>
      <c r="KQF1" s="288"/>
      <c r="KQG1" s="288"/>
      <c r="KQH1" s="288"/>
      <c r="KQI1" s="288"/>
      <c r="KQJ1" s="288"/>
      <c r="KQK1" s="288"/>
      <c r="KQL1" s="288"/>
      <c r="KQM1" s="288"/>
      <c r="KQN1" s="288"/>
      <c r="KQO1" s="288"/>
      <c r="KQP1" s="288"/>
      <c r="KQQ1" s="288"/>
      <c r="KQR1" s="288"/>
      <c r="KQS1" s="288"/>
      <c r="KQT1" s="288"/>
      <c r="KQU1" s="288"/>
      <c r="KQV1" s="288"/>
      <c r="KQW1" s="288"/>
      <c r="KQX1" s="288"/>
      <c r="KQY1" s="288"/>
      <c r="KQZ1" s="288"/>
      <c r="KRA1" s="288"/>
      <c r="KRB1" s="288"/>
      <c r="KRC1" s="288"/>
      <c r="KRD1" s="288"/>
      <c r="KRE1" s="288"/>
      <c r="KRF1" s="288"/>
      <c r="KRG1" s="288"/>
      <c r="KRH1" s="288"/>
      <c r="KRI1" s="288"/>
      <c r="KRJ1" s="288"/>
      <c r="KRK1" s="288"/>
      <c r="KRL1" s="288"/>
      <c r="KRM1" s="288"/>
      <c r="KRN1" s="288"/>
      <c r="KRO1" s="288"/>
      <c r="KRP1" s="288"/>
      <c r="KRQ1" s="288"/>
      <c r="KRR1" s="288"/>
      <c r="KRS1" s="288"/>
      <c r="KRT1" s="288"/>
      <c r="KRU1" s="288"/>
      <c r="KRV1" s="288"/>
      <c r="KRW1" s="288"/>
      <c r="KRX1" s="288"/>
      <c r="KRY1" s="288"/>
      <c r="KRZ1" s="288"/>
      <c r="KSA1" s="288"/>
      <c r="KSB1" s="288"/>
      <c r="KSC1" s="288"/>
      <c r="KSD1" s="288"/>
      <c r="KSE1" s="288"/>
      <c r="KSF1" s="288"/>
      <c r="KSG1" s="288"/>
      <c r="KSH1" s="288"/>
      <c r="KSI1" s="288"/>
      <c r="KSJ1" s="288"/>
      <c r="KSK1" s="288"/>
      <c r="KSL1" s="288"/>
      <c r="KSM1" s="288"/>
      <c r="KSN1" s="288"/>
      <c r="KSO1" s="288"/>
      <c r="KSP1" s="288"/>
      <c r="KSQ1" s="288"/>
      <c r="KSR1" s="288"/>
      <c r="KSS1" s="288"/>
      <c r="KST1" s="288"/>
      <c r="KSU1" s="288"/>
      <c r="KSV1" s="288"/>
      <c r="KSW1" s="288"/>
      <c r="KSX1" s="288"/>
      <c r="KSY1" s="288"/>
      <c r="KSZ1" s="288"/>
      <c r="KTA1" s="288"/>
      <c r="KTB1" s="288"/>
      <c r="KTC1" s="288"/>
      <c r="KTD1" s="288"/>
      <c r="KTE1" s="288"/>
      <c r="KTF1" s="288"/>
      <c r="KTG1" s="288"/>
      <c r="KTH1" s="288"/>
      <c r="KTI1" s="288"/>
      <c r="KTJ1" s="288"/>
      <c r="KTK1" s="288"/>
      <c r="KTL1" s="288"/>
      <c r="KTM1" s="288"/>
      <c r="KTN1" s="288"/>
      <c r="KTO1" s="288"/>
      <c r="KTP1" s="288"/>
      <c r="KTQ1" s="288"/>
      <c r="KTR1" s="288"/>
      <c r="KTS1" s="288"/>
      <c r="KTT1" s="288"/>
      <c r="KTU1" s="288"/>
      <c r="KTV1" s="288"/>
      <c r="KTW1" s="288"/>
      <c r="KTX1" s="288"/>
      <c r="KTY1" s="288"/>
      <c r="KTZ1" s="288"/>
      <c r="KUA1" s="288"/>
      <c r="KUB1" s="288"/>
      <c r="KUC1" s="288"/>
      <c r="KUD1" s="288"/>
      <c r="KUE1" s="288"/>
      <c r="KUF1" s="288"/>
      <c r="KUG1" s="288"/>
      <c r="KUH1" s="288"/>
      <c r="KUI1" s="288"/>
      <c r="KUJ1" s="288"/>
      <c r="KUK1" s="288"/>
      <c r="KUL1" s="288"/>
      <c r="KUM1" s="288"/>
      <c r="KUN1" s="288"/>
      <c r="KUO1" s="288"/>
      <c r="KUP1" s="288"/>
      <c r="KUQ1" s="288"/>
      <c r="KUR1" s="288"/>
      <c r="KUS1" s="288"/>
      <c r="KUT1" s="288"/>
      <c r="KUU1" s="288"/>
      <c r="KUV1" s="288"/>
      <c r="KUW1" s="288"/>
      <c r="KUX1" s="288"/>
      <c r="KUY1" s="288"/>
      <c r="KUZ1" s="288"/>
      <c r="KVA1" s="288"/>
      <c r="KVB1" s="288"/>
      <c r="KVC1" s="288"/>
      <c r="KVD1" s="288"/>
      <c r="KVE1" s="288"/>
      <c r="KVF1" s="288"/>
      <c r="KVG1" s="288"/>
      <c r="KVH1" s="288"/>
      <c r="KVI1" s="288"/>
      <c r="KVJ1" s="288"/>
      <c r="KVK1" s="288"/>
      <c r="KVL1" s="288"/>
      <c r="KVM1" s="288"/>
      <c r="KVN1" s="288"/>
      <c r="KVO1" s="288"/>
      <c r="KVP1" s="288"/>
      <c r="KVQ1" s="288"/>
      <c r="KVR1" s="288"/>
      <c r="KVS1" s="288"/>
      <c r="KVT1" s="288"/>
      <c r="KVU1" s="288"/>
      <c r="KVV1" s="288"/>
      <c r="KVW1" s="288"/>
      <c r="KVX1" s="288"/>
      <c r="KVY1" s="288"/>
      <c r="KVZ1" s="288"/>
      <c r="KWA1" s="288"/>
      <c r="KWB1" s="288"/>
      <c r="KWC1" s="288"/>
      <c r="KWD1" s="288"/>
      <c r="KWE1" s="288"/>
      <c r="KWF1" s="288"/>
      <c r="KWG1" s="288"/>
      <c r="KWH1" s="288"/>
      <c r="KWI1" s="288"/>
      <c r="KWJ1" s="288"/>
      <c r="KWK1" s="288"/>
      <c r="KWL1" s="288"/>
      <c r="KWM1" s="288"/>
      <c r="KWN1" s="288"/>
      <c r="KWO1" s="288"/>
      <c r="KWP1" s="288"/>
      <c r="KWQ1" s="288"/>
      <c r="KWR1" s="288"/>
      <c r="KWS1" s="288"/>
      <c r="KWT1" s="288"/>
      <c r="KWU1" s="288"/>
      <c r="KWV1" s="288"/>
      <c r="KWW1" s="288"/>
      <c r="KWX1" s="288"/>
      <c r="KWY1" s="288"/>
      <c r="KWZ1" s="288"/>
      <c r="KXA1" s="288"/>
      <c r="KXB1" s="288"/>
      <c r="KXC1" s="288"/>
      <c r="KXD1" s="288"/>
      <c r="KXE1" s="288"/>
      <c r="KXF1" s="288"/>
      <c r="KXG1" s="288"/>
      <c r="KXH1" s="288"/>
      <c r="KXI1" s="288"/>
      <c r="KXJ1" s="288"/>
      <c r="KXK1" s="288"/>
      <c r="KXL1" s="288"/>
      <c r="KXM1" s="288"/>
      <c r="KXN1" s="288"/>
      <c r="KXO1" s="288"/>
      <c r="KXP1" s="288"/>
      <c r="KXQ1" s="288"/>
      <c r="KXR1" s="288"/>
      <c r="KXS1" s="288"/>
      <c r="KXT1" s="288"/>
      <c r="KXU1" s="288"/>
      <c r="KXV1" s="288"/>
      <c r="KXW1" s="288"/>
      <c r="KXX1" s="288"/>
      <c r="KXY1" s="288"/>
      <c r="KXZ1" s="288"/>
      <c r="KYA1" s="288"/>
      <c r="KYB1" s="288"/>
      <c r="KYC1" s="288"/>
      <c r="KYD1" s="288"/>
      <c r="KYE1" s="288"/>
      <c r="KYF1" s="288"/>
      <c r="KYG1" s="288"/>
      <c r="KYH1" s="288"/>
      <c r="KYI1" s="288"/>
      <c r="KYJ1" s="288"/>
      <c r="KYK1" s="288"/>
      <c r="KYL1" s="288"/>
      <c r="KYM1" s="288"/>
      <c r="KYN1" s="288"/>
      <c r="KYO1" s="288"/>
      <c r="KYP1" s="288"/>
      <c r="KYQ1" s="288"/>
      <c r="KYR1" s="288"/>
      <c r="KYS1" s="288"/>
      <c r="KYT1" s="288"/>
      <c r="KYU1" s="288"/>
      <c r="KYV1" s="288"/>
      <c r="KYW1" s="288"/>
      <c r="KYX1" s="288"/>
      <c r="KYY1" s="288"/>
      <c r="KYZ1" s="288"/>
      <c r="KZA1" s="288"/>
      <c r="KZB1" s="288"/>
      <c r="KZC1" s="288"/>
      <c r="KZD1" s="288"/>
      <c r="KZE1" s="288"/>
      <c r="KZF1" s="288"/>
      <c r="KZG1" s="288"/>
      <c r="KZH1" s="288"/>
      <c r="KZI1" s="288"/>
      <c r="KZJ1" s="288"/>
      <c r="KZK1" s="288"/>
      <c r="KZL1" s="288"/>
      <c r="KZM1" s="288"/>
      <c r="KZN1" s="288"/>
      <c r="KZO1" s="288"/>
      <c r="KZP1" s="288"/>
      <c r="KZQ1" s="288"/>
      <c r="KZR1" s="288"/>
      <c r="KZS1" s="288"/>
      <c r="KZT1" s="288"/>
      <c r="KZU1" s="288"/>
      <c r="KZV1" s="288"/>
      <c r="KZW1" s="288"/>
      <c r="KZX1" s="288"/>
      <c r="KZY1" s="288"/>
      <c r="KZZ1" s="288"/>
      <c r="LAA1" s="288"/>
      <c r="LAB1" s="288"/>
      <c r="LAC1" s="288"/>
      <c r="LAD1" s="288"/>
      <c r="LAE1" s="288"/>
      <c r="LAF1" s="288"/>
      <c r="LAG1" s="288"/>
      <c r="LAH1" s="288"/>
      <c r="LAI1" s="288"/>
      <c r="LAJ1" s="288"/>
      <c r="LAK1" s="288"/>
      <c r="LAL1" s="288"/>
      <c r="LAM1" s="288"/>
      <c r="LAN1" s="288"/>
      <c r="LAO1" s="288"/>
      <c r="LAP1" s="288"/>
      <c r="LAQ1" s="288"/>
      <c r="LAR1" s="288"/>
      <c r="LAS1" s="288"/>
      <c r="LAT1" s="288"/>
      <c r="LAU1" s="288"/>
      <c r="LAV1" s="288"/>
      <c r="LAW1" s="288"/>
      <c r="LAX1" s="288"/>
      <c r="LAY1" s="288"/>
      <c r="LAZ1" s="288"/>
      <c r="LBA1" s="288"/>
      <c r="LBB1" s="288"/>
      <c r="LBC1" s="288"/>
      <c r="LBD1" s="288"/>
      <c r="LBE1" s="288"/>
      <c r="LBF1" s="288"/>
      <c r="LBG1" s="288"/>
      <c r="LBH1" s="288"/>
      <c r="LBI1" s="288"/>
      <c r="LBJ1" s="288"/>
      <c r="LBK1" s="288"/>
      <c r="LBL1" s="288"/>
      <c r="LBM1" s="288"/>
      <c r="LBN1" s="288"/>
      <c r="LBO1" s="288"/>
      <c r="LBP1" s="288"/>
      <c r="LBQ1" s="288"/>
      <c r="LBR1" s="288"/>
      <c r="LBS1" s="288"/>
      <c r="LBT1" s="288"/>
      <c r="LBU1" s="288"/>
      <c r="LBV1" s="288"/>
      <c r="LBW1" s="288"/>
      <c r="LBX1" s="288"/>
      <c r="LBY1" s="288"/>
      <c r="LBZ1" s="288"/>
      <c r="LCA1" s="288"/>
      <c r="LCB1" s="288"/>
      <c r="LCC1" s="288"/>
      <c r="LCD1" s="288"/>
      <c r="LCE1" s="288"/>
      <c r="LCF1" s="288"/>
      <c r="LCG1" s="288"/>
      <c r="LCH1" s="288"/>
      <c r="LCI1" s="288"/>
      <c r="LCJ1" s="288"/>
      <c r="LCK1" s="288"/>
      <c r="LCL1" s="288"/>
      <c r="LCM1" s="288"/>
      <c r="LCN1" s="288"/>
      <c r="LCO1" s="288"/>
      <c r="LCP1" s="288"/>
      <c r="LCQ1" s="288"/>
      <c r="LCR1" s="288"/>
      <c r="LCS1" s="288"/>
      <c r="LCT1" s="288"/>
      <c r="LCU1" s="288"/>
      <c r="LCV1" s="288"/>
      <c r="LCW1" s="288"/>
      <c r="LCX1" s="288"/>
      <c r="LCY1" s="288"/>
      <c r="LCZ1" s="288"/>
      <c r="LDA1" s="288"/>
      <c r="LDB1" s="288"/>
      <c r="LDC1" s="288"/>
      <c r="LDD1" s="288"/>
      <c r="LDE1" s="288"/>
      <c r="LDF1" s="288"/>
      <c r="LDG1" s="288"/>
      <c r="LDH1" s="288"/>
      <c r="LDI1" s="288"/>
      <c r="LDJ1" s="288"/>
      <c r="LDK1" s="288"/>
      <c r="LDL1" s="288"/>
      <c r="LDM1" s="288"/>
      <c r="LDN1" s="288"/>
      <c r="LDO1" s="288"/>
      <c r="LDP1" s="288"/>
      <c r="LDQ1" s="288"/>
      <c r="LDR1" s="288"/>
      <c r="LDS1" s="288"/>
      <c r="LDT1" s="288"/>
      <c r="LDU1" s="288"/>
      <c r="LDV1" s="288"/>
      <c r="LDW1" s="288"/>
      <c r="LDX1" s="288"/>
      <c r="LDY1" s="288"/>
      <c r="LDZ1" s="288"/>
      <c r="LEA1" s="288"/>
      <c r="LEB1" s="288"/>
      <c r="LEC1" s="288"/>
      <c r="LED1" s="288"/>
      <c r="LEE1" s="288"/>
      <c r="LEF1" s="288"/>
      <c r="LEG1" s="288"/>
      <c r="LEH1" s="288"/>
      <c r="LEI1" s="288"/>
      <c r="LEJ1" s="288"/>
      <c r="LEK1" s="288"/>
      <c r="LEL1" s="288"/>
      <c r="LEM1" s="288"/>
      <c r="LEN1" s="288"/>
      <c r="LEO1" s="288"/>
      <c r="LEP1" s="288"/>
      <c r="LEQ1" s="288"/>
      <c r="LER1" s="288"/>
      <c r="LES1" s="288"/>
      <c r="LET1" s="288"/>
      <c r="LEU1" s="288"/>
      <c r="LEV1" s="288"/>
      <c r="LEW1" s="288"/>
      <c r="LEX1" s="288"/>
      <c r="LEY1" s="288"/>
      <c r="LEZ1" s="288"/>
      <c r="LFA1" s="288"/>
      <c r="LFB1" s="288"/>
      <c r="LFC1" s="288"/>
      <c r="LFD1" s="288"/>
      <c r="LFE1" s="288"/>
      <c r="LFF1" s="288"/>
      <c r="LFG1" s="288"/>
      <c r="LFH1" s="288"/>
      <c r="LFI1" s="288"/>
      <c r="LFJ1" s="288"/>
      <c r="LFK1" s="288"/>
      <c r="LFL1" s="288"/>
      <c r="LFM1" s="288"/>
      <c r="LFN1" s="288"/>
      <c r="LFO1" s="288"/>
      <c r="LFP1" s="288"/>
      <c r="LFQ1" s="288"/>
      <c r="LFR1" s="288"/>
      <c r="LFS1" s="288"/>
      <c r="LFT1" s="288"/>
      <c r="LFU1" s="288"/>
      <c r="LFV1" s="288"/>
      <c r="LFW1" s="288"/>
      <c r="LFX1" s="288"/>
      <c r="LFY1" s="288"/>
      <c r="LFZ1" s="288"/>
      <c r="LGA1" s="288"/>
      <c r="LGB1" s="288"/>
      <c r="LGC1" s="288"/>
      <c r="LGD1" s="288"/>
      <c r="LGE1" s="288"/>
      <c r="LGF1" s="288"/>
      <c r="LGG1" s="288"/>
      <c r="LGH1" s="288"/>
      <c r="LGI1" s="288"/>
      <c r="LGJ1" s="288"/>
      <c r="LGK1" s="288"/>
      <c r="LGL1" s="288"/>
      <c r="LGM1" s="288"/>
      <c r="LGN1" s="288"/>
      <c r="LGO1" s="288"/>
      <c r="LGP1" s="288"/>
      <c r="LGQ1" s="288"/>
      <c r="LGR1" s="288"/>
      <c r="LGS1" s="288"/>
      <c r="LGT1" s="288"/>
      <c r="LGU1" s="288"/>
      <c r="LGV1" s="288"/>
      <c r="LGW1" s="288"/>
      <c r="LGX1" s="288"/>
      <c r="LGY1" s="288"/>
      <c r="LGZ1" s="288"/>
      <c r="LHA1" s="288"/>
      <c r="LHB1" s="288"/>
      <c r="LHC1" s="288"/>
      <c r="LHD1" s="288"/>
      <c r="LHE1" s="288"/>
      <c r="LHF1" s="288"/>
      <c r="LHG1" s="288"/>
      <c r="LHH1" s="288"/>
      <c r="LHI1" s="288"/>
      <c r="LHJ1" s="288"/>
      <c r="LHK1" s="288"/>
      <c r="LHL1" s="288"/>
      <c r="LHM1" s="288"/>
      <c r="LHN1" s="288"/>
      <c r="LHO1" s="288"/>
      <c r="LHP1" s="288"/>
      <c r="LHQ1" s="288"/>
      <c r="LHR1" s="288"/>
      <c r="LHS1" s="288"/>
      <c r="LHT1" s="288"/>
      <c r="LHU1" s="288"/>
      <c r="LHV1" s="288"/>
      <c r="LHW1" s="288"/>
      <c r="LHX1" s="288"/>
      <c r="LHY1" s="288"/>
      <c r="LHZ1" s="288"/>
      <c r="LIA1" s="288"/>
      <c r="LIB1" s="288"/>
      <c r="LIC1" s="288"/>
      <c r="LID1" s="288"/>
      <c r="LIE1" s="288"/>
      <c r="LIF1" s="288"/>
      <c r="LIG1" s="288"/>
      <c r="LIH1" s="288"/>
      <c r="LII1" s="288"/>
      <c r="LIJ1" s="288"/>
      <c r="LIK1" s="288"/>
      <c r="LIL1" s="288"/>
      <c r="LIM1" s="288"/>
      <c r="LIN1" s="288"/>
      <c r="LIO1" s="288"/>
      <c r="LIP1" s="288"/>
      <c r="LIQ1" s="288"/>
      <c r="LIR1" s="288"/>
      <c r="LIS1" s="288"/>
      <c r="LIT1" s="288"/>
      <c r="LIU1" s="288"/>
      <c r="LIV1" s="288"/>
      <c r="LIW1" s="288"/>
      <c r="LIX1" s="288"/>
      <c r="LIY1" s="288"/>
      <c r="LIZ1" s="288"/>
      <c r="LJA1" s="288"/>
      <c r="LJB1" s="288"/>
      <c r="LJC1" s="288"/>
      <c r="LJD1" s="288"/>
      <c r="LJE1" s="288"/>
      <c r="LJF1" s="288"/>
      <c r="LJG1" s="288"/>
      <c r="LJH1" s="288"/>
      <c r="LJI1" s="288"/>
      <c r="LJJ1" s="288"/>
      <c r="LJK1" s="288"/>
      <c r="LJL1" s="288"/>
      <c r="LJM1" s="288"/>
      <c r="LJN1" s="288"/>
      <c r="LJO1" s="288"/>
      <c r="LJP1" s="288"/>
      <c r="LJQ1" s="288"/>
      <c r="LJR1" s="288"/>
      <c r="LJS1" s="288"/>
      <c r="LJT1" s="288"/>
      <c r="LJU1" s="288"/>
      <c r="LJV1" s="288"/>
      <c r="LJW1" s="288"/>
      <c r="LJX1" s="288"/>
      <c r="LJY1" s="288"/>
      <c r="LJZ1" s="288"/>
      <c r="LKA1" s="288"/>
      <c r="LKB1" s="288"/>
      <c r="LKC1" s="288"/>
      <c r="LKD1" s="288"/>
      <c r="LKE1" s="288"/>
      <c r="LKF1" s="288"/>
      <c r="LKG1" s="288"/>
      <c r="LKH1" s="288"/>
      <c r="LKI1" s="288"/>
      <c r="LKJ1" s="288"/>
      <c r="LKK1" s="288"/>
      <c r="LKL1" s="288"/>
      <c r="LKM1" s="288"/>
      <c r="LKN1" s="288"/>
      <c r="LKO1" s="288"/>
      <c r="LKP1" s="288"/>
      <c r="LKQ1" s="288"/>
      <c r="LKR1" s="288"/>
      <c r="LKS1" s="288"/>
      <c r="LKT1" s="288"/>
      <c r="LKU1" s="288"/>
      <c r="LKV1" s="288"/>
      <c r="LKW1" s="288"/>
      <c r="LKX1" s="288"/>
      <c r="LKY1" s="288"/>
      <c r="LKZ1" s="288"/>
      <c r="LLA1" s="288"/>
      <c r="LLB1" s="288"/>
      <c r="LLC1" s="288"/>
      <c r="LLD1" s="288"/>
      <c r="LLE1" s="288"/>
      <c r="LLF1" s="288"/>
      <c r="LLG1" s="288"/>
      <c r="LLH1" s="288"/>
      <c r="LLI1" s="288"/>
      <c r="LLJ1" s="288"/>
      <c r="LLK1" s="288"/>
      <c r="LLL1" s="288"/>
      <c r="LLM1" s="288"/>
      <c r="LLN1" s="288"/>
      <c r="LLO1" s="288"/>
      <c r="LLP1" s="288"/>
      <c r="LLQ1" s="288"/>
      <c r="LLR1" s="288"/>
      <c r="LLS1" s="288"/>
      <c r="LLT1" s="288"/>
      <c r="LLU1" s="288"/>
      <c r="LLV1" s="288"/>
      <c r="LLW1" s="288"/>
      <c r="LLX1" s="288"/>
      <c r="LLY1" s="288"/>
      <c r="LLZ1" s="288"/>
      <c r="LMA1" s="288"/>
      <c r="LMB1" s="288"/>
      <c r="LMC1" s="288"/>
      <c r="LMD1" s="288"/>
      <c r="LME1" s="288"/>
      <c r="LMF1" s="288"/>
      <c r="LMG1" s="288"/>
      <c r="LMH1" s="288"/>
      <c r="LMI1" s="288"/>
      <c r="LMJ1" s="288"/>
      <c r="LMK1" s="288"/>
      <c r="LML1" s="288"/>
      <c r="LMM1" s="288"/>
      <c r="LMN1" s="288"/>
      <c r="LMO1" s="288"/>
      <c r="LMP1" s="288"/>
      <c r="LMQ1" s="288"/>
      <c r="LMR1" s="288"/>
      <c r="LMS1" s="288"/>
      <c r="LMT1" s="288"/>
      <c r="LMU1" s="288"/>
      <c r="LMV1" s="288"/>
      <c r="LMW1" s="288"/>
      <c r="LMX1" s="288"/>
      <c r="LMY1" s="288"/>
      <c r="LMZ1" s="288"/>
      <c r="LNA1" s="288"/>
      <c r="LNB1" s="288"/>
      <c r="LNC1" s="288"/>
      <c r="LND1" s="288"/>
      <c r="LNE1" s="288"/>
      <c r="LNF1" s="288"/>
      <c r="LNG1" s="288"/>
      <c r="LNH1" s="288"/>
      <c r="LNI1" s="288"/>
      <c r="LNJ1" s="288"/>
      <c r="LNK1" s="288"/>
      <c r="LNL1" s="288"/>
      <c r="LNM1" s="288"/>
      <c r="LNN1" s="288"/>
      <c r="LNO1" s="288"/>
      <c r="LNP1" s="288"/>
      <c r="LNQ1" s="288"/>
      <c r="LNR1" s="288"/>
      <c r="LNS1" s="288"/>
      <c r="LNT1" s="288"/>
      <c r="LNU1" s="288"/>
      <c r="LNV1" s="288"/>
      <c r="LNW1" s="288"/>
      <c r="LNX1" s="288"/>
      <c r="LNY1" s="288"/>
      <c r="LNZ1" s="288"/>
      <c r="LOA1" s="288"/>
      <c r="LOB1" s="288"/>
      <c r="LOC1" s="288"/>
      <c r="LOD1" s="288"/>
      <c r="LOE1" s="288"/>
      <c r="LOF1" s="288"/>
      <c r="LOG1" s="288"/>
      <c r="LOH1" s="288"/>
      <c r="LOI1" s="288"/>
      <c r="LOJ1" s="288"/>
      <c r="LOK1" s="288"/>
      <c r="LOL1" s="288"/>
      <c r="LOM1" s="288"/>
      <c r="LON1" s="288"/>
      <c r="LOO1" s="288"/>
      <c r="LOP1" s="288"/>
      <c r="LOQ1" s="288"/>
      <c r="LOR1" s="288"/>
      <c r="LOS1" s="288"/>
      <c r="LOT1" s="288"/>
      <c r="LOU1" s="288"/>
      <c r="LOV1" s="288"/>
      <c r="LOW1" s="288"/>
      <c r="LOX1" s="288"/>
      <c r="LOY1" s="288"/>
      <c r="LOZ1" s="288"/>
      <c r="LPA1" s="288"/>
      <c r="LPB1" s="288"/>
      <c r="LPC1" s="288"/>
      <c r="LPD1" s="288"/>
      <c r="LPE1" s="288"/>
      <c r="LPF1" s="288"/>
      <c r="LPG1" s="288"/>
      <c r="LPH1" s="288"/>
      <c r="LPI1" s="288"/>
      <c r="LPJ1" s="288"/>
      <c r="LPK1" s="288"/>
      <c r="LPL1" s="288"/>
      <c r="LPM1" s="288"/>
      <c r="LPN1" s="288"/>
      <c r="LPO1" s="288"/>
      <c r="LPP1" s="288"/>
      <c r="LPQ1" s="288"/>
      <c r="LPR1" s="288"/>
      <c r="LPS1" s="288"/>
      <c r="LPT1" s="288"/>
      <c r="LPU1" s="288"/>
      <c r="LPV1" s="288"/>
      <c r="LPW1" s="288"/>
      <c r="LPX1" s="288"/>
      <c r="LPY1" s="288"/>
      <c r="LPZ1" s="288"/>
      <c r="LQA1" s="288"/>
      <c r="LQB1" s="288"/>
      <c r="LQC1" s="288"/>
      <c r="LQD1" s="288"/>
      <c r="LQE1" s="288"/>
      <c r="LQF1" s="288"/>
      <c r="LQG1" s="288"/>
      <c r="LQH1" s="288"/>
      <c r="LQI1" s="288"/>
      <c r="LQJ1" s="288"/>
      <c r="LQK1" s="288"/>
      <c r="LQL1" s="288"/>
      <c r="LQM1" s="288"/>
      <c r="LQN1" s="288"/>
      <c r="LQO1" s="288"/>
      <c r="LQP1" s="288"/>
      <c r="LQQ1" s="288"/>
      <c r="LQR1" s="288"/>
      <c r="LQS1" s="288"/>
      <c r="LQT1" s="288"/>
      <c r="LQU1" s="288"/>
      <c r="LQV1" s="288"/>
      <c r="LQW1" s="288"/>
      <c r="LQX1" s="288"/>
      <c r="LQY1" s="288"/>
      <c r="LQZ1" s="288"/>
      <c r="LRA1" s="288"/>
      <c r="LRB1" s="288"/>
      <c r="LRC1" s="288"/>
      <c r="LRD1" s="288"/>
      <c r="LRE1" s="288"/>
      <c r="LRF1" s="288"/>
      <c r="LRG1" s="288"/>
      <c r="LRH1" s="288"/>
      <c r="LRI1" s="288"/>
      <c r="LRJ1" s="288"/>
      <c r="LRK1" s="288"/>
      <c r="LRL1" s="288"/>
      <c r="LRM1" s="288"/>
      <c r="LRN1" s="288"/>
      <c r="LRO1" s="288"/>
      <c r="LRP1" s="288"/>
      <c r="LRQ1" s="288"/>
      <c r="LRR1" s="288"/>
      <c r="LRS1" s="288"/>
      <c r="LRT1" s="288"/>
      <c r="LRU1" s="288"/>
      <c r="LRV1" s="288"/>
      <c r="LRW1" s="288"/>
      <c r="LRX1" s="288"/>
      <c r="LRY1" s="288"/>
      <c r="LRZ1" s="288"/>
      <c r="LSA1" s="288"/>
      <c r="LSB1" s="288"/>
      <c r="LSC1" s="288"/>
      <c r="LSD1" s="288"/>
      <c r="LSE1" s="288"/>
      <c r="LSF1" s="288"/>
      <c r="LSG1" s="288"/>
      <c r="LSH1" s="288"/>
      <c r="LSI1" s="288"/>
      <c r="LSJ1" s="288"/>
      <c r="LSK1" s="288"/>
      <c r="LSL1" s="288"/>
      <c r="LSM1" s="288"/>
      <c r="LSN1" s="288"/>
      <c r="LSO1" s="288"/>
      <c r="LSP1" s="288"/>
      <c r="LSQ1" s="288"/>
      <c r="LSR1" s="288"/>
      <c r="LSS1" s="288"/>
      <c r="LST1" s="288"/>
      <c r="LSU1" s="288"/>
      <c r="LSV1" s="288"/>
      <c r="LSW1" s="288"/>
      <c r="LSX1" s="288"/>
      <c r="LSY1" s="288"/>
      <c r="LSZ1" s="288"/>
      <c r="LTA1" s="288"/>
      <c r="LTB1" s="288"/>
      <c r="LTC1" s="288"/>
      <c r="LTD1" s="288"/>
      <c r="LTE1" s="288"/>
      <c r="LTF1" s="288"/>
      <c r="LTG1" s="288"/>
      <c r="LTH1" s="288"/>
      <c r="LTI1" s="288"/>
      <c r="LTJ1" s="288"/>
      <c r="LTK1" s="288"/>
      <c r="LTL1" s="288"/>
      <c r="LTM1" s="288"/>
      <c r="LTN1" s="288"/>
      <c r="LTO1" s="288"/>
      <c r="LTP1" s="288"/>
      <c r="LTQ1" s="288"/>
      <c r="LTR1" s="288"/>
      <c r="LTS1" s="288"/>
      <c r="LTT1" s="288"/>
      <c r="LTU1" s="288"/>
      <c r="LTV1" s="288"/>
      <c r="LTW1" s="288"/>
      <c r="LTX1" s="288"/>
      <c r="LTY1" s="288"/>
      <c r="LTZ1" s="288"/>
      <c r="LUA1" s="288"/>
      <c r="LUB1" s="288"/>
      <c r="LUC1" s="288"/>
      <c r="LUD1" s="288"/>
      <c r="LUE1" s="288"/>
      <c r="LUF1" s="288"/>
      <c r="LUG1" s="288"/>
      <c r="LUH1" s="288"/>
      <c r="LUI1" s="288"/>
      <c r="LUJ1" s="288"/>
      <c r="LUK1" s="288"/>
      <c r="LUL1" s="288"/>
      <c r="LUM1" s="288"/>
      <c r="LUN1" s="288"/>
      <c r="LUO1" s="288"/>
      <c r="LUP1" s="288"/>
      <c r="LUQ1" s="288"/>
      <c r="LUR1" s="288"/>
      <c r="LUS1" s="288"/>
      <c r="LUT1" s="288"/>
      <c r="LUU1" s="288"/>
      <c r="LUV1" s="288"/>
      <c r="LUW1" s="288"/>
      <c r="LUX1" s="288"/>
      <c r="LUY1" s="288"/>
      <c r="LUZ1" s="288"/>
      <c r="LVA1" s="288"/>
      <c r="LVB1" s="288"/>
      <c r="LVC1" s="288"/>
      <c r="LVD1" s="288"/>
      <c r="LVE1" s="288"/>
      <c r="LVF1" s="288"/>
      <c r="LVG1" s="288"/>
      <c r="LVH1" s="288"/>
      <c r="LVI1" s="288"/>
      <c r="LVJ1" s="288"/>
      <c r="LVK1" s="288"/>
      <c r="LVL1" s="288"/>
      <c r="LVM1" s="288"/>
      <c r="LVN1" s="288"/>
      <c r="LVO1" s="288"/>
      <c r="LVP1" s="288"/>
      <c r="LVQ1" s="288"/>
      <c r="LVR1" s="288"/>
      <c r="LVS1" s="288"/>
      <c r="LVT1" s="288"/>
      <c r="LVU1" s="288"/>
      <c r="LVV1" s="288"/>
      <c r="LVW1" s="288"/>
      <c r="LVX1" s="288"/>
      <c r="LVY1" s="288"/>
      <c r="LVZ1" s="288"/>
      <c r="LWA1" s="288"/>
      <c r="LWB1" s="288"/>
      <c r="LWC1" s="288"/>
      <c r="LWD1" s="288"/>
      <c r="LWE1" s="288"/>
      <c r="LWF1" s="288"/>
      <c r="LWG1" s="288"/>
      <c r="LWH1" s="288"/>
      <c r="LWI1" s="288"/>
      <c r="LWJ1" s="288"/>
      <c r="LWK1" s="288"/>
      <c r="LWL1" s="288"/>
      <c r="LWM1" s="288"/>
      <c r="LWN1" s="288"/>
      <c r="LWO1" s="288"/>
      <c r="LWP1" s="288"/>
      <c r="LWQ1" s="288"/>
      <c r="LWR1" s="288"/>
      <c r="LWS1" s="288"/>
      <c r="LWT1" s="288"/>
      <c r="LWU1" s="288"/>
      <c r="LWV1" s="288"/>
      <c r="LWW1" s="288"/>
      <c r="LWX1" s="288"/>
      <c r="LWY1" s="288"/>
      <c r="LWZ1" s="288"/>
      <c r="LXA1" s="288"/>
      <c r="LXB1" s="288"/>
      <c r="LXC1" s="288"/>
      <c r="LXD1" s="288"/>
      <c r="LXE1" s="288"/>
      <c r="LXF1" s="288"/>
      <c r="LXG1" s="288"/>
      <c r="LXH1" s="288"/>
      <c r="LXI1" s="288"/>
      <c r="LXJ1" s="288"/>
      <c r="LXK1" s="288"/>
      <c r="LXL1" s="288"/>
      <c r="LXM1" s="288"/>
      <c r="LXN1" s="288"/>
      <c r="LXO1" s="288"/>
      <c r="LXP1" s="288"/>
      <c r="LXQ1" s="288"/>
      <c r="LXR1" s="288"/>
      <c r="LXS1" s="288"/>
      <c r="LXT1" s="288"/>
      <c r="LXU1" s="288"/>
      <c r="LXV1" s="288"/>
      <c r="LXW1" s="288"/>
      <c r="LXX1" s="288"/>
      <c r="LXY1" s="288"/>
      <c r="LXZ1" s="288"/>
      <c r="LYA1" s="288"/>
      <c r="LYB1" s="288"/>
      <c r="LYC1" s="288"/>
      <c r="LYD1" s="288"/>
      <c r="LYE1" s="288"/>
      <c r="LYF1" s="288"/>
      <c r="LYG1" s="288"/>
      <c r="LYH1" s="288"/>
      <c r="LYI1" s="288"/>
      <c r="LYJ1" s="288"/>
      <c r="LYK1" s="288"/>
      <c r="LYL1" s="288"/>
      <c r="LYM1" s="288"/>
      <c r="LYN1" s="288"/>
      <c r="LYO1" s="288"/>
      <c r="LYP1" s="288"/>
      <c r="LYQ1" s="288"/>
      <c r="LYR1" s="288"/>
      <c r="LYS1" s="288"/>
      <c r="LYT1" s="288"/>
      <c r="LYU1" s="288"/>
      <c r="LYV1" s="288"/>
      <c r="LYW1" s="288"/>
      <c r="LYX1" s="288"/>
      <c r="LYY1" s="288"/>
      <c r="LYZ1" s="288"/>
      <c r="LZA1" s="288"/>
      <c r="LZB1" s="288"/>
      <c r="LZC1" s="288"/>
      <c r="LZD1" s="288"/>
      <c r="LZE1" s="288"/>
      <c r="LZF1" s="288"/>
      <c r="LZG1" s="288"/>
      <c r="LZH1" s="288"/>
      <c r="LZI1" s="288"/>
      <c r="LZJ1" s="288"/>
      <c r="LZK1" s="288"/>
      <c r="LZL1" s="288"/>
      <c r="LZM1" s="288"/>
      <c r="LZN1" s="288"/>
      <c r="LZO1" s="288"/>
      <c r="LZP1" s="288"/>
      <c r="LZQ1" s="288"/>
      <c r="LZR1" s="288"/>
      <c r="LZS1" s="288"/>
      <c r="LZT1" s="288"/>
      <c r="LZU1" s="288"/>
      <c r="LZV1" s="288"/>
      <c r="LZW1" s="288"/>
      <c r="LZX1" s="288"/>
      <c r="LZY1" s="288"/>
      <c r="LZZ1" s="288"/>
      <c r="MAA1" s="288"/>
      <c r="MAB1" s="288"/>
      <c r="MAC1" s="288"/>
      <c r="MAD1" s="288"/>
      <c r="MAE1" s="288"/>
      <c r="MAF1" s="288"/>
      <c r="MAG1" s="288"/>
      <c r="MAH1" s="288"/>
      <c r="MAI1" s="288"/>
      <c r="MAJ1" s="288"/>
      <c r="MAK1" s="288"/>
      <c r="MAL1" s="288"/>
      <c r="MAM1" s="288"/>
      <c r="MAN1" s="288"/>
      <c r="MAO1" s="288"/>
      <c r="MAP1" s="288"/>
      <c r="MAQ1" s="288"/>
      <c r="MAR1" s="288"/>
      <c r="MAS1" s="288"/>
      <c r="MAT1" s="288"/>
      <c r="MAU1" s="288"/>
      <c r="MAV1" s="288"/>
      <c r="MAW1" s="288"/>
      <c r="MAX1" s="288"/>
      <c r="MAY1" s="288"/>
      <c r="MAZ1" s="288"/>
      <c r="MBA1" s="288"/>
      <c r="MBB1" s="288"/>
      <c r="MBC1" s="288"/>
      <c r="MBD1" s="288"/>
      <c r="MBE1" s="288"/>
      <c r="MBF1" s="288"/>
      <c r="MBG1" s="288"/>
      <c r="MBH1" s="288"/>
      <c r="MBI1" s="288"/>
      <c r="MBJ1" s="288"/>
      <c r="MBK1" s="288"/>
      <c r="MBL1" s="288"/>
      <c r="MBM1" s="288"/>
      <c r="MBN1" s="288"/>
      <c r="MBO1" s="288"/>
      <c r="MBP1" s="288"/>
      <c r="MBQ1" s="288"/>
      <c r="MBR1" s="288"/>
      <c r="MBS1" s="288"/>
      <c r="MBT1" s="288"/>
      <c r="MBU1" s="288"/>
      <c r="MBV1" s="288"/>
      <c r="MBW1" s="288"/>
      <c r="MBX1" s="288"/>
      <c r="MBY1" s="288"/>
      <c r="MBZ1" s="288"/>
      <c r="MCA1" s="288"/>
      <c r="MCB1" s="288"/>
      <c r="MCC1" s="288"/>
      <c r="MCD1" s="288"/>
      <c r="MCE1" s="288"/>
      <c r="MCF1" s="288"/>
      <c r="MCG1" s="288"/>
      <c r="MCH1" s="288"/>
      <c r="MCI1" s="288"/>
      <c r="MCJ1" s="288"/>
      <c r="MCK1" s="288"/>
      <c r="MCL1" s="288"/>
      <c r="MCM1" s="288"/>
      <c r="MCN1" s="288"/>
      <c r="MCO1" s="288"/>
      <c r="MCP1" s="288"/>
      <c r="MCQ1" s="288"/>
      <c r="MCR1" s="288"/>
      <c r="MCS1" s="288"/>
      <c r="MCT1" s="288"/>
      <c r="MCU1" s="288"/>
      <c r="MCV1" s="288"/>
      <c r="MCW1" s="288"/>
      <c r="MCX1" s="288"/>
      <c r="MCY1" s="288"/>
      <c r="MCZ1" s="288"/>
      <c r="MDA1" s="288"/>
      <c r="MDB1" s="288"/>
      <c r="MDC1" s="288"/>
      <c r="MDD1" s="288"/>
      <c r="MDE1" s="288"/>
      <c r="MDF1" s="288"/>
      <c r="MDG1" s="288"/>
      <c r="MDH1" s="288"/>
      <c r="MDI1" s="288"/>
      <c r="MDJ1" s="288"/>
      <c r="MDK1" s="288"/>
      <c r="MDL1" s="288"/>
      <c r="MDM1" s="288"/>
      <c r="MDN1" s="288"/>
      <c r="MDO1" s="288"/>
      <c r="MDP1" s="288"/>
      <c r="MDQ1" s="288"/>
      <c r="MDR1" s="288"/>
      <c r="MDS1" s="288"/>
      <c r="MDT1" s="288"/>
      <c r="MDU1" s="288"/>
      <c r="MDV1" s="288"/>
      <c r="MDW1" s="288"/>
      <c r="MDX1" s="288"/>
      <c r="MDY1" s="288"/>
      <c r="MDZ1" s="288"/>
      <c r="MEA1" s="288"/>
      <c r="MEB1" s="288"/>
      <c r="MEC1" s="288"/>
      <c r="MED1" s="288"/>
      <c r="MEE1" s="288"/>
      <c r="MEF1" s="288"/>
      <c r="MEG1" s="288"/>
      <c r="MEH1" s="288"/>
      <c r="MEI1" s="288"/>
      <c r="MEJ1" s="288"/>
      <c r="MEK1" s="288"/>
      <c r="MEL1" s="288"/>
      <c r="MEM1" s="288"/>
      <c r="MEN1" s="288"/>
      <c r="MEO1" s="288"/>
      <c r="MEP1" s="288"/>
      <c r="MEQ1" s="288"/>
      <c r="MER1" s="288"/>
      <c r="MES1" s="288"/>
      <c r="MET1" s="288"/>
      <c r="MEU1" s="288"/>
      <c r="MEV1" s="288"/>
      <c r="MEW1" s="288"/>
      <c r="MEX1" s="288"/>
      <c r="MEY1" s="288"/>
      <c r="MEZ1" s="288"/>
      <c r="MFA1" s="288"/>
      <c r="MFB1" s="288"/>
      <c r="MFC1" s="288"/>
      <c r="MFD1" s="288"/>
      <c r="MFE1" s="288"/>
      <c r="MFF1" s="288"/>
      <c r="MFG1" s="288"/>
      <c r="MFH1" s="288"/>
      <c r="MFI1" s="288"/>
      <c r="MFJ1" s="288"/>
      <c r="MFK1" s="288"/>
      <c r="MFL1" s="288"/>
      <c r="MFM1" s="288"/>
      <c r="MFN1" s="288"/>
      <c r="MFO1" s="288"/>
      <c r="MFP1" s="288"/>
      <c r="MFQ1" s="288"/>
      <c r="MFR1" s="288"/>
      <c r="MFS1" s="288"/>
      <c r="MFT1" s="288"/>
      <c r="MFU1" s="288"/>
      <c r="MFV1" s="288"/>
      <c r="MFW1" s="288"/>
      <c r="MFX1" s="288"/>
      <c r="MFY1" s="288"/>
      <c r="MFZ1" s="288"/>
      <c r="MGA1" s="288"/>
      <c r="MGB1" s="288"/>
      <c r="MGC1" s="288"/>
      <c r="MGD1" s="288"/>
      <c r="MGE1" s="288"/>
      <c r="MGF1" s="288"/>
      <c r="MGG1" s="288"/>
      <c r="MGH1" s="288"/>
      <c r="MGI1" s="288"/>
      <c r="MGJ1" s="288"/>
      <c r="MGK1" s="288"/>
      <c r="MGL1" s="288"/>
      <c r="MGM1" s="288"/>
      <c r="MGN1" s="288"/>
      <c r="MGO1" s="288"/>
      <c r="MGP1" s="288"/>
      <c r="MGQ1" s="288"/>
      <c r="MGR1" s="288"/>
      <c r="MGS1" s="288"/>
      <c r="MGT1" s="288"/>
      <c r="MGU1" s="288"/>
      <c r="MGV1" s="288"/>
      <c r="MGW1" s="288"/>
      <c r="MGX1" s="288"/>
      <c r="MGY1" s="288"/>
      <c r="MGZ1" s="288"/>
      <c r="MHA1" s="288"/>
      <c r="MHB1" s="288"/>
      <c r="MHC1" s="288"/>
      <c r="MHD1" s="288"/>
      <c r="MHE1" s="288"/>
      <c r="MHF1" s="288"/>
      <c r="MHG1" s="288"/>
      <c r="MHH1" s="288"/>
      <c r="MHI1" s="288"/>
      <c r="MHJ1" s="288"/>
      <c r="MHK1" s="288"/>
      <c r="MHL1" s="288"/>
      <c r="MHM1" s="288"/>
      <c r="MHN1" s="288"/>
      <c r="MHO1" s="288"/>
      <c r="MHP1" s="288"/>
      <c r="MHQ1" s="288"/>
      <c r="MHR1" s="288"/>
      <c r="MHS1" s="288"/>
      <c r="MHT1" s="288"/>
      <c r="MHU1" s="288"/>
      <c r="MHV1" s="288"/>
      <c r="MHW1" s="288"/>
      <c r="MHX1" s="288"/>
      <c r="MHY1" s="288"/>
      <c r="MHZ1" s="288"/>
      <c r="MIA1" s="288"/>
      <c r="MIB1" s="288"/>
      <c r="MIC1" s="288"/>
      <c r="MID1" s="288"/>
      <c r="MIE1" s="288"/>
      <c r="MIF1" s="288"/>
      <c r="MIG1" s="288"/>
      <c r="MIH1" s="288"/>
      <c r="MII1" s="288"/>
      <c r="MIJ1" s="288"/>
      <c r="MIK1" s="288"/>
      <c r="MIL1" s="288"/>
      <c r="MIM1" s="288"/>
      <c r="MIN1" s="288"/>
      <c r="MIO1" s="288"/>
      <c r="MIP1" s="288"/>
      <c r="MIQ1" s="288"/>
      <c r="MIR1" s="288"/>
      <c r="MIS1" s="288"/>
      <c r="MIT1" s="288"/>
      <c r="MIU1" s="288"/>
      <c r="MIV1" s="288"/>
      <c r="MIW1" s="288"/>
      <c r="MIX1" s="288"/>
      <c r="MIY1" s="288"/>
      <c r="MIZ1" s="288"/>
      <c r="MJA1" s="288"/>
      <c r="MJB1" s="288"/>
      <c r="MJC1" s="288"/>
      <c r="MJD1" s="288"/>
      <c r="MJE1" s="288"/>
      <c r="MJF1" s="288"/>
      <c r="MJG1" s="288"/>
      <c r="MJH1" s="288"/>
      <c r="MJI1" s="288"/>
      <c r="MJJ1" s="288"/>
      <c r="MJK1" s="288"/>
      <c r="MJL1" s="288"/>
      <c r="MJM1" s="288"/>
      <c r="MJN1" s="288"/>
      <c r="MJO1" s="288"/>
      <c r="MJP1" s="288"/>
      <c r="MJQ1" s="288"/>
      <c r="MJR1" s="288"/>
      <c r="MJS1" s="288"/>
      <c r="MJT1" s="288"/>
      <c r="MJU1" s="288"/>
      <c r="MJV1" s="288"/>
      <c r="MJW1" s="288"/>
      <c r="MJX1" s="288"/>
      <c r="MJY1" s="288"/>
      <c r="MJZ1" s="288"/>
      <c r="MKA1" s="288"/>
      <c r="MKB1" s="288"/>
      <c r="MKC1" s="288"/>
      <c r="MKD1" s="288"/>
      <c r="MKE1" s="288"/>
      <c r="MKF1" s="288"/>
      <c r="MKG1" s="288"/>
      <c r="MKH1" s="288"/>
      <c r="MKI1" s="288"/>
      <c r="MKJ1" s="288"/>
      <c r="MKK1" s="288"/>
      <c r="MKL1" s="288"/>
      <c r="MKM1" s="288"/>
      <c r="MKN1" s="288"/>
      <c r="MKO1" s="288"/>
      <c r="MKP1" s="288"/>
      <c r="MKQ1" s="288"/>
      <c r="MKR1" s="288"/>
      <c r="MKS1" s="288"/>
      <c r="MKT1" s="288"/>
      <c r="MKU1" s="288"/>
      <c r="MKV1" s="288"/>
      <c r="MKW1" s="288"/>
      <c r="MKX1" s="288"/>
      <c r="MKY1" s="288"/>
      <c r="MKZ1" s="288"/>
      <c r="MLA1" s="288"/>
      <c r="MLB1" s="288"/>
      <c r="MLC1" s="288"/>
      <c r="MLD1" s="288"/>
      <c r="MLE1" s="288"/>
      <c r="MLF1" s="288"/>
      <c r="MLG1" s="288"/>
      <c r="MLH1" s="288"/>
      <c r="MLI1" s="288"/>
      <c r="MLJ1" s="288"/>
      <c r="MLK1" s="288"/>
      <c r="MLL1" s="288"/>
      <c r="MLM1" s="288"/>
      <c r="MLN1" s="288"/>
      <c r="MLO1" s="288"/>
      <c r="MLP1" s="288"/>
      <c r="MLQ1" s="288"/>
      <c r="MLR1" s="288"/>
      <c r="MLS1" s="288"/>
      <c r="MLT1" s="288"/>
      <c r="MLU1" s="288"/>
      <c r="MLV1" s="288"/>
      <c r="MLW1" s="288"/>
      <c r="MLX1" s="288"/>
      <c r="MLY1" s="288"/>
      <c r="MLZ1" s="288"/>
      <c r="MMA1" s="288"/>
      <c r="MMB1" s="288"/>
      <c r="MMC1" s="288"/>
      <c r="MMD1" s="288"/>
      <c r="MME1" s="288"/>
      <c r="MMF1" s="288"/>
      <c r="MMG1" s="288"/>
      <c r="MMH1" s="288"/>
      <c r="MMI1" s="288"/>
      <c r="MMJ1" s="288"/>
      <c r="MMK1" s="288"/>
      <c r="MML1" s="288"/>
      <c r="MMM1" s="288"/>
      <c r="MMN1" s="288"/>
      <c r="MMO1" s="288"/>
      <c r="MMP1" s="288"/>
      <c r="MMQ1" s="288"/>
      <c r="MMR1" s="288"/>
      <c r="MMS1" s="288"/>
      <c r="MMT1" s="288"/>
      <c r="MMU1" s="288"/>
      <c r="MMV1" s="288"/>
      <c r="MMW1" s="288"/>
      <c r="MMX1" s="288"/>
      <c r="MMY1" s="288"/>
      <c r="MMZ1" s="288"/>
      <c r="MNA1" s="288"/>
      <c r="MNB1" s="288"/>
      <c r="MNC1" s="288"/>
      <c r="MND1" s="288"/>
      <c r="MNE1" s="288"/>
      <c r="MNF1" s="288"/>
      <c r="MNG1" s="288"/>
      <c r="MNH1" s="288"/>
      <c r="MNI1" s="288"/>
      <c r="MNJ1" s="288"/>
      <c r="MNK1" s="288"/>
      <c r="MNL1" s="288"/>
      <c r="MNM1" s="288"/>
      <c r="MNN1" s="288"/>
      <c r="MNO1" s="288"/>
      <c r="MNP1" s="288"/>
      <c r="MNQ1" s="288"/>
      <c r="MNR1" s="288"/>
      <c r="MNS1" s="288"/>
      <c r="MNT1" s="288"/>
      <c r="MNU1" s="288"/>
      <c r="MNV1" s="288"/>
      <c r="MNW1" s="288"/>
      <c r="MNX1" s="288"/>
      <c r="MNY1" s="288"/>
      <c r="MNZ1" s="288"/>
      <c r="MOA1" s="288"/>
      <c r="MOB1" s="288"/>
      <c r="MOC1" s="288"/>
      <c r="MOD1" s="288"/>
      <c r="MOE1" s="288"/>
      <c r="MOF1" s="288"/>
      <c r="MOG1" s="288"/>
      <c r="MOH1" s="288"/>
      <c r="MOI1" s="288"/>
      <c r="MOJ1" s="288"/>
      <c r="MOK1" s="288"/>
      <c r="MOL1" s="288"/>
      <c r="MOM1" s="288"/>
      <c r="MON1" s="288"/>
      <c r="MOO1" s="288"/>
      <c r="MOP1" s="288"/>
      <c r="MOQ1" s="288"/>
      <c r="MOR1" s="288"/>
      <c r="MOS1" s="288"/>
      <c r="MOT1" s="288"/>
      <c r="MOU1" s="288"/>
      <c r="MOV1" s="288"/>
      <c r="MOW1" s="288"/>
      <c r="MOX1" s="288"/>
      <c r="MOY1" s="288"/>
      <c r="MOZ1" s="288"/>
      <c r="MPA1" s="288"/>
      <c r="MPB1" s="288"/>
      <c r="MPC1" s="288"/>
      <c r="MPD1" s="288"/>
      <c r="MPE1" s="288"/>
      <c r="MPF1" s="288"/>
      <c r="MPG1" s="288"/>
      <c r="MPH1" s="288"/>
      <c r="MPI1" s="288"/>
      <c r="MPJ1" s="288"/>
      <c r="MPK1" s="288"/>
      <c r="MPL1" s="288"/>
      <c r="MPM1" s="288"/>
      <c r="MPN1" s="288"/>
      <c r="MPO1" s="288"/>
      <c r="MPP1" s="288"/>
      <c r="MPQ1" s="288"/>
      <c r="MPR1" s="288"/>
      <c r="MPS1" s="288"/>
      <c r="MPT1" s="288"/>
      <c r="MPU1" s="288"/>
      <c r="MPV1" s="288"/>
      <c r="MPW1" s="288"/>
      <c r="MPX1" s="288"/>
      <c r="MPY1" s="288"/>
      <c r="MPZ1" s="288"/>
      <c r="MQA1" s="288"/>
      <c r="MQB1" s="288"/>
      <c r="MQC1" s="288"/>
      <c r="MQD1" s="288"/>
      <c r="MQE1" s="288"/>
      <c r="MQF1" s="288"/>
      <c r="MQG1" s="288"/>
      <c r="MQH1" s="288"/>
      <c r="MQI1" s="288"/>
      <c r="MQJ1" s="288"/>
      <c r="MQK1" s="288"/>
      <c r="MQL1" s="288"/>
      <c r="MQM1" s="288"/>
      <c r="MQN1" s="288"/>
      <c r="MQO1" s="288"/>
      <c r="MQP1" s="288"/>
      <c r="MQQ1" s="288"/>
      <c r="MQR1" s="288"/>
      <c r="MQS1" s="288"/>
      <c r="MQT1" s="288"/>
      <c r="MQU1" s="288"/>
      <c r="MQV1" s="288"/>
      <c r="MQW1" s="288"/>
      <c r="MQX1" s="288"/>
      <c r="MQY1" s="288"/>
      <c r="MQZ1" s="288"/>
      <c r="MRA1" s="288"/>
      <c r="MRB1" s="288"/>
      <c r="MRC1" s="288"/>
      <c r="MRD1" s="288"/>
      <c r="MRE1" s="288"/>
      <c r="MRF1" s="288"/>
      <c r="MRG1" s="288"/>
      <c r="MRH1" s="288"/>
      <c r="MRI1" s="288"/>
      <c r="MRJ1" s="288"/>
      <c r="MRK1" s="288"/>
      <c r="MRL1" s="288"/>
      <c r="MRM1" s="288"/>
      <c r="MRN1" s="288"/>
      <c r="MRO1" s="288"/>
      <c r="MRP1" s="288"/>
      <c r="MRQ1" s="288"/>
      <c r="MRR1" s="288"/>
      <c r="MRS1" s="288"/>
      <c r="MRT1" s="288"/>
      <c r="MRU1" s="288"/>
      <c r="MRV1" s="288"/>
      <c r="MRW1" s="288"/>
      <c r="MRX1" s="288"/>
      <c r="MRY1" s="288"/>
      <c r="MRZ1" s="288"/>
      <c r="MSA1" s="288"/>
      <c r="MSB1" s="288"/>
      <c r="MSC1" s="288"/>
      <c r="MSD1" s="288"/>
      <c r="MSE1" s="288"/>
      <c r="MSF1" s="288"/>
      <c r="MSG1" s="288"/>
      <c r="MSH1" s="288"/>
      <c r="MSI1" s="288"/>
      <c r="MSJ1" s="288"/>
      <c r="MSK1" s="288"/>
      <c r="MSL1" s="288"/>
      <c r="MSM1" s="288"/>
      <c r="MSN1" s="288"/>
      <c r="MSO1" s="288"/>
      <c r="MSP1" s="288"/>
      <c r="MSQ1" s="288"/>
      <c r="MSR1" s="288"/>
      <c r="MSS1" s="288"/>
      <c r="MST1" s="288"/>
      <c r="MSU1" s="288"/>
      <c r="MSV1" s="288"/>
      <c r="MSW1" s="288"/>
      <c r="MSX1" s="288"/>
      <c r="MSY1" s="288"/>
      <c r="MSZ1" s="288"/>
      <c r="MTA1" s="288"/>
      <c r="MTB1" s="288"/>
      <c r="MTC1" s="288"/>
      <c r="MTD1" s="288"/>
      <c r="MTE1" s="288"/>
      <c r="MTF1" s="288"/>
      <c r="MTG1" s="288"/>
      <c r="MTH1" s="288"/>
      <c r="MTI1" s="288"/>
      <c r="MTJ1" s="288"/>
      <c r="MTK1" s="288"/>
      <c r="MTL1" s="288"/>
      <c r="MTM1" s="288"/>
      <c r="MTN1" s="288"/>
      <c r="MTO1" s="288"/>
      <c r="MTP1" s="288"/>
      <c r="MTQ1" s="288"/>
      <c r="MTR1" s="288"/>
      <c r="MTS1" s="288"/>
      <c r="MTT1" s="288"/>
      <c r="MTU1" s="288"/>
      <c r="MTV1" s="288"/>
      <c r="MTW1" s="288"/>
      <c r="MTX1" s="288"/>
      <c r="MTY1" s="288"/>
      <c r="MTZ1" s="288"/>
      <c r="MUA1" s="288"/>
      <c r="MUB1" s="288"/>
      <c r="MUC1" s="288"/>
      <c r="MUD1" s="288"/>
      <c r="MUE1" s="288"/>
      <c r="MUF1" s="288"/>
      <c r="MUG1" s="288"/>
      <c r="MUH1" s="288"/>
      <c r="MUI1" s="288"/>
      <c r="MUJ1" s="288"/>
      <c r="MUK1" s="288"/>
      <c r="MUL1" s="288"/>
      <c r="MUM1" s="288"/>
      <c r="MUN1" s="288"/>
      <c r="MUO1" s="288"/>
      <c r="MUP1" s="288"/>
      <c r="MUQ1" s="288"/>
      <c r="MUR1" s="288"/>
      <c r="MUS1" s="288"/>
      <c r="MUT1" s="288"/>
      <c r="MUU1" s="288"/>
      <c r="MUV1" s="288"/>
      <c r="MUW1" s="288"/>
      <c r="MUX1" s="288"/>
      <c r="MUY1" s="288"/>
      <c r="MUZ1" s="288"/>
      <c r="MVA1" s="288"/>
      <c r="MVB1" s="288"/>
      <c r="MVC1" s="288"/>
      <c r="MVD1" s="288"/>
      <c r="MVE1" s="288"/>
      <c r="MVF1" s="288"/>
      <c r="MVG1" s="288"/>
      <c r="MVH1" s="288"/>
      <c r="MVI1" s="288"/>
      <c r="MVJ1" s="288"/>
      <c r="MVK1" s="288"/>
      <c r="MVL1" s="288"/>
      <c r="MVM1" s="288"/>
      <c r="MVN1" s="288"/>
      <c r="MVO1" s="288"/>
      <c r="MVP1" s="288"/>
      <c r="MVQ1" s="288"/>
      <c r="MVR1" s="288"/>
      <c r="MVS1" s="288"/>
      <c r="MVT1" s="288"/>
      <c r="MVU1" s="288"/>
      <c r="MVV1" s="288"/>
      <c r="MVW1" s="288"/>
      <c r="MVX1" s="288"/>
      <c r="MVY1" s="288"/>
      <c r="MVZ1" s="288"/>
      <c r="MWA1" s="288"/>
      <c r="MWB1" s="288"/>
      <c r="MWC1" s="288"/>
      <c r="MWD1" s="288"/>
      <c r="MWE1" s="288"/>
      <c r="MWF1" s="288"/>
      <c r="MWG1" s="288"/>
      <c r="MWH1" s="288"/>
      <c r="MWI1" s="288"/>
      <c r="MWJ1" s="288"/>
      <c r="MWK1" s="288"/>
      <c r="MWL1" s="288"/>
      <c r="MWM1" s="288"/>
      <c r="MWN1" s="288"/>
      <c r="MWO1" s="288"/>
      <c r="MWP1" s="288"/>
      <c r="MWQ1" s="288"/>
      <c r="MWR1" s="288"/>
      <c r="MWS1" s="288"/>
      <c r="MWT1" s="288"/>
      <c r="MWU1" s="288"/>
      <c r="MWV1" s="288"/>
      <c r="MWW1" s="288"/>
      <c r="MWX1" s="288"/>
      <c r="MWY1" s="288"/>
      <c r="MWZ1" s="288"/>
      <c r="MXA1" s="288"/>
      <c r="MXB1" s="288"/>
      <c r="MXC1" s="288"/>
      <c r="MXD1" s="288"/>
      <c r="MXE1" s="288"/>
      <c r="MXF1" s="288"/>
      <c r="MXG1" s="288"/>
      <c r="MXH1" s="288"/>
      <c r="MXI1" s="288"/>
      <c r="MXJ1" s="288"/>
      <c r="MXK1" s="288"/>
      <c r="MXL1" s="288"/>
      <c r="MXM1" s="288"/>
      <c r="MXN1" s="288"/>
      <c r="MXO1" s="288"/>
      <c r="MXP1" s="288"/>
      <c r="MXQ1" s="288"/>
      <c r="MXR1" s="288"/>
      <c r="MXS1" s="288"/>
      <c r="MXT1" s="288"/>
      <c r="MXU1" s="288"/>
      <c r="MXV1" s="288"/>
      <c r="MXW1" s="288"/>
      <c r="MXX1" s="288"/>
      <c r="MXY1" s="288"/>
      <c r="MXZ1" s="288"/>
      <c r="MYA1" s="288"/>
      <c r="MYB1" s="288"/>
      <c r="MYC1" s="288"/>
      <c r="MYD1" s="288"/>
      <c r="MYE1" s="288"/>
      <c r="MYF1" s="288"/>
      <c r="MYG1" s="288"/>
      <c r="MYH1" s="288"/>
      <c r="MYI1" s="288"/>
      <c r="MYJ1" s="288"/>
      <c r="MYK1" s="288"/>
      <c r="MYL1" s="288"/>
      <c r="MYM1" s="288"/>
      <c r="MYN1" s="288"/>
      <c r="MYO1" s="288"/>
      <c r="MYP1" s="288"/>
      <c r="MYQ1" s="288"/>
      <c r="MYR1" s="288"/>
      <c r="MYS1" s="288"/>
      <c r="MYT1" s="288"/>
      <c r="MYU1" s="288"/>
      <c r="MYV1" s="288"/>
      <c r="MYW1" s="288"/>
      <c r="MYX1" s="288"/>
      <c r="MYY1" s="288"/>
      <c r="MYZ1" s="288"/>
      <c r="MZA1" s="288"/>
      <c r="MZB1" s="288"/>
      <c r="MZC1" s="288"/>
      <c r="MZD1" s="288"/>
      <c r="MZE1" s="288"/>
      <c r="MZF1" s="288"/>
      <c r="MZG1" s="288"/>
      <c r="MZH1" s="288"/>
      <c r="MZI1" s="288"/>
      <c r="MZJ1" s="288"/>
      <c r="MZK1" s="288"/>
      <c r="MZL1" s="288"/>
      <c r="MZM1" s="288"/>
      <c r="MZN1" s="288"/>
      <c r="MZO1" s="288"/>
      <c r="MZP1" s="288"/>
      <c r="MZQ1" s="288"/>
      <c r="MZR1" s="288"/>
      <c r="MZS1" s="288"/>
      <c r="MZT1" s="288"/>
      <c r="MZU1" s="288"/>
      <c r="MZV1" s="288"/>
      <c r="MZW1" s="288"/>
      <c r="MZX1" s="288"/>
      <c r="MZY1" s="288"/>
      <c r="MZZ1" s="288"/>
      <c r="NAA1" s="288"/>
      <c r="NAB1" s="288"/>
      <c r="NAC1" s="288"/>
      <c r="NAD1" s="288"/>
      <c r="NAE1" s="288"/>
      <c r="NAF1" s="288"/>
      <c r="NAG1" s="288"/>
      <c r="NAH1" s="288"/>
      <c r="NAI1" s="288"/>
      <c r="NAJ1" s="288"/>
      <c r="NAK1" s="288"/>
      <c r="NAL1" s="288"/>
      <c r="NAM1" s="288"/>
      <c r="NAN1" s="288"/>
      <c r="NAO1" s="288"/>
      <c r="NAP1" s="288"/>
      <c r="NAQ1" s="288"/>
      <c r="NAR1" s="288"/>
      <c r="NAS1" s="288"/>
      <c r="NAT1" s="288"/>
      <c r="NAU1" s="288"/>
      <c r="NAV1" s="288"/>
      <c r="NAW1" s="288"/>
      <c r="NAX1" s="288"/>
      <c r="NAY1" s="288"/>
      <c r="NAZ1" s="288"/>
      <c r="NBA1" s="288"/>
      <c r="NBB1" s="288"/>
      <c r="NBC1" s="288"/>
      <c r="NBD1" s="288"/>
      <c r="NBE1" s="288"/>
      <c r="NBF1" s="288"/>
      <c r="NBG1" s="288"/>
      <c r="NBH1" s="288"/>
      <c r="NBI1" s="288"/>
      <c r="NBJ1" s="288"/>
      <c r="NBK1" s="288"/>
      <c r="NBL1" s="288"/>
      <c r="NBM1" s="288"/>
      <c r="NBN1" s="288"/>
      <c r="NBO1" s="288"/>
      <c r="NBP1" s="288"/>
      <c r="NBQ1" s="288"/>
      <c r="NBR1" s="288"/>
      <c r="NBS1" s="288"/>
      <c r="NBT1" s="288"/>
      <c r="NBU1" s="288"/>
      <c r="NBV1" s="288"/>
      <c r="NBW1" s="288"/>
      <c r="NBX1" s="288"/>
      <c r="NBY1" s="288"/>
      <c r="NBZ1" s="288"/>
      <c r="NCA1" s="288"/>
      <c r="NCB1" s="288"/>
      <c r="NCC1" s="288"/>
      <c r="NCD1" s="288"/>
      <c r="NCE1" s="288"/>
      <c r="NCF1" s="288"/>
      <c r="NCG1" s="288"/>
      <c r="NCH1" s="288"/>
      <c r="NCI1" s="288"/>
      <c r="NCJ1" s="288"/>
      <c r="NCK1" s="288"/>
      <c r="NCL1" s="288"/>
      <c r="NCM1" s="288"/>
      <c r="NCN1" s="288"/>
      <c r="NCO1" s="288"/>
      <c r="NCP1" s="288"/>
      <c r="NCQ1" s="288"/>
      <c r="NCR1" s="288"/>
      <c r="NCS1" s="288"/>
      <c r="NCT1" s="288"/>
      <c r="NCU1" s="288"/>
      <c r="NCV1" s="288"/>
      <c r="NCW1" s="288"/>
      <c r="NCX1" s="288"/>
      <c r="NCY1" s="288"/>
      <c r="NCZ1" s="288"/>
      <c r="NDA1" s="288"/>
      <c r="NDB1" s="288"/>
      <c r="NDC1" s="288"/>
      <c r="NDD1" s="288"/>
      <c r="NDE1" s="288"/>
      <c r="NDF1" s="288"/>
      <c r="NDG1" s="288"/>
      <c r="NDH1" s="288"/>
      <c r="NDI1" s="288"/>
      <c r="NDJ1" s="288"/>
      <c r="NDK1" s="288"/>
      <c r="NDL1" s="288"/>
      <c r="NDM1" s="288"/>
      <c r="NDN1" s="288"/>
      <c r="NDO1" s="288"/>
      <c r="NDP1" s="288"/>
      <c r="NDQ1" s="288"/>
      <c r="NDR1" s="288"/>
      <c r="NDS1" s="288"/>
      <c r="NDT1" s="288"/>
      <c r="NDU1" s="288"/>
      <c r="NDV1" s="288"/>
      <c r="NDW1" s="288"/>
      <c r="NDX1" s="288"/>
      <c r="NDY1" s="288"/>
      <c r="NDZ1" s="288"/>
      <c r="NEA1" s="288"/>
      <c r="NEB1" s="288"/>
      <c r="NEC1" s="288"/>
      <c r="NED1" s="288"/>
      <c r="NEE1" s="288"/>
      <c r="NEF1" s="288"/>
      <c r="NEG1" s="288"/>
      <c r="NEH1" s="288"/>
      <c r="NEI1" s="288"/>
      <c r="NEJ1" s="288"/>
      <c r="NEK1" s="288"/>
      <c r="NEL1" s="288"/>
      <c r="NEM1" s="288"/>
      <c r="NEN1" s="288"/>
      <c r="NEO1" s="288"/>
      <c r="NEP1" s="288"/>
      <c r="NEQ1" s="288"/>
      <c r="NER1" s="288"/>
      <c r="NES1" s="288"/>
      <c r="NET1" s="288"/>
      <c r="NEU1" s="288"/>
      <c r="NEV1" s="288"/>
      <c r="NEW1" s="288"/>
      <c r="NEX1" s="288"/>
      <c r="NEY1" s="288"/>
      <c r="NEZ1" s="288"/>
      <c r="NFA1" s="288"/>
      <c r="NFB1" s="288"/>
      <c r="NFC1" s="288"/>
      <c r="NFD1" s="288"/>
      <c r="NFE1" s="288"/>
      <c r="NFF1" s="288"/>
      <c r="NFG1" s="288"/>
      <c r="NFH1" s="288"/>
      <c r="NFI1" s="288"/>
      <c r="NFJ1" s="288"/>
      <c r="NFK1" s="288"/>
      <c r="NFL1" s="288"/>
      <c r="NFM1" s="288"/>
      <c r="NFN1" s="288"/>
      <c r="NFO1" s="288"/>
      <c r="NFP1" s="288"/>
      <c r="NFQ1" s="288"/>
      <c r="NFR1" s="288"/>
      <c r="NFS1" s="288"/>
      <c r="NFT1" s="288"/>
      <c r="NFU1" s="288"/>
      <c r="NFV1" s="288"/>
      <c r="NFW1" s="288"/>
      <c r="NFX1" s="288"/>
      <c r="NFY1" s="288"/>
      <c r="NFZ1" s="288"/>
      <c r="NGA1" s="288"/>
      <c r="NGB1" s="288"/>
      <c r="NGC1" s="288"/>
      <c r="NGD1" s="288"/>
      <c r="NGE1" s="288"/>
      <c r="NGF1" s="288"/>
      <c r="NGG1" s="288"/>
      <c r="NGH1" s="288"/>
      <c r="NGI1" s="288"/>
      <c r="NGJ1" s="288"/>
      <c r="NGK1" s="288"/>
      <c r="NGL1" s="288"/>
      <c r="NGM1" s="288"/>
      <c r="NGN1" s="288"/>
      <c r="NGO1" s="288"/>
      <c r="NGP1" s="288"/>
      <c r="NGQ1" s="288"/>
      <c r="NGR1" s="288"/>
      <c r="NGS1" s="288"/>
      <c r="NGT1" s="288"/>
      <c r="NGU1" s="288"/>
      <c r="NGV1" s="288"/>
      <c r="NGW1" s="288"/>
      <c r="NGX1" s="288"/>
      <c r="NGY1" s="288"/>
      <c r="NGZ1" s="288"/>
      <c r="NHA1" s="288"/>
      <c r="NHB1" s="288"/>
      <c r="NHC1" s="288"/>
      <c r="NHD1" s="288"/>
      <c r="NHE1" s="288"/>
      <c r="NHF1" s="288"/>
      <c r="NHG1" s="288"/>
      <c r="NHH1" s="288"/>
      <c r="NHI1" s="288"/>
      <c r="NHJ1" s="288"/>
      <c r="NHK1" s="288"/>
      <c r="NHL1" s="288"/>
      <c r="NHM1" s="288"/>
      <c r="NHN1" s="288"/>
      <c r="NHO1" s="288"/>
      <c r="NHP1" s="288"/>
      <c r="NHQ1" s="288"/>
      <c r="NHR1" s="288"/>
      <c r="NHS1" s="288"/>
      <c r="NHT1" s="288"/>
      <c r="NHU1" s="288"/>
      <c r="NHV1" s="288"/>
      <c r="NHW1" s="288"/>
      <c r="NHX1" s="288"/>
      <c r="NHY1" s="288"/>
      <c r="NHZ1" s="288"/>
      <c r="NIA1" s="288"/>
      <c r="NIB1" s="288"/>
      <c r="NIC1" s="288"/>
      <c r="NID1" s="288"/>
      <c r="NIE1" s="288"/>
      <c r="NIF1" s="288"/>
      <c r="NIG1" s="288"/>
      <c r="NIH1" s="288"/>
      <c r="NII1" s="288"/>
      <c r="NIJ1" s="288"/>
      <c r="NIK1" s="288"/>
      <c r="NIL1" s="288"/>
      <c r="NIM1" s="288"/>
      <c r="NIN1" s="288"/>
      <c r="NIO1" s="288"/>
      <c r="NIP1" s="288"/>
      <c r="NIQ1" s="288"/>
      <c r="NIR1" s="288"/>
      <c r="NIS1" s="288"/>
      <c r="NIT1" s="288"/>
      <c r="NIU1" s="288"/>
      <c r="NIV1" s="288"/>
      <c r="NIW1" s="288"/>
      <c r="NIX1" s="288"/>
      <c r="NIY1" s="288"/>
      <c r="NIZ1" s="288"/>
      <c r="NJA1" s="288"/>
      <c r="NJB1" s="288"/>
      <c r="NJC1" s="288"/>
      <c r="NJD1" s="288"/>
      <c r="NJE1" s="288"/>
      <c r="NJF1" s="288"/>
      <c r="NJG1" s="288"/>
      <c r="NJH1" s="288"/>
      <c r="NJI1" s="288"/>
      <c r="NJJ1" s="288"/>
      <c r="NJK1" s="288"/>
      <c r="NJL1" s="288"/>
      <c r="NJM1" s="288"/>
      <c r="NJN1" s="288"/>
      <c r="NJO1" s="288"/>
      <c r="NJP1" s="288"/>
      <c r="NJQ1" s="288"/>
      <c r="NJR1" s="288"/>
      <c r="NJS1" s="288"/>
      <c r="NJT1" s="288"/>
      <c r="NJU1" s="288"/>
      <c r="NJV1" s="288"/>
      <c r="NJW1" s="288"/>
      <c r="NJX1" s="288"/>
      <c r="NJY1" s="288"/>
      <c r="NJZ1" s="288"/>
      <c r="NKA1" s="288"/>
      <c r="NKB1" s="288"/>
      <c r="NKC1" s="288"/>
      <c r="NKD1" s="288"/>
      <c r="NKE1" s="288"/>
      <c r="NKF1" s="288"/>
      <c r="NKG1" s="288"/>
      <c r="NKH1" s="288"/>
      <c r="NKI1" s="288"/>
      <c r="NKJ1" s="288"/>
      <c r="NKK1" s="288"/>
      <c r="NKL1" s="288"/>
      <c r="NKM1" s="288"/>
      <c r="NKN1" s="288"/>
      <c r="NKO1" s="288"/>
      <c r="NKP1" s="288"/>
      <c r="NKQ1" s="288"/>
      <c r="NKR1" s="288"/>
      <c r="NKS1" s="288"/>
      <c r="NKT1" s="288"/>
      <c r="NKU1" s="288"/>
      <c r="NKV1" s="288"/>
      <c r="NKW1" s="288"/>
      <c r="NKX1" s="288"/>
      <c r="NKY1" s="288"/>
      <c r="NKZ1" s="288"/>
      <c r="NLA1" s="288"/>
      <c r="NLB1" s="288"/>
      <c r="NLC1" s="288"/>
      <c r="NLD1" s="288"/>
      <c r="NLE1" s="288"/>
      <c r="NLF1" s="288"/>
      <c r="NLG1" s="288"/>
      <c r="NLH1" s="288"/>
      <c r="NLI1" s="288"/>
      <c r="NLJ1" s="288"/>
      <c r="NLK1" s="288"/>
      <c r="NLL1" s="288"/>
      <c r="NLM1" s="288"/>
      <c r="NLN1" s="288"/>
      <c r="NLO1" s="288"/>
      <c r="NLP1" s="288"/>
      <c r="NLQ1" s="288"/>
      <c r="NLR1" s="288"/>
      <c r="NLS1" s="288"/>
      <c r="NLT1" s="288"/>
      <c r="NLU1" s="288"/>
      <c r="NLV1" s="288"/>
      <c r="NLW1" s="288"/>
      <c r="NLX1" s="288"/>
      <c r="NLY1" s="288"/>
      <c r="NLZ1" s="288"/>
      <c r="NMA1" s="288"/>
      <c r="NMB1" s="288"/>
      <c r="NMC1" s="288"/>
      <c r="NMD1" s="288"/>
      <c r="NME1" s="288"/>
      <c r="NMF1" s="288"/>
      <c r="NMG1" s="288"/>
      <c r="NMH1" s="288"/>
      <c r="NMI1" s="288"/>
      <c r="NMJ1" s="288"/>
      <c r="NMK1" s="288"/>
      <c r="NML1" s="288"/>
      <c r="NMM1" s="288"/>
      <c r="NMN1" s="288"/>
      <c r="NMO1" s="288"/>
      <c r="NMP1" s="288"/>
      <c r="NMQ1" s="288"/>
      <c r="NMR1" s="288"/>
      <c r="NMS1" s="288"/>
      <c r="NMT1" s="288"/>
      <c r="NMU1" s="288"/>
      <c r="NMV1" s="288"/>
      <c r="NMW1" s="288"/>
      <c r="NMX1" s="288"/>
      <c r="NMY1" s="288"/>
      <c r="NMZ1" s="288"/>
      <c r="NNA1" s="288"/>
      <c r="NNB1" s="288"/>
      <c r="NNC1" s="288"/>
      <c r="NND1" s="288"/>
      <c r="NNE1" s="288"/>
      <c r="NNF1" s="288"/>
      <c r="NNG1" s="288"/>
      <c r="NNH1" s="288"/>
      <c r="NNI1" s="288"/>
      <c r="NNJ1" s="288"/>
      <c r="NNK1" s="288"/>
      <c r="NNL1" s="288"/>
      <c r="NNM1" s="288"/>
      <c r="NNN1" s="288"/>
      <c r="NNO1" s="288"/>
      <c r="NNP1" s="288"/>
      <c r="NNQ1" s="288"/>
      <c r="NNR1" s="288"/>
      <c r="NNS1" s="288"/>
      <c r="NNT1" s="288"/>
      <c r="NNU1" s="288"/>
      <c r="NNV1" s="288"/>
      <c r="NNW1" s="288"/>
      <c r="NNX1" s="288"/>
      <c r="NNY1" s="288"/>
      <c r="NNZ1" s="288"/>
      <c r="NOA1" s="288"/>
      <c r="NOB1" s="288"/>
      <c r="NOC1" s="288"/>
      <c r="NOD1" s="288"/>
      <c r="NOE1" s="288"/>
      <c r="NOF1" s="288"/>
      <c r="NOG1" s="288"/>
      <c r="NOH1" s="288"/>
      <c r="NOI1" s="288"/>
      <c r="NOJ1" s="288"/>
      <c r="NOK1" s="288"/>
      <c r="NOL1" s="288"/>
      <c r="NOM1" s="288"/>
      <c r="NON1" s="288"/>
      <c r="NOO1" s="288"/>
      <c r="NOP1" s="288"/>
      <c r="NOQ1" s="288"/>
      <c r="NOR1" s="288"/>
      <c r="NOS1" s="288"/>
      <c r="NOT1" s="288"/>
      <c r="NOU1" s="288"/>
      <c r="NOV1" s="288"/>
      <c r="NOW1" s="288"/>
      <c r="NOX1" s="288"/>
      <c r="NOY1" s="288"/>
      <c r="NOZ1" s="288"/>
      <c r="NPA1" s="288"/>
      <c r="NPB1" s="288"/>
      <c r="NPC1" s="288"/>
      <c r="NPD1" s="288"/>
      <c r="NPE1" s="288"/>
      <c r="NPF1" s="288"/>
      <c r="NPG1" s="288"/>
      <c r="NPH1" s="288"/>
      <c r="NPI1" s="288"/>
      <c r="NPJ1" s="288"/>
      <c r="NPK1" s="288"/>
      <c r="NPL1" s="288"/>
      <c r="NPM1" s="288"/>
      <c r="NPN1" s="288"/>
      <c r="NPO1" s="288"/>
      <c r="NPP1" s="288"/>
      <c r="NPQ1" s="288"/>
      <c r="NPR1" s="288"/>
      <c r="NPS1" s="288"/>
      <c r="NPT1" s="288"/>
      <c r="NPU1" s="288"/>
      <c r="NPV1" s="288"/>
      <c r="NPW1" s="288"/>
      <c r="NPX1" s="288"/>
      <c r="NPY1" s="288"/>
      <c r="NPZ1" s="288"/>
      <c r="NQA1" s="288"/>
      <c r="NQB1" s="288"/>
      <c r="NQC1" s="288"/>
      <c r="NQD1" s="288"/>
      <c r="NQE1" s="288"/>
      <c r="NQF1" s="288"/>
      <c r="NQG1" s="288"/>
      <c r="NQH1" s="288"/>
      <c r="NQI1" s="288"/>
      <c r="NQJ1" s="288"/>
      <c r="NQK1" s="288"/>
      <c r="NQL1" s="288"/>
      <c r="NQM1" s="288"/>
      <c r="NQN1" s="288"/>
      <c r="NQO1" s="288"/>
      <c r="NQP1" s="288"/>
      <c r="NQQ1" s="288"/>
      <c r="NQR1" s="288"/>
      <c r="NQS1" s="288"/>
      <c r="NQT1" s="288"/>
      <c r="NQU1" s="288"/>
      <c r="NQV1" s="288"/>
      <c r="NQW1" s="288"/>
      <c r="NQX1" s="288"/>
      <c r="NQY1" s="288"/>
      <c r="NQZ1" s="288"/>
      <c r="NRA1" s="288"/>
      <c r="NRB1" s="288"/>
      <c r="NRC1" s="288"/>
      <c r="NRD1" s="288"/>
      <c r="NRE1" s="288"/>
      <c r="NRF1" s="288"/>
      <c r="NRG1" s="288"/>
      <c r="NRH1" s="288"/>
      <c r="NRI1" s="288"/>
      <c r="NRJ1" s="288"/>
      <c r="NRK1" s="288"/>
      <c r="NRL1" s="288"/>
      <c r="NRM1" s="288"/>
      <c r="NRN1" s="288"/>
      <c r="NRO1" s="288"/>
      <c r="NRP1" s="288"/>
      <c r="NRQ1" s="288"/>
      <c r="NRR1" s="288"/>
      <c r="NRS1" s="288"/>
      <c r="NRT1" s="288"/>
      <c r="NRU1" s="288"/>
      <c r="NRV1" s="288"/>
      <c r="NRW1" s="288"/>
      <c r="NRX1" s="288"/>
      <c r="NRY1" s="288"/>
      <c r="NRZ1" s="288"/>
      <c r="NSA1" s="288"/>
      <c r="NSB1" s="288"/>
      <c r="NSC1" s="288"/>
      <c r="NSD1" s="288"/>
      <c r="NSE1" s="288"/>
      <c r="NSF1" s="288"/>
      <c r="NSG1" s="288"/>
      <c r="NSH1" s="288"/>
      <c r="NSI1" s="288"/>
      <c r="NSJ1" s="288"/>
      <c r="NSK1" s="288"/>
      <c r="NSL1" s="288"/>
      <c r="NSM1" s="288"/>
      <c r="NSN1" s="288"/>
      <c r="NSO1" s="288"/>
      <c r="NSP1" s="288"/>
      <c r="NSQ1" s="288"/>
      <c r="NSR1" s="288"/>
      <c r="NSS1" s="288"/>
      <c r="NST1" s="288"/>
      <c r="NSU1" s="288"/>
      <c r="NSV1" s="288"/>
      <c r="NSW1" s="288"/>
      <c r="NSX1" s="288"/>
      <c r="NSY1" s="288"/>
      <c r="NSZ1" s="288"/>
      <c r="NTA1" s="288"/>
      <c r="NTB1" s="288"/>
      <c r="NTC1" s="288"/>
      <c r="NTD1" s="288"/>
      <c r="NTE1" s="288"/>
      <c r="NTF1" s="288"/>
      <c r="NTG1" s="288"/>
      <c r="NTH1" s="288"/>
      <c r="NTI1" s="288"/>
      <c r="NTJ1" s="288"/>
      <c r="NTK1" s="288"/>
      <c r="NTL1" s="288"/>
      <c r="NTM1" s="288"/>
      <c r="NTN1" s="288"/>
      <c r="NTO1" s="288"/>
      <c r="NTP1" s="288"/>
      <c r="NTQ1" s="288"/>
      <c r="NTR1" s="288"/>
      <c r="NTS1" s="288"/>
      <c r="NTT1" s="288"/>
      <c r="NTU1" s="288"/>
      <c r="NTV1" s="288"/>
      <c r="NTW1" s="288"/>
      <c r="NTX1" s="288"/>
      <c r="NTY1" s="288"/>
      <c r="NTZ1" s="288"/>
      <c r="NUA1" s="288"/>
      <c r="NUB1" s="288"/>
      <c r="NUC1" s="288"/>
      <c r="NUD1" s="288"/>
      <c r="NUE1" s="288"/>
      <c r="NUF1" s="288"/>
      <c r="NUG1" s="288"/>
      <c r="NUH1" s="288"/>
      <c r="NUI1" s="288"/>
      <c r="NUJ1" s="288"/>
      <c r="NUK1" s="288"/>
      <c r="NUL1" s="288"/>
      <c r="NUM1" s="288"/>
      <c r="NUN1" s="288"/>
      <c r="NUO1" s="288"/>
      <c r="NUP1" s="288"/>
      <c r="NUQ1" s="288"/>
      <c r="NUR1" s="288"/>
      <c r="NUS1" s="288"/>
      <c r="NUT1" s="288"/>
      <c r="NUU1" s="288"/>
      <c r="NUV1" s="288"/>
      <c r="NUW1" s="288"/>
      <c r="NUX1" s="288"/>
      <c r="NUY1" s="288"/>
      <c r="NUZ1" s="288"/>
      <c r="NVA1" s="288"/>
      <c r="NVB1" s="288"/>
      <c r="NVC1" s="288"/>
      <c r="NVD1" s="288"/>
      <c r="NVE1" s="288"/>
      <c r="NVF1" s="288"/>
      <c r="NVG1" s="288"/>
      <c r="NVH1" s="288"/>
      <c r="NVI1" s="288"/>
      <c r="NVJ1" s="288"/>
      <c r="NVK1" s="288"/>
      <c r="NVL1" s="288"/>
      <c r="NVM1" s="288"/>
      <c r="NVN1" s="288"/>
      <c r="NVO1" s="288"/>
      <c r="NVP1" s="288"/>
      <c r="NVQ1" s="288"/>
      <c r="NVR1" s="288"/>
      <c r="NVS1" s="288"/>
      <c r="NVT1" s="288"/>
      <c r="NVU1" s="288"/>
      <c r="NVV1" s="288"/>
      <c r="NVW1" s="288"/>
      <c r="NVX1" s="288"/>
      <c r="NVY1" s="288"/>
      <c r="NVZ1" s="288"/>
      <c r="NWA1" s="288"/>
      <c r="NWB1" s="288"/>
      <c r="NWC1" s="288"/>
      <c r="NWD1" s="288"/>
      <c r="NWE1" s="288"/>
      <c r="NWF1" s="288"/>
      <c r="NWG1" s="288"/>
      <c r="NWH1" s="288"/>
      <c r="NWI1" s="288"/>
      <c r="NWJ1" s="288"/>
      <c r="NWK1" s="288"/>
      <c r="NWL1" s="288"/>
      <c r="NWM1" s="288"/>
      <c r="NWN1" s="288"/>
      <c r="NWO1" s="288"/>
      <c r="NWP1" s="288"/>
      <c r="NWQ1" s="288"/>
      <c r="NWR1" s="288"/>
      <c r="NWS1" s="288"/>
      <c r="NWT1" s="288"/>
      <c r="NWU1" s="288"/>
      <c r="NWV1" s="288"/>
      <c r="NWW1" s="288"/>
      <c r="NWX1" s="288"/>
      <c r="NWY1" s="288"/>
      <c r="NWZ1" s="288"/>
      <c r="NXA1" s="288"/>
      <c r="NXB1" s="288"/>
      <c r="NXC1" s="288"/>
      <c r="NXD1" s="288"/>
      <c r="NXE1" s="288"/>
      <c r="NXF1" s="288"/>
      <c r="NXG1" s="288"/>
      <c r="NXH1" s="288"/>
      <c r="NXI1" s="288"/>
      <c r="NXJ1" s="288"/>
      <c r="NXK1" s="288"/>
      <c r="NXL1" s="288"/>
      <c r="NXM1" s="288"/>
      <c r="NXN1" s="288"/>
      <c r="NXO1" s="288"/>
      <c r="NXP1" s="288"/>
      <c r="NXQ1" s="288"/>
      <c r="NXR1" s="288"/>
      <c r="NXS1" s="288"/>
      <c r="NXT1" s="288"/>
      <c r="NXU1" s="288"/>
      <c r="NXV1" s="288"/>
      <c r="NXW1" s="288"/>
      <c r="NXX1" s="288"/>
      <c r="NXY1" s="288"/>
      <c r="NXZ1" s="288"/>
      <c r="NYA1" s="288"/>
      <c r="NYB1" s="288"/>
      <c r="NYC1" s="288"/>
      <c r="NYD1" s="288"/>
      <c r="NYE1" s="288"/>
      <c r="NYF1" s="288"/>
      <c r="NYG1" s="288"/>
      <c r="NYH1" s="288"/>
      <c r="NYI1" s="288"/>
      <c r="NYJ1" s="288"/>
      <c r="NYK1" s="288"/>
      <c r="NYL1" s="288"/>
      <c r="NYM1" s="288"/>
      <c r="NYN1" s="288"/>
      <c r="NYO1" s="288"/>
      <c r="NYP1" s="288"/>
      <c r="NYQ1" s="288"/>
      <c r="NYR1" s="288"/>
      <c r="NYS1" s="288"/>
      <c r="NYT1" s="288"/>
      <c r="NYU1" s="288"/>
      <c r="NYV1" s="288"/>
      <c r="NYW1" s="288"/>
      <c r="NYX1" s="288"/>
      <c r="NYY1" s="288"/>
      <c r="NYZ1" s="288"/>
      <c r="NZA1" s="288"/>
      <c r="NZB1" s="288"/>
      <c r="NZC1" s="288"/>
      <c r="NZD1" s="288"/>
      <c r="NZE1" s="288"/>
      <c r="NZF1" s="288"/>
      <c r="NZG1" s="288"/>
      <c r="NZH1" s="288"/>
      <c r="NZI1" s="288"/>
      <c r="NZJ1" s="288"/>
      <c r="NZK1" s="288"/>
      <c r="NZL1" s="288"/>
      <c r="NZM1" s="288"/>
      <c r="NZN1" s="288"/>
      <c r="NZO1" s="288"/>
      <c r="NZP1" s="288"/>
      <c r="NZQ1" s="288"/>
      <c r="NZR1" s="288"/>
      <c r="NZS1" s="288"/>
      <c r="NZT1" s="288"/>
      <c r="NZU1" s="288"/>
      <c r="NZV1" s="288"/>
      <c r="NZW1" s="288"/>
      <c r="NZX1" s="288"/>
      <c r="NZY1" s="288"/>
      <c r="NZZ1" s="288"/>
      <c r="OAA1" s="288"/>
      <c r="OAB1" s="288"/>
      <c r="OAC1" s="288"/>
      <c r="OAD1" s="288"/>
      <c r="OAE1" s="288"/>
      <c r="OAF1" s="288"/>
      <c r="OAG1" s="288"/>
      <c r="OAH1" s="288"/>
      <c r="OAI1" s="288"/>
      <c r="OAJ1" s="288"/>
      <c r="OAK1" s="288"/>
      <c r="OAL1" s="288"/>
      <c r="OAM1" s="288"/>
      <c r="OAN1" s="288"/>
      <c r="OAO1" s="288"/>
      <c r="OAP1" s="288"/>
      <c r="OAQ1" s="288"/>
      <c r="OAR1" s="288"/>
      <c r="OAS1" s="288"/>
      <c r="OAT1" s="288"/>
      <c r="OAU1" s="288"/>
      <c r="OAV1" s="288"/>
      <c r="OAW1" s="288"/>
      <c r="OAX1" s="288"/>
      <c r="OAY1" s="288"/>
      <c r="OAZ1" s="288"/>
      <c r="OBA1" s="288"/>
      <c r="OBB1" s="288"/>
      <c r="OBC1" s="288"/>
      <c r="OBD1" s="288"/>
      <c r="OBE1" s="288"/>
      <c r="OBF1" s="288"/>
      <c r="OBG1" s="288"/>
      <c r="OBH1" s="288"/>
      <c r="OBI1" s="288"/>
      <c r="OBJ1" s="288"/>
      <c r="OBK1" s="288"/>
      <c r="OBL1" s="288"/>
      <c r="OBM1" s="288"/>
      <c r="OBN1" s="288"/>
      <c r="OBO1" s="288"/>
      <c r="OBP1" s="288"/>
      <c r="OBQ1" s="288"/>
      <c r="OBR1" s="288"/>
      <c r="OBS1" s="288"/>
      <c r="OBT1" s="288"/>
      <c r="OBU1" s="288"/>
      <c r="OBV1" s="288"/>
      <c r="OBW1" s="288"/>
      <c r="OBX1" s="288"/>
      <c r="OBY1" s="288"/>
      <c r="OBZ1" s="288"/>
      <c r="OCA1" s="288"/>
      <c r="OCB1" s="288"/>
      <c r="OCC1" s="288"/>
      <c r="OCD1" s="288"/>
      <c r="OCE1" s="288"/>
      <c r="OCF1" s="288"/>
      <c r="OCG1" s="288"/>
      <c r="OCH1" s="288"/>
      <c r="OCI1" s="288"/>
      <c r="OCJ1" s="288"/>
      <c r="OCK1" s="288"/>
      <c r="OCL1" s="288"/>
      <c r="OCM1" s="288"/>
      <c r="OCN1" s="288"/>
      <c r="OCO1" s="288"/>
      <c r="OCP1" s="288"/>
      <c r="OCQ1" s="288"/>
      <c r="OCR1" s="288"/>
      <c r="OCS1" s="288"/>
      <c r="OCT1" s="288"/>
      <c r="OCU1" s="288"/>
      <c r="OCV1" s="288"/>
      <c r="OCW1" s="288"/>
      <c r="OCX1" s="288"/>
      <c r="OCY1" s="288"/>
      <c r="OCZ1" s="288"/>
      <c r="ODA1" s="288"/>
      <c r="ODB1" s="288"/>
      <c r="ODC1" s="288"/>
      <c r="ODD1" s="288"/>
      <c r="ODE1" s="288"/>
      <c r="ODF1" s="288"/>
      <c r="ODG1" s="288"/>
      <c r="ODH1" s="288"/>
      <c r="ODI1" s="288"/>
      <c r="ODJ1" s="288"/>
      <c r="ODK1" s="288"/>
      <c r="ODL1" s="288"/>
      <c r="ODM1" s="288"/>
      <c r="ODN1" s="288"/>
      <c r="ODO1" s="288"/>
      <c r="ODP1" s="288"/>
      <c r="ODQ1" s="288"/>
      <c r="ODR1" s="288"/>
      <c r="ODS1" s="288"/>
      <c r="ODT1" s="288"/>
      <c r="ODU1" s="288"/>
      <c r="ODV1" s="288"/>
      <c r="ODW1" s="288"/>
      <c r="ODX1" s="288"/>
      <c r="ODY1" s="288"/>
      <c r="ODZ1" s="288"/>
      <c r="OEA1" s="288"/>
      <c r="OEB1" s="288"/>
      <c r="OEC1" s="288"/>
      <c r="OED1" s="288"/>
      <c r="OEE1" s="288"/>
      <c r="OEF1" s="288"/>
      <c r="OEG1" s="288"/>
      <c r="OEH1" s="288"/>
      <c r="OEI1" s="288"/>
      <c r="OEJ1" s="288"/>
      <c r="OEK1" s="288"/>
      <c r="OEL1" s="288"/>
      <c r="OEM1" s="288"/>
      <c r="OEN1" s="288"/>
      <c r="OEO1" s="288"/>
      <c r="OEP1" s="288"/>
      <c r="OEQ1" s="288"/>
      <c r="OER1" s="288"/>
      <c r="OES1" s="288"/>
      <c r="OET1" s="288"/>
      <c r="OEU1" s="288"/>
      <c r="OEV1" s="288"/>
      <c r="OEW1" s="288"/>
      <c r="OEX1" s="288"/>
      <c r="OEY1" s="288"/>
      <c r="OEZ1" s="288"/>
      <c r="OFA1" s="288"/>
      <c r="OFB1" s="288"/>
      <c r="OFC1" s="288"/>
      <c r="OFD1" s="288"/>
      <c r="OFE1" s="288"/>
      <c r="OFF1" s="288"/>
      <c r="OFG1" s="288"/>
      <c r="OFH1" s="288"/>
      <c r="OFI1" s="288"/>
      <c r="OFJ1" s="288"/>
      <c r="OFK1" s="288"/>
      <c r="OFL1" s="288"/>
      <c r="OFM1" s="288"/>
      <c r="OFN1" s="288"/>
      <c r="OFO1" s="288"/>
      <c r="OFP1" s="288"/>
      <c r="OFQ1" s="288"/>
      <c r="OFR1" s="288"/>
      <c r="OFS1" s="288"/>
      <c r="OFT1" s="288"/>
      <c r="OFU1" s="288"/>
      <c r="OFV1" s="288"/>
      <c r="OFW1" s="288"/>
      <c r="OFX1" s="288"/>
      <c r="OFY1" s="288"/>
      <c r="OFZ1" s="288"/>
      <c r="OGA1" s="288"/>
      <c r="OGB1" s="288"/>
      <c r="OGC1" s="288"/>
      <c r="OGD1" s="288"/>
      <c r="OGE1" s="288"/>
      <c r="OGF1" s="288"/>
      <c r="OGG1" s="288"/>
      <c r="OGH1" s="288"/>
      <c r="OGI1" s="288"/>
      <c r="OGJ1" s="288"/>
      <c r="OGK1" s="288"/>
      <c r="OGL1" s="288"/>
      <c r="OGM1" s="288"/>
      <c r="OGN1" s="288"/>
      <c r="OGO1" s="288"/>
      <c r="OGP1" s="288"/>
      <c r="OGQ1" s="288"/>
      <c r="OGR1" s="288"/>
      <c r="OGS1" s="288"/>
      <c r="OGT1" s="288"/>
      <c r="OGU1" s="288"/>
      <c r="OGV1" s="288"/>
      <c r="OGW1" s="288"/>
      <c r="OGX1" s="288"/>
      <c r="OGY1" s="288"/>
      <c r="OGZ1" s="288"/>
      <c r="OHA1" s="288"/>
      <c r="OHB1" s="288"/>
      <c r="OHC1" s="288"/>
      <c r="OHD1" s="288"/>
      <c r="OHE1" s="288"/>
      <c r="OHF1" s="288"/>
      <c r="OHG1" s="288"/>
      <c r="OHH1" s="288"/>
      <c r="OHI1" s="288"/>
      <c r="OHJ1" s="288"/>
      <c r="OHK1" s="288"/>
      <c r="OHL1" s="288"/>
      <c r="OHM1" s="288"/>
      <c r="OHN1" s="288"/>
      <c r="OHO1" s="288"/>
      <c r="OHP1" s="288"/>
      <c r="OHQ1" s="288"/>
      <c r="OHR1" s="288"/>
      <c r="OHS1" s="288"/>
      <c r="OHT1" s="288"/>
      <c r="OHU1" s="288"/>
      <c r="OHV1" s="288"/>
      <c r="OHW1" s="288"/>
      <c r="OHX1" s="288"/>
      <c r="OHY1" s="288"/>
      <c r="OHZ1" s="288"/>
      <c r="OIA1" s="288"/>
      <c r="OIB1" s="288"/>
      <c r="OIC1" s="288"/>
      <c r="OID1" s="288"/>
      <c r="OIE1" s="288"/>
      <c r="OIF1" s="288"/>
      <c r="OIG1" s="288"/>
      <c r="OIH1" s="288"/>
      <c r="OII1" s="288"/>
      <c r="OIJ1" s="288"/>
      <c r="OIK1" s="288"/>
      <c r="OIL1" s="288"/>
      <c r="OIM1" s="288"/>
      <c r="OIN1" s="288"/>
      <c r="OIO1" s="288"/>
      <c r="OIP1" s="288"/>
      <c r="OIQ1" s="288"/>
      <c r="OIR1" s="288"/>
      <c r="OIS1" s="288"/>
      <c r="OIT1" s="288"/>
      <c r="OIU1" s="288"/>
      <c r="OIV1" s="288"/>
      <c r="OIW1" s="288"/>
      <c r="OIX1" s="288"/>
      <c r="OIY1" s="288"/>
      <c r="OIZ1" s="288"/>
      <c r="OJA1" s="288"/>
      <c r="OJB1" s="288"/>
      <c r="OJC1" s="288"/>
      <c r="OJD1" s="288"/>
      <c r="OJE1" s="288"/>
      <c r="OJF1" s="288"/>
      <c r="OJG1" s="288"/>
      <c r="OJH1" s="288"/>
      <c r="OJI1" s="288"/>
      <c r="OJJ1" s="288"/>
      <c r="OJK1" s="288"/>
      <c r="OJL1" s="288"/>
      <c r="OJM1" s="288"/>
      <c r="OJN1" s="288"/>
      <c r="OJO1" s="288"/>
      <c r="OJP1" s="288"/>
      <c r="OJQ1" s="288"/>
      <c r="OJR1" s="288"/>
      <c r="OJS1" s="288"/>
      <c r="OJT1" s="288"/>
      <c r="OJU1" s="288"/>
      <c r="OJV1" s="288"/>
      <c r="OJW1" s="288"/>
      <c r="OJX1" s="288"/>
      <c r="OJY1" s="288"/>
      <c r="OJZ1" s="288"/>
      <c r="OKA1" s="288"/>
      <c r="OKB1" s="288"/>
      <c r="OKC1" s="288"/>
      <c r="OKD1" s="288"/>
      <c r="OKE1" s="288"/>
      <c r="OKF1" s="288"/>
      <c r="OKG1" s="288"/>
      <c r="OKH1" s="288"/>
      <c r="OKI1" s="288"/>
      <c r="OKJ1" s="288"/>
      <c r="OKK1" s="288"/>
      <c r="OKL1" s="288"/>
      <c r="OKM1" s="288"/>
      <c r="OKN1" s="288"/>
      <c r="OKO1" s="288"/>
      <c r="OKP1" s="288"/>
      <c r="OKQ1" s="288"/>
      <c r="OKR1" s="288"/>
      <c r="OKS1" s="288"/>
      <c r="OKT1" s="288"/>
      <c r="OKU1" s="288"/>
      <c r="OKV1" s="288"/>
      <c r="OKW1" s="288"/>
      <c r="OKX1" s="288"/>
      <c r="OKY1" s="288"/>
      <c r="OKZ1" s="288"/>
      <c r="OLA1" s="288"/>
      <c r="OLB1" s="288"/>
      <c r="OLC1" s="288"/>
      <c r="OLD1" s="288"/>
      <c r="OLE1" s="288"/>
      <c r="OLF1" s="288"/>
      <c r="OLG1" s="288"/>
      <c r="OLH1" s="288"/>
      <c r="OLI1" s="288"/>
      <c r="OLJ1" s="288"/>
      <c r="OLK1" s="288"/>
      <c r="OLL1" s="288"/>
      <c r="OLM1" s="288"/>
      <c r="OLN1" s="288"/>
      <c r="OLO1" s="288"/>
      <c r="OLP1" s="288"/>
      <c r="OLQ1" s="288"/>
      <c r="OLR1" s="288"/>
      <c r="OLS1" s="288"/>
      <c r="OLT1" s="288"/>
      <c r="OLU1" s="288"/>
      <c r="OLV1" s="288"/>
      <c r="OLW1" s="288"/>
      <c r="OLX1" s="288"/>
      <c r="OLY1" s="288"/>
      <c r="OLZ1" s="288"/>
      <c r="OMA1" s="288"/>
      <c r="OMB1" s="288"/>
      <c r="OMC1" s="288"/>
      <c r="OMD1" s="288"/>
      <c r="OME1" s="288"/>
      <c r="OMF1" s="288"/>
      <c r="OMG1" s="288"/>
      <c r="OMH1" s="288"/>
      <c r="OMI1" s="288"/>
      <c r="OMJ1" s="288"/>
      <c r="OMK1" s="288"/>
      <c r="OML1" s="288"/>
      <c r="OMM1" s="288"/>
      <c r="OMN1" s="288"/>
      <c r="OMO1" s="288"/>
      <c r="OMP1" s="288"/>
      <c r="OMQ1" s="288"/>
      <c r="OMR1" s="288"/>
      <c r="OMS1" s="288"/>
      <c r="OMT1" s="288"/>
      <c r="OMU1" s="288"/>
      <c r="OMV1" s="288"/>
      <c r="OMW1" s="288"/>
      <c r="OMX1" s="288"/>
      <c r="OMY1" s="288"/>
      <c r="OMZ1" s="288"/>
      <c r="ONA1" s="288"/>
      <c r="ONB1" s="288"/>
      <c r="ONC1" s="288"/>
      <c r="OND1" s="288"/>
      <c r="ONE1" s="288"/>
      <c r="ONF1" s="288"/>
      <c r="ONG1" s="288"/>
      <c r="ONH1" s="288"/>
      <c r="ONI1" s="288"/>
      <c r="ONJ1" s="288"/>
      <c r="ONK1" s="288"/>
      <c r="ONL1" s="288"/>
      <c r="ONM1" s="288"/>
      <c r="ONN1" s="288"/>
      <c r="ONO1" s="288"/>
      <c r="ONP1" s="288"/>
      <c r="ONQ1" s="288"/>
      <c r="ONR1" s="288"/>
      <c r="ONS1" s="288"/>
      <c r="ONT1" s="288"/>
      <c r="ONU1" s="288"/>
      <c r="ONV1" s="288"/>
      <c r="ONW1" s="288"/>
      <c r="ONX1" s="288"/>
      <c r="ONY1" s="288"/>
      <c r="ONZ1" s="288"/>
      <c r="OOA1" s="288"/>
      <c r="OOB1" s="288"/>
      <c r="OOC1" s="288"/>
      <c r="OOD1" s="288"/>
      <c r="OOE1" s="288"/>
      <c r="OOF1" s="288"/>
      <c r="OOG1" s="288"/>
      <c r="OOH1" s="288"/>
      <c r="OOI1" s="288"/>
      <c r="OOJ1" s="288"/>
      <c r="OOK1" s="288"/>
      <c r="OOL1" s="288"/>
      <c r="OOM1" s="288"/>
      <c r="OON1" s="288"/>
      <c r="OOO1" s="288"/>
      <c r="OOP1" s="288"/>
      <c r="OOQ1" s="288"/>
      <c r="OOR1" s="288"/>
      <c r="OOS1" s="288"/>
      <c r="OOT1" s="288"/>
      <c r="OOU1" s="288"/>
      <c r="OOV1" s="288"/>
      <c r="OOW1" s="288"/>
      <c r="OOX1" s="288"/>
      <c r="OOY1" s="288"/>
      <c r="OOZ1" s="288"/>
      <c r="OPA1" s="288"/>
      <c r="OPB1" s="288"/>
      <c r="OPC1" s="288"/>
      <c r="OPD1" s="288"/>
      <c r="OPE1" s="288"/>
      <c r="OPF1" s="288"/>
      <c r="OPG1" s="288"/>
      <c r="OPH1" s="288"/>
      <c r="OPI1" s="288"/>
      <c r="OPJ1" s="288"/>
      <c r="OPK1" s="288"/>
      <c r="OPL1" s="288"/>
      <c r="OPM1" s="288"/>
      <c r="OPN1" s="288"/>
      <c r="OPO1" s="288"/>
      <c r="OPP1" s="288"/>
      <c r="OPQ1" s="288"/>
      <c r="OPR1" s="288"/>
      <c r="OPS1" s="288"/>
      <c r="OPT1" s="288"/>
      <c r="OPU1" s="288"/>
      <c r="OPV1" s="288"/>
      <c r="OPW1" s="288"/>
      <c r="OPX1" s="288"/>
      <c r="OPY1" s="288"/>
      <c r="OPZ1" s="288"/>
      <c r="OQA1" s="288"/>
      <c r="OQB1" s="288"/>
      <c r="OQC1" s="288"/>
      <c r="OQD1" s="288"/>
      <c r="OQE1" s="288"/>
      <c r="OQF1" s="288"/>
      <c r="OQG1" s="288"/>
      <c r="OQH1" s="288"/>
      <c r="OQI1" s="288"/>
      <c r="OQJ1" s="288"/>
      <c r="OQK1" s="288"/>
      <c r="OQL1" s="288"/>
      <c r="OQM1" s="288"/>
      <c r="OQN1" s="288"/>
      <c r="OQO1" s="288"/>
      <c r="OQP1" s="288"/>
      <c r="OQQ1" s="288"/>
      <c r="OQR1" s="288"/>
      <c r="OQS1" s="288"/>
      <c r="OQT1" s="288"/>
      <c r="OQU1" s="288"/>
      <c r="OQV1" s="288"/>
      <c r="OQW1" s="288"/>
      <c r="OQX1" s="288"/>
      <c r="OQY1" s="288"/>
      <c r="OQZ1" s="288"/>
      <c r="ORA1" s="288"/>
      <c r="ORB1" s="288"/>
      <c r="ORC1" s="288"/>
      <c r="ORD1" s="288"/>
      <c r="ORE1" s="288"/>
      <c r="ORF1" s="288"/>
      <c r="ORG1" s="288"/>
      <c r="ORH1" s="288"/>
      <c r="ORI1" s="288"/>
      <c r="ORJ1" s="288"/>
      <c r="ORK1" s="288"/>
      <c r="ORL1" s="288"/>
      <c r="ORM1" s="288"/>
      <c r="ORN1" s="288"/>
      <c r="ORO1" s="288"/>
      <c r="ORP1" s="288"/>
      <c r="ORQ1" s="288"/>
      <c r="ORR1" s="288"/>
      <c r="ORS1" s="288"/>
      <c r="ORT1" s="288"/>
      <c r="ORU1" s="288"/>
      <c r="ORV1" s="288"/>
      <c r="ORW1" s="288"/>
      <c r="ORX1" s="288"/>
      <c r="ORY1" s="288"/>
      <c r="ORZ1" s="288"/>
      <c r="OSA1" s="288"/>
      <c r="OSB1" s="288"/>
      <c r="OSC1" s="288"/>
      <c r="OSD1" s="288"/>
      <c r="OSE1" s="288"/>
      <c r="OSF1" s="288"/>
      <c r="OSG1" s="288"/>
      <c r="OSH1" s="288"/>
      <c r="OSI1" s="288"/>
      <c r="OSJ1" s="288"/>
      <c r="OSK1" s="288"/>
      <c r="OSL1" s="288"/>
      <c r="OSM1" s="288"/>
      <c r="OSN1" s="288"/>
      <c r="OSO1" s="288"/>
      <c r="OSP1" s="288"/>
      <c r="OSQ1" s="288"/>
      <c r="OSR1" s="288"/>
      <c r="OSS1" s="288"/>
      <c r="OST1" s="288"/>
      <c r="OSU1" s="288"/>
      <c r="OSV1" s="288"/>
      <c r="OSW1" s="288"/>
      <c r="OSX1" s="288"/>
      <c r="OSY1" s="288"/>
      <c r="OSZ1" s="288"/>
      <c r="OTA1" s="288"/>
      <c r="OTB1" s="288"/>
      <c r="OTC1" s="288"/>
      <c r="OTD1" s="288"/>
      <c r="OTE1" s="288"/>
      <c r="OTF1" s="288"/>
      <c r="OTG1" s="288"/>
      <c r="OTH1" s="288"/>
      <c r="OTI1" s="288"/>
      <c r="OTJ1" s="288"/>
      <c r="OTK1" s="288"/>
      <c r="OTL1" s="288"/>
      <c r="OTM1" s="288"/>
      <c r="OTN1" s="288"/>
      <c r="OTO1" s="288"/>
      <c r="OTP1" s="288"/>
      <c r="OTQ1" s="288"/>
      <c r="OTR1" s="288"/>
      <c r="OTS1" s="288"/>
      <c r="OTT1" s="288"/>
      <c r="OTU1" s="288"/>
      <c r="OTV1" s="288"/>
      <c r="OTW1" s="288"/>
      <c r="OTX1" s="288"/>
      <c r="OTY1" s="288"/>
      <c r="OTZ1" s="288"/>
      <c r="OUA1" s="288"/>
      <c r="OUB1" s="288"/>
      <c r="OUC1" s="288"/>
      <c r="OUD1" s="288"/>
      <c r="OUE1" s="288"/>
      <c r="OUF1" s="288"/>
      <c r="OUG1" s="288"/>
      <c r="OUH1" s="288"/>
      <c r="OUI1" s="288"/>
      <c r="OUJ1" s="288"/>
      <c r="OUK1" s="288"/>
      <c r="OUL1" s="288"/>
      <c r="OUM1" s="288"/>
      <c r="OUN1" s="288"/>
      <c r="OUO1" s="288"/>
      <c r="OUP1" s="288"/>
      <c r="OUQ1" s="288"/>
      <c r="OUR1" s="288"/>
      <c r="OUS1" s="288"/>
      <c r="OUT1" s="288"/>
      <c r="OUU1" s="288"/>
      <c r="OUV1" s="288"/>
      <c r="OUW1" s="288"/>
      <c r="OUX1" s="288"/>
      <c r="OUY1" s="288"/>
      <c r="OUZ1" s="288"/>
      <c r="OVA1" s="288"/>
      <c r="OVB1" s="288"/>
      <c r="OVC1" s="288"/>
      <c r="OVD1" s="288"/>
      <c r="OVE1" s="288"/>
      <c r="OVF1" s="288"/>
      <c r="OVG1" s="288"/>
      <c r="OVH1" s="288"/>
      <c r="OVI1" s="288"/>
      <c r="OVJ1" s="288"/>
      <c r="OVK1" s="288"/>
      <c r="OVL1" s="288"/>
      <c r="OVM1" s="288"/>
      <c r="OVN1" s="288"/>
      <c r="OVO1" s="288"/>
      <c r="OVP1" s="288"/>
      <c r="OVQ1" s="288"/>
      <c r="OVR1" s="288"/>
      <c r="OVS1" s="288"/>
      <c r="OVT1" s="288"/>
      <c r="OVU1" s="288"/>
      <c r="OVV1" s="288"/>
      <c r="OVW1" s="288"/>
      <c r="OVX1" s="288"/>
      <c r="OVY1" s="288"/>
      <c r="OVZ1" s="288"/>
      <c r="OWA1" s="288"/>
      <c r="OWB1" s="288"/>
      <c r="OWC1" s="288"/>
      <c r="OWD1" s="288"/>
      <c r="OWE1" s="288"/>
      <c r="OWF1" s="288"/>
      <c r="OWG1" s="288"/>
      <c r="OWH1" s="288"/>
      <c r="OWI1" s="288"/>
      <c r="OWJ1" s="288"/>
      <c r="OWK1" s="288"/>
      <c r="OWL1" s="288"/>
      <c r="OWM1" s="288"/>
      <c r="OWN1" s="288"/>
      <c r="OWO1" s="288"/>
      <c r="OWP1" s="288"/>
      <c r="OWQ1" s="288"/>
      <c r="OWR1" s="288"/>
      <c r="OWS1" s="288"/>
      <c r="OWT1" s="288"/>
      <c r="OWU1" s="288"/>
      <c r="OWV1" s="288"/>
      <c r="OWW1" s="288"/>
      <c r="OWX1" s="288"/>
      <c r="OWY1" s="288"/>
      <c r="OWZ1" s="288"/>
      <c r="OXA1" s="288"/>
      <c r="OXB1" s="288"/>
      <c r="OXC1" s="288"/>
      <c r="OXD1" s="288"/>
      <c r="OXE1" s="288"/>
      <c r="OXF1" s="288"/>
      <c r="OXG1" s="288"/>
      <c r="OXH1" s="288"/>
      <c r="OXI1" s="288"/>
      <c r="OXJ1" s="288"/>
      <c r="OXK1" s="288"/>
      <c r="OXL1" s="288"/>
      <c r="OXM1" s="288"/>
      <c r="OXN1" s="288"/>
      <c r="OXO1" s="288"/>
      <c r="OXP1" s="288"/>
      <c r="OXQ1" s="288"/>
      <c r="OXR1" s="288"/>
      <c r="OXS1" s="288"/>
      <c r="OXT1" s="288"/>
      <c r="OXU1" s="288"/>
      <c r="OXV1" s="288"/>
      <c r="OXW1" s="288"/>
      <c r="OXX1" s="288"/>
      <c r="OXY1" s="288"/>
      <c r="OXZ1" s="288"/>
      <c r="OYA1" s="288"/>
      <c r="OYB1" s="288"/>
      <c r="OYC1" s="288"/>
      <c r="OYD1" s="288"/>
      <c r="OYE1" s="288"/>
      <c r="OYF1" s="288"/>
      <c r="OYG1" s="288"/>
      <c r="OYH1" s="288"/>
      <c r="OYI1" s="288"/>
      <c r="OYJ1" s="288"/>
      <c r="OYK1" s="288"/>
      <c r="OYL1" s="288"/>
      <c r="OYM1" s="288"/>
      <c r="OYN1" s="288"/>
      <c r="OYO1" s="288"/>
      <c r="OYP1" s="288"/>
      <c r="OYQ1" s="288"/>
      <c r="OYR1" s="288"/>
      <c r="OYS1" s="288"/>
      <c r="OYT1" s="288"/>
      <c r="OYU1" s="288"/>
      <c r="OYV1" s="288"/>
      <c r="OYW1" s="288"/>
      <c r="OYX1" s="288"/>
      <c r="OYY1" s="288"/>
      <c r="OYZ1" s="288"/>
      <c r="OZA1" s="288"/>
      <c r="OZB1" s="288"/>
      <c r="OZC1" s="288"/>
      <c r="OZD1" s="288"/>
      <c r="OZE1" s="288"/>
      <c r="OZF1" s="288"/>
      <c r="OZG1" s="288"/>
      <c r="OZH1" s="288"/>
      <c r="OZI1" s="288"/>
      <c r="OZJ1" s="288"/>
      <c r="OZK1" s="288"/>
      <c r="OZL1" s="288"/>
      <c r="OZM1" s="288"/>
      <c r="OZN1" s="288"/>
      <c r="OZO1" s="288"/>
      <c r="OZP1" s="288"/>
      <c r="OZQ1" s="288"/>
      <c r="OZR1" s="288"/>
      <c r="OZS1" s="288"/>
      <c r="OZT1" s="288"/>
      <c r="OZU1" s="288"/>
      <c r="OZV1" s="288"/>
      <c r="OZW1" s="288"/>
      <c r="OZX1" s="288"/>
      <c r="OZY1" s="288"/>
      <c r="OZZ1" s="288"/>
      <c r="PAA1" s="288"/>
      <c r="PAB1" s="288"/>
      <c r="PAC1" s="288"/>
      <c r="PAD1" s="288"/>
      <c r="PAE1" s="288"/>
      <c r="PAF1" s="288"/>
      <c r="PAG1" s="288"/>
      <c r="PAH1" s="288"/>
      <c r="PAI1" s="288"/>
      <c r="PAJ1" s="288"/>
      <c r="PAK1" s="288"/>
      <c r="PAL1" s="288"/>
      <c r="PAM1" s="288"/>
      <c r="PAN1" s="288"/>
      <c r="PAO1" s="288"/>
      <c r="PAP1" s="288"/>
      <c r="PAQ1" s="288"/>
      <c r="PAR1" s="288"/>
      <c r="PAS1" s="288"/>
      <c r="PAT1" s="288"/>
      <c r="PAU1" s="288"/>
      <c r="PAV1" s="288"/>
      <c r="PAW1" s="288"/>
      <c r="PAX1" s="288"/>
      <c r="PAY1" s="288"/>
      <c r="PAZ1" s="288"/>
      <c r="PBA1" s="288"/>
      <c r="PBB1" s="288"/>
      <c r="PBC1" s="288"/>
      <c r="PBD1" s="288"/>
      <c r="PBE1" s="288"/>
      <c r="PBF1" s="288"/>
      <c r="PBG1" s="288"/>
      <c r="PBH1" s="288"/>
      <c r="PBI1" s="288"/>
      <c r="PBJ1" s="288"/>
      <c r="PBK1" s="288"/>
      <c r="PBL1" s="288"/>
      <c r="PBM1" s="288"/>
      <c r="PBN1" s="288"/>
      <c r="PBO1" s="288"/>
      <c r="PBP1" s="288"/>
      <c r="PBQ1" s="288"/>
      <c r="PBR1" s="288"/>
      <c r="PBS1" s="288"/>
      <c r="PBT1" s="288"/>
      <c r="PBU1" s="288"/>
      <c r="PBV1" s="288"/>
      <c r="PBW1" s="288"/>
      <c r="PBX1" s="288"/>
      <c r="PBY1" s="288"/>
      <c r="PBZ1" s="288"/>
      <c r="PCA1" s="288"/>
      <c r="PCB1" s="288"/>
      <c r="PCC1" s="288"/>
      <c r="PCD1" s="288"/>
      <c r="PCE1" s="288"/>
      <c r="PCF1" s="288"/>
      <c r="PCG1" s="288"/>
      <c r="PCH1" s="288"/>
      <c r="PCI1" s="288"/>
      <c r="PCJ1" s="288"/>
      <c r="PCK1" s="288"/>
      <c r="PCL1" s="288"/>
      <c r="PCM1" s="288"/>
      <c r="PCN1" s="288"/>
      <c r="PCO1" s="288"/>
      <c r="PCP1" s="288"/>
      <c r="PCQ1" s="288"/>
      <c r="PCR1" s="288"/>
      <c r="PCS1" s="288"/>
      <c r="PCT1" s="288"/>
      <c r="PCU1" s="288"/>
      <c r="PCV1" s="288"/>
      <c r="PCW1" s="288"/>
      <c r="PCX1" s="288"/>
      <c r="PCY1" s="288"/>
      <c r="PCZ1" s="288"/>
      <c r="PDA1" s="288"/>
      <c r="PDB1" s="288"/>
      <c r="PDC1" s="288"/>
      <c r="PDD1" s="288"/>
      <c r="PDE1" s="288"/>
      <c r="PDF1" s="288"/>
      <c r="PDG1" s="288"/>
      <c r="PDH1" s="288"/>
      <c r="PDI1" s="288"/>
      <c r="PDJ1" s="288"/>
      <c r="PDK1" s="288"/>
      <c r="PDL1" s="288"/>
      <c r="PDM1" s="288"/>
      <c r="PDN1" s="288"/>
      <c r="PDO1" s="288"/>
      <c r="PDP1" s="288"/>
      <c r="PDQ1" s="288"/>
      <c r="PDR1" s="288"/>
      <c r="PDS1" s="288"/>
      <c r="PDT1" s="288"/>
      <c r="PDU1" s="288"/>
      <c r="PDV1" s="288"/>
      <c r="PDW1" s="288"/>
      <c r="PDX1" s="288"/>
      <c r="PDY1" s="288"/>
      <c r="PDZ1" s="288"/>
      <c r="PEA1" s="288"/>
      <c r="PEB1" s="288"/>
      <c r="PEC1" s="288"/>
      <c r="PED1" s="288"/>
      <c r="PEE1" s="288"/>
      <c r="PEF1" s="288"/>
      <c r="PEG1" s="288"/>
      <c r="PEH1" s="288"/>
      <c r="PEI1" s="288"/>
      <c r="PEJ1" s="288"/>
      <c r="PEK1" s="288"/>
      <c r="PEL1" s="288"/>
      <c r="PEM1" s="288"/>
      <c r="PEN1" s="288"/>
      <c r="PEO1" s="288"/>
      <c r="PEP1" s="288"/>
      <c r="PEQ1" s="288"/>
      <c r="PER1" s="288"/>
      <c r="PES1" s="288"/>
      <c r="PET1" s="288"/>
      <c r="PEU1" s="288"/>
      <c r="PEV1" s="288"/>
      <c r="PEW1" s="288"/>
      <c r="PEX1" s="288"/>
      <c r="PEY1" s="288"/>
      <c r="PEZ1" s="288"/>
      <c r="PFA1" s="288"/>
      <c r="PFB1" s="288"/>
      <c r="PFC1" s="288"/>
      <c r="PFD1" s="288"/>
      <c r="PFE1" s="288"/>
      <c r="PFF1" s="288"/>
      <c r="PFG1" s="288"/>
      <c r="PFH1" s="288"/>
      <c r="PFI1" s="288"/>
      <c r="PFJ1" s="288"/>
      <c r="PFK1" s="288"/>
      <c r="PFL1" s="288"/>
      <c r="PFM1" s="288"/>
      <c r="PFN1" s="288"/>
      <c r="PFO1" s="288"/>
      <c r="PFP1" s="288"/>
      <c r="PFQ1" s="288"/>
      <c r="PFR1" s="288"/>
      <c r="PFS1" s="288"/>
      <c r="PFT1" s="288"/>
      <c r="PFU1" s="288"/>
      <c r="PFV1" s="288"/>
      <c r="PFW1" s="288"/>
      <c r="PFX1" s="288"/>
      <c r="PFY1" s="288"/>
      <c r="PFZ1" s="288"/>
      <c r="PGA1" s="288"/>
      <c r="PGB1" s="288"/>
      <c r="PGC1" s="288"/>
      <c r="PGD1" s="288"/>
      <c r="PGE1" s="288"/>
      <c r="PGF1" s="288"/>
      <c r="PGG1" s="288"/>
      <c r="PGH1" s="288"/>
      <c r="PGI1" s="288"/>
      <c r="PGJ1" s="288"/>
      <c r="PGK1" s="288"/>
      <c r="PGL1" s="288"/>
      <c r="PGM1" s="288"/>
      <c r="PGN1" s="288"/>
      <c r="PGO1" s="288"/>
      <c r="PGP1" s="288"/>
      <c r="PGQ1" s="288"/>
      <c r="PGR1" s="288"/>
      <c r="PGS1" s="288"/>
      <c r="PGT1" s="288"/>
      <c r="PGU1" s="288"/>
      <c r="PGV1" s="288"/>
      <c r="PGW1" s="288"/>
      <c r="PGX1" s="288"/>
      <c r="PGY1" s="288"/>
      <c r="PGZ1" s="288"/>
      <c r="PHA1" s="288"/>
      <c r="PHB1" s="288"/>
      <c r="PHC1" s="288"/>
      <c r="PHD1" s="288"/>
      <c r="PHE1" s="288"/>
      <c r="PHF1" s="288"/>
      <c r="PHG1" s="288"/>
      <c r="PHH1" s="288"/>
      <c r="PHI1" s="288"/>
      <c r="PHJ1" s="288"/>
      <c r="PHK1" s="288"/>
      <c r="PHL1" s="288"/>
      <c r="PHM1" s="288"/>
      <c r="PHN1" s="288"/>
      <c r="PHO1" s="288"/>
      <c r="PHP1" s="288"/>
      <c r="PHQ1" s="288"/>
      <c r="PHR1" s="288"/>
      <c r="PHS1" s="288"/>
      <c r="PHT1" s="288"/>
      <c r="PHU1" s="288"/>
      <c r="PHV1" s="288"/>
      <c r="PHW1" s="288"/>
      <c r="PHX1" s="288"/>
      <c r="PHY1" s="288"/>
      <c r="PHZ1" s="288"/>
      <c r="PIA1" s="288"/>
      <c r="PIB1" s="288"/>
      <c r="PIC1" s="288"/>
      <c r="PID1" s="288"/>
      <c r="PIE1" s="288"/>
      <c r="PIF1" s="288"/>
      <c r="PIG1" s="288"/>
      <c r="PIH1" s="288"/>
      <c r="PII1" s="288"/>
      <c r="PIJ1" s="288"/>
      <c r="PIK1" s="288"/>
      <c r="PIL1" s="288"/>
      <c r="PIM1" s="288"/>
      <c r="PIN1" s="288"/>
      <c r="PIO1" s="288"/>
      <c r="PIP1" s="288"/>
      <c r="PIQ1" s="288"/>
      <c r="PIR1" s="288"/>
      <c r="PIS1" s="288"/>
      <c r="PIT1" s="288"/>
      <c r="PIU1" s="288"/>
      <c r="PIV1" s="288"/>
      <c r="PIW1" s="288"/>
      <c r="PIX1" s="288"/>
      <c r="PIY1" s="288"/>
      <c r="PIZ1" s="288"/>
      <c r="PJA1" s="288"/>
      <c r="PJB1" s="288"/>
      <c r="PJC1" s="288"/>
      <c r="PJD1" s="288"/>
      <c r="PJE1" s="288"/>
      <c r="PJF1" s="288"/>
      <c r="PJG1" s="288"/>
      <c r="PJH1" s="288"/>
      <c r="PJI1" s="288"/>
      <c r="PJJ1" s="288"/>
      <c r="PJK1" s="288"/>
      <c r="PJL1" s="288"/>
      <c r="PJM1" s="288"/>
      <c r="PJN1" s="288"/>
      <c r="PJO1" s="288"/>
      <c r="PJP1" s="288"/>
      <c r="PJQ1" s="288"/>
      <c r="PJR1" s="288"/>
      <c r="PJS1" s="288"/>
      <c r="PJT1" s="288"/>
      <c r="PJU1" s="288"/>
      <c r="PJV1" s="288"/>
      <c r="PJW1" s="288"/>
      <c r="PJX1" s="288"/>
      <c r="PJY1" s="288"/>
      <c r="PJZ1" s="288"/>
      <c r="PKA1" s="288"/>
      <c r="PKB1" s="288"/>
      <c r="PKC1" s="288"/>
      <c r="PKD1" s="288"/>
      <c r="PKE1" s="288"/>
      <c r="PKF1" s="288"/>
      <c r="PKG1" s="288"/>
      <c r="PKH1" s="288"/>
      <c r="PKI1" s="288"/>
      <c r="PKJ1" s="288"/>
      <c r="PKK1" s="288"/>
      <c r="PKL1" s="288"/>
      <c r="PKM1" s="288"/>
      <c r="PKN1" s="288"/>
      <c r="PKO1" s="288"/>
      <c r="PKP1" s="288"/>
      <c r="PKQ1" s="288"/>
      <c r="PKR1" s="288"/>
      <c r="PKS1" s="288"/>
      <c r="PKT1" s="288"/>
      <c r="PKU1" s="288"/>
      <c r="PKV1" s="288"/>
      <c r="PKW1" s="288"/>
      <c r="PKX1" s="288"/>
      <c r="PKY1" s="288"/>
      <c r="PKZ1" s="288"/>
      <c r="PLA1" s="288"/>
      <c r="PLB1" s="288"/>
      <c r="PLC1" s="288"/>
      <c r="PLD1" s="288"/>
      <c r="PLE1" s="288"/>
      <c r="PLF1" s="288"/>
      <c r="PLG1" s="288"/>
      <c r="PLH1" s="288"/>
      <c r="PLI1" s="288"/>
      <c r="PLJ1" s="288"/>
      <c r="PLK1" s="288"/>
      <c r="PLL1" s="288"/>
      <c r="PLM1" s="288"/>
      <c r="PLN1" s="288"/>
      <c r="PLO1" s="288"/>
      <c r="PLP1" s="288"/>
      <c r="PLQ1" s="288"/>
      <c r="PLR1" s="288"/>
      <c r="PLS1" s="288"/>
      <c r="PLT1" s="288"/>
      <c r="PLU1" s="288"/>
      <c r="PLV1" s="288"/>
      <c r="PLW1" s="288"/>
      <c r="PLX1" s="288"/>
      <c r="PLY1" s="288"/>
      <c r="PLZ1" s="288"/>
      <c r="PMA1" s="288"/>
      <c r="PMB1" s="288"/>
      <c r="PMC1" s="288"/>
      <c r="PMD1" s="288"/>
      <c r="PME1" s="288"/>
      <c r="PMF1" s="288"/>
      <c r="PMG1" s="288"/>
      <c r="PMH1" s="288"/>
      <c r="PMI1" s="288"/>
      <c r="PMJ1" s="288"/>
      <c r="PMK1" s="288"/>
      <c r="PML1" s="288"/>
      <c r="PMM1" s="288"/>
      <c r="PMN1" s="288"/>
      <c r="PMO1" s="288"/>
      <c r="PMP1" s="288"/>
      <c r="PMQ1" s="288"/>
      <c r="PMR1" s="288"/>
      <c r="PMS1" s="288"/>
      <c r="PMT1" s="288"/>
      <c r="PMU1" s="288"/>
      <c r="PMV1" s="288"/>
      <c r="PMW1" s="288"/>
      <c r="PMX1" s="288"/>
      <c r="PMY1" s="288"/>
      <c r="PMZ1" s="288"/>
      <c r="PNA1" s="288"/>
      <c r="PNB1" s="288"/>
      <c r="PNC1" s="288"/>
      <c r="PND1" s="288"/>
      <c r="PNE1" s="288"/>
      <c r="PNF1" s="288"/>
      <c r="PNG1" s="288"/>
      <c r="PNH1" s="288"/>
      <c r="PNI1" s="288"/>
      <c r="PNJ1" s="288"/>
      <c r="PNK1" s="288"/>
      <c r="PNL1" s="288"/>
      <c r="PNM1" s="288"/>
      <c r="PNN1" s="288"/>
      <c r="PNO1" s="288"/>
      <c r="PNP1" s="288"/>
      <c r="PNQ1" s="288"/>
      <c r="PNR1" s="288"/>
      <c r="PNS1" s="288"/>
      <c r="PNT1" s="288"/>
      <c r="PNU1" s="288"/>
      <c r="PNV1" s="288"/>
      <c r="PNW1" s="288"/>
      <c r="PNX1" s="288"/>
      <c r="PNY1" s="288"/>
      <c r="PNZ1" s="288"/>
      <c r="POA1" s="288"/>
      <c r="POB1" s="288"/>
      <c r="POC1" s="288"/>
      <c r="POD1" s="288"/>
      <c r="POE1" s="288"/>
      <c r="POF1" s="288"/>
      <c r="POG1" s="288"/>
      <c r="POH1" s="288"/>
      <c r="POI1" s="288"/>
      <c r="POJ1" s="288"/>
      <c r="POK1" s="288"/>
      <c r="POL1" s="288"/>
      <c r="POM1" s="288"/>
      <c r="PON1" s="288"/>
      <c r="POO1" s="288"/>
      <c r="POP1" s="288"/>
      <c r="POQ1" s="288"/>
      <c r="POR1" s="288"/>
      <c r="POS1" s="288"/>
      <c r="POT1" s="288"/>
      <c r="POU1" s="288"/>
      <c r="POV1" s="288"/>
      <c r="POW1" s="288"/>
      <c r="POX1" s="288"/>
      <c r="POY1" s="288"/>
      <c r="POZ1" s="288"/>
      <c r="PPA1" s="288"/>
      <c r="PPB1" s="288"/>
      <c r="PPC1" s="288"/>
      <c r="PPD1" s="288"/>
      <c r="PPE1" s="288"/>
      <c r="PPF1" s="288"/>
      <c r="PPG1" s="288"/>
      <c r="PPH1" s="288"/>
      <c r="PPI1" s="288"/>
      <c r="PPJ1" s="288"/>
      <c r="PPK1" s="288"/>
      <c r="PPL1" s="288"/>
      <c r="PPM1" s="288"/>
      <c r="PPN1" s="288"/>
      <c r="PPO1" s="288"/>
      <c r="PPP1" s="288"/>
      <c r="PPQ1" s="288"/>
      <c r="PPR1" s="288"/>
      <c r="PPS1" s="288"/>
      <c r="PPT1" s="288"/>
      <c r="PPU1" s="288"/>
      <c r="PPV1" s="288"/>
      <c r="PPW1" s="288"/>
      <c r="PPX1" s="288"/>
      <c r="PPY1" s="288"/>
      <c r="PPZ1" s="288"/>
      <c r="PQA1" s="288"/>
      <c r="PQB1" s="288"/>
      <c r="PQC1" s="288"/>
      <c r="PQD1" s="288"/>
      <c r="PQE1" s="288"/>
      <c r="PQF1" s="288"/>
      <c r="PQG1" s="288"/>
      <c r="PQH1" s="288"/>
      <c r="PQI1" s="288"/>
      <c r="PQJ1" s="288"/>
      <c r="PQK1" s="288"/>
      <c r="PQL1" s="288"/>
      <c r="PQM1" s="288"/>
      <c r="PQN1" s="288"/>
      <c r="PQO1" s="288"/>
      <c r="PQP1" s="288"/>
      <c r="PQQ1" s="288"/>
      <c r="PQR1" s="288"/>
      <c r="PQS1" s="288"/>
      <c r="PQT1" s="288"/>
      <c r="PQU1" s="288"/>
      <c r="PQV1" s="288"/>
      <c r="PQW1" s="288"/>
      <c r="PQX1" s="288"/>
      <c r="PQY1" s="288"/>
      <c r="PQZ1" s="288"/>
      <c r="PRA1" s="288"/>
      <c r="PRB1" s="288"/>
      <c r="PRC1" s="288"/>
      <c r="PRD1" s="288"/>
      <c r="PRE1" s="288"/>
      <c r="PRF1" s="288"/>
      <c r="PRG1" s="288"/>
      <c r="PRH1" s="288"/>
      <c r="PRI1" s="288"/>
      <c r="PRJ1" s="288"/>
      <c r="PRK1" s="288"/>
      <c r="PRL1" s="288"/>
      <c r="PRM1" s="288"/>
      <c r="PRN1" s="288"/>
      <c r="PRO1" s="288"/>
      <c r="PRP1" s="288"/>
      <c r="PRQ1" s="288"/>
      <c r="PRR1" s="288"/>
      <c r="PRS1" s="288"/>
      <c r="PRT1" s="288"/>
      <c r="PRU1" s="288"/>
      <c r="PRV1" s="288"/>
      <c r="PRW1" s="288"/>
      <c r="PRX1" s="288"/>
      <c r="PRY1" s="288"/>
      <c r="PRZ1" s="288"/>
      <c r="PSA1" s="288"/>
      <c r="PSB1" s="288"/>
      <c r="PSC1" s="288"/>
      <c r="PSD1" s="288"/>
      <c r="PSE1" s="288"/>
      <c r="PSF1" s="288"/>
      <c r="PSG1" s="288"/>
      <c r="PSH1" s="288"/>
      <c r="PSI1" s="288"/>
      <c r="PSJ1" s="288"/>
      <c r="PSK1" s="288"/>
      <c r="PSL1" s="288"/>
      <c r="PSM1" s="288"/>
      <c r="PSN1" s="288"/>
      <c r="PSO1" s="288"/>
      <c r="PSP1" s="288"/>
      <c r="PSQ1" s="288"/>
      <c r="PSR1" s="288"/>
      <c r="PSS1" s="288"/>
      <c r="PST1" s="288"/>
      <c r="PSU1" s="288"/>
      <c r="PSV1" s="288"/>
      <c r="PSW1" s="288"/>
      <c r="PSX1" s="288"/>
      <c r="PSY1" s="288"/>
      <c r="PSZ1" s="288"/>
      <c r="PTA1" s="288"/>
      <c r="PTB1" s="288"/>
      <c r="PTC1" s="288"/>
      <c r="PTD1" s="288"/>
      <c r="PTE1" s="288"/>
      <c r="PTF1" s="288"/>
      <c r="PTG1" s="288"/>
      <c r="PTH1" s="288"/>
      <c r="PTI1" s="288"/>
      <c r="PTJ1" s="288"/>
      <c r="PTK1" s="288"/>
      <c r="PTL1" s="288"/>
      <c r="PTM1" s="288"/>
      <c r="PTN1" s="288"/>
      <c r="PTO1" s="288"/>
      <c r="PTP1" s="288"/>
      <c r="PTQ1" s="288"/>
      <c r="PTR1" s="288"/>
      <c r="PTS1" s="288"/>
      <c r="PTT1" s="288"/>
      <c r="PTU1" s="288"/>
      <c r="PTV1" s="288"/>
      <c r="PTW1" s="288"/>
      <c r="PTX1" s="288"/>
      <c r="PTY1" s="288"/>
      <c r="PTZ1" s="288"/>
      <c r="PUA1" s="288"/>
      <c r="PUB1" s="288"/>
      <c r="PUC1" s="288"/>
      <c r="PUD1" s="288"/>
      <c r="PUE1" s="288"/>
      <c r="PUF1" s="288"/>
      <c r="PUG1" s="288"/>
      <c r="PUH1" s="288"/>
      <c r="PUI1" s="288"/>
      <c r="PUJ1" s="288"/>
      <c r="PUK1" s="288"/>
      <c r="PUL1" s="288"/>
      <c r="PUM1" s="288"/>
      <c r="PUN1" s="288"/>
      <c r="PUO1" s="288"/>
      <c r="PUP1" s="288"/>
      <c r="PUQ1" s="288"/>
      <c r="PUR1" s="288"/>
      <c r="PUS1" s="288"/>
      <c r="PUT1" s="288"/>
      <c r="PUU1" s="288"/>
      <c r="PUV1" s="288"/>
      <c r="PUW1" s="288"/>
      <c r="PUX1" s="288"/>
      <c r="PUY1" s="288"/>
      <c r="PUZ1" s="288"/>
      <c r="PVA1" s="288"/>
      <c r="PVB1" s="288"/>
      <c r="PVC1" s="288"/>
      <c r="PVD1" s="288"/>
      <c r="PVE1" s="288"/>
      <c r="PVF1" s="288"/>
      <c r="PVG1" s="288"/>
      <c r="PVH1" s="288"/>
      <c r="PVI1" s="288"/>
      <c r="PVJ1" s="288"/>
      <c r="PVK1" s="288"/>
      <c r="PVL1" s="288"/>
      <c r="PVM1" s="288"/>
      <c r="PVN1" s="288"/>
      <c r="PVO1" s="288"/>
      <c r="PVP1" s="288"/>
      <c r="PVQ1" s="288"/>
      <c r="PVR1" s="288"/>
      <c r="PVS1" s="288"/>
      <c r="PVT1" s="288"/>
      <c r="PVU1" s="288"/>
      <c r="PVV1" s="288"/>
      <c r="PVW1" s="288"/>
      <c r="PVX1" s="288"/>
      <c r="PVY1" s="288"/>
      <c r="PVZ1" s="288"/>
      <c r="PWA1" s="288"/>
      <c r="PWB1" s="288"/>
      <c r="PWC1" s="288"/>
      <c r="PWD1" s="288"/>
      <c r="PWE1" s="288"/>
      <c r="PWF1" s="288"/>
      <c r="PWG1" s="288"/>
      <c r="PWH1" s="288"/>
      <c r="PWI1" s="288"/>
      <c r="PWJ1" s="288"/>
      <c r="PWK1" s="288"/>
      <c r="PWL1" s="288"/>
      <c r="PWM1" s="288"/>
      <c r="PWN1" s="288"/>
      <c r="PWO1" s="288"/>
      <c r="PWP1" s="288"/>
      <c r="PWQ1" s="288"/>
      <c r="PWR1" s="288"/>
      <c r="PWS1" s="288"/>
      <c r="PWT1" s="288"/>
      <c r="PWU1" s="288"/>
      <c r="PWV1" s="288"/>
      <c r="PWW1" s="288"/>
      <c r="PWX1" s="288"/>
      <c r="PWY1" s="288"/>
      <c r="PWZ1" s="288"/>
      <c r="PXA1" s="288"/>
      <c r="PXB1" s="288"/>
      <c r="PXC1" s="288"/>
      <c r="PXD1" s="288"/>
      <c r="PXE1" s="288"/>
      <c r="PXF1" s="288"/>
      <c r="PXG1" s="288"/>
      <c r="PXH1" s="288"/>
      <c r="PXI1" s="288"/>
      <c r="PXJ1" s="288"/>
      <c r="PXK1" s="288"/>
      <c r="PXL1" s="288"/>
      <c r="PXM1" s="288"/>
      <c r="PXN1" s="288"/>
      <c r="PXO1" s="288"/>
      <c r="PXP1" s="288"/>
      <c r="PXQ1" s="288"/>
      <c r="PXR1" s="288"/>
      <c r="PXS1" s="288"/>
      <c r="PXT1" s="288"/>
      <c r="PXU1" s="288"/>
      <c r="PXV1" s="288"/>
      <c r="PXW1" s="288"/>
      <c r="PXX1" s="288"/>
      <c r="PXY1" s="288"/>
      <c r="PXZ1" s="288"/>
      <c r="PYA1" s="288"/>
      <c r="PYB1" s="288"/>
      <c r="PYC1" s="288"/>
      <c r="PYD1" s="288"/>
      <c r="PYE1" s="288"/>
      <c r="PYF1" s="288"/>
      <c r="PYG1" s="288"/>
      <c r="PYH1" s="288"/>
      <c r="PYI1" s="288"/>
      <c r="PYJ1" s="288"/>
      <c r="PYK1" s="288"/>
      <c r="PYL1" s="288"/>
      <c r="PYM1" s="288"/>
      <c r="PYN1" s="288"/>
      <c r="PYO1" s="288"/>
      <c r="PYP1" s="288"/>
      <c r="PYQ1" s="288"/>
      <c r="PYR1" s="288"/>
      <c r="PYS1" s="288"/>
      <c r="PYT1" s="288"/>
      <c r="PYU1" s="288"/>
      <c r="PYV1" s="288"/>
      <c r="PYW1" s="288"/>
      <c r="PYX1" s="288"/>
      <c r="PYY1" s="288"/>
      <c r="PYZ1" s="288"/>
      <c r="PZA1" s="288"/>
      <c r="PZB1" s="288"/>
      <c r="PZC1" s="288"/>
      <c r="PZD1" s="288"/>
      <c r="PZE1" s="288"/>
      <c r="PZF1" s="288"/>
      <c r="PZG1" s="288"/>
      <c r="PZH1" s="288"/>
      <c r="PZI1" s="288"/>
      <c r="PZJ1" s="288"/>
      <c r="PZK1" s="288"/>
      <c r="PZL1" s="288"/>
      <c r="PZM1" s="288"/>
      <c r="PZN1" s="288"/>
      <c r="PZO1" s="288"/>
      <c r="PZP1" s="288"/>
      <c r="PZQ1" s="288"/>
      <c r="PZR1" s="288"/>
      <c r="PZS1" s="288"/>
      <c r="PZT1" s="288"/>
      <c r="PZU1" s="288"/>
      <c r="PZV1" s="288"/>
      <c r="PZW1" s="288"/>
      <c r="PZX1" s="288"/>
      <c r="PZY1" s="288"/>
      <c r="PZZ1" s="288"/>
      <c r="QAA1" s="288"/>
      <c r="QAB1" s="288"/>
      <c r="QAC1" s="288"/>
      <c r="QAD1" s="288"/>
      <c r="QAE1" s="288"/>
      <c r="QAF1" s="288"/>
      <c r="QAG1" s="288"/>
      <c r="QAH1" s="288"/>
      <c r="QAI1" s="288"/>
      <c r="QAJ1" s="288"/>
      <c r="QAK1" s="288"/>
      <c r="QAL1" s="288"/>
      <c r="QAM1" s="288"/>
      <c r="QAN1" s="288"/>
      <c r="QAO1" s="288"/>
      <c r="QAP1" s="288"/>
      <c r="QAQ1" s="288"/>
      <c r="QAR1" s="288"/>
      <c r="QAS1" s="288"/>
      <c r="QAT1" s="288"/>
      <c r="QAU1" s="288"/>
      <c r="QAV1" s="288"/>
      <c r="QAW1" s="288"/>
      <c r="QAX1" s="288"/>
      <c r="QAY1" s="288"/>
      <c r="QAZ1" s="288"/>
      <c r="QBA1" s="288"/>
      <c r="QBB1" s="288"/>
      <c r="QBC1" s="288"/>
      <c r="QBD1" s="288"/>
      <c r="QBE1" s="288"/>
      <c r="QBF1" s="288"/>
      <c r="QBG1" s="288"/>
      <c r="QBH1" s="288"/>
      <c r="QBI1" s="288"/>
      <c r="QBJ1" s="288"/>
      <c r="QBK1" s="288"/>
      <c r="QBL1" s="288"/>
      <c r="QBM1" s="288"/>
      <c r="QBN1" s="288"/>
      <c r="QBO1" s="288"/>
      <c r="QBP1" s="288"/>
      <c r="QBQ1" s="288"/>
      <c r="QBR1" s="288"/>
      <c r="QBS1" s="288"/>
      <c r="QBT1" s="288"/>
      <c r="QBU1" s="288"/>
      <c r="QBV1" s="288"/>
      <c r="QBW1" s="288"/>
      <c r="QBX1" s="288"/>
      <c r="QBY1" s="288"/>
      <c r="QBZ1" s="288"/>
      <c r="QCA1" s="288"/>
      <c r="QCB1" s="288"/>
      <c r="QCC1" s="288"/>
      <c r="QCD1" s="288"/>
      <c r="QCE1" s="288"/>
      <c r="QCF1" s="288"/>
      <c r="QCG1" s="288"/>
      <c r="QCH1" s="288"/>
      <c r="QCI1" s="288"/>
      <c r="QCJ1" s="288"/>
      <c r="QCK1" s="288"/>
      <c r="QCL1" s="288"/>
      <c r="QCM1" s="288"/>
      <c r="QCN1" s="288"/>
      <c r="QCO1" s="288"/>
      <c r="QCP1" s="288"/>
      <c r="QCQ1" s="288"/>
      <c r="QCR1" s="288"/>
      <c r="QCS1" s="288"/>
      <c r="QCT1" s="288"/>
      <c r="QCU1" s="288"/>
      <c r="QCV1" s="288"/>
      <c r="QCW1" s="288"/>
      <c r="QCX1" s="288"/>
      <c r="QCY1" s="288"/>
      <c r="QCZ1" s="288"/>
      <c r="QDA1" s="288"/>
      <c r="QDB1" s="288"/>
      <c r="QDC1" s="288"/>
      <c r="QDD1" s="288"/>
      <c r="QDE1" s="288"/>
      <c r="QDF1" s="288"/>
      <c r="QDG1" s="288"/>
      <c r="QDH1" s="288"/>
      <c r="QDI1" s="288"/>
      <c r="QDJ1" s="288"/>
      <c r="QDK1" s="288"/>
      <c r="QDL1" s="288"/>
      <c r="QDM1" s="288"/>
      <c r="QDN1" s="288"/>
      <c r="QDO1" s="288"/>
      <c r="QDP1" s="288"/>
      <c r="QDQ1" s="288"/>
      <c r="QDR1" s="288"/>
      <c r="QDS1" s="288"/>
      <c r="QDT1" s="288"/>
      <c r="QDU1" s="288"/>
      <c r="QDV1" s="288"/>
      <c r="QDW1" s="288"/>
      <c r="QDX1" s="288"/>
      <c r="QDY1" s="288"/>
      <c r="QDZ1" s="288"/>
      <c r="QEA1" s="288"/>
      <c r="QEB1" s="288"/>
      <c r="QEC1" s="288"/>
      <c r="QED1" s="288"/>
      <c r="QEE1" s="288"/>
      <c r="QEF1" s="288"/>
      <c r="QEG1" s="288"/>
      <c r="QEH1" s="288"/>
      <c r="QEI1" s="288"/>
      <c r="QEJ1" s="288"/>
      <c r="QEK1" s="288"/>
      <c r="QEL1" s="288"/>
      <c r="QEM1" s="288"/>
      <c r="QEN1" s="288"/>
      <c r="QEO1" s="288"/>
      <c r="QEP1" s="288"/>
      <c r="QEQ1" s="288"/>
      <c r="QER1" s="288"/>
      <c r="QES1" s="288"/>
      <c r="QET1" s="288"/>
      <c r="QEU1" s="288"/>
      <c r="QEV1" s="288"/>
      <c r="QEW1" s="288"/>
      <c r="QEX1" s="288"/>
      <c r="QEY1" s="288"/>
      <c r="QEZ1" s="288"/>
      <c r="QFA1" s="288"/>
      <c r="QFB1" s="288"/>
      <c r="QFC1" s="288"/>
      <c r="QFD1" s="288"/>
      <c r="QFE1" s="288"/>
      <c r="QFF1" s="288"/>
      <c r="QFG1" s="288"/>
      <c r="QFH1" s="288"/>
      <c r="QFI1" s="288"/>
      <c r="QFJ1" s="288"/>
      <c r="QFK1" s="288"/>
      <c r="QFL1" s="288"/>
      <c r="QFM1" s="288"/>
      <c r="QFN1" s="288"/>
      <c r="QFO1" s="288"/>
      <c r="QFP1" s="288"/>
      <c r="QFQ1" s="288"/>
      <c r="QFR1" s="288"/>
      <c r="QFS1" s="288"/>
      <c r="QFT1" s="288"/>
      <c r="QFU1" s="288"/>
      <c r="QFV1" s="288"/>
      <c r="QFW1" s="288"/>
      <c r="QFX1" s="288"/>
      <c r="QFY1" s="288"/>
      <c r="QFZ1" s="288"/>
      <c r="QGA1" s="288"/>
      <c r="QGB1" s="288"/>
      <c r="QGC1" s="288"/>
      <c r="QGD1" s="288"/>
      <c r="QGE1" s="288"/>
      <c r="QGF1" s="288"/>
      <c r="QGG1" s="288"/>
      <c r="QGH1" s="288"/>
      <c r="QGI1" s="288"/>
      <c r="QGJ1" s="288"/>
      <c r="QGK1" s="288"/>
      <c r="QGL1" s="288"/>
      <c r="QGM1" s="288"/>
      <c r="QGN1" s="288"/>
      <c r="QGO1" s="288"/>
      <c r="QGP1" s="288"/>
      <c r="QGQ1" s="288"/>
      <c r="QGR1" s="288"/>
      <c r="QGS1" s="288"/>
      <c r="QGT1" s="288"/>
      <c r="QGU1" s="288"/>
      <c r="QGV1" s="288"/>
      <c r="QGW1" s="288"/>
      <c r="QGX1" s="288"/>
      <c r="QGY1" s="288"/>
      <c r="QGZ1" s="288"/>
      <c r="QHA1" s="288"/>
      <c r="QHB1" s="288"/>
      <c r="QHC1" s="288"/>
      <c r="QHD1" s="288"/>
      <c r="QHE1" s="288"/>
      <c r="QHF1" s="288"/>
      <c r="QHG1" s="288"/>
      <c r="QHH1" s="288"/>
      <c r="QHI1" s="288"/>
      <c r="QHJ1" s="288"/>
      <c r="QHK1" s="288"/>
      <c r="QHL1" s="288"/>
      <c r="QHM1" s="288"/>
      <c r="QHN1" s="288"/>
      <c r="QHO1" s="288"/>
      <c r="QHP1" s="288"/>
      <c r="QHQ1" s="288"/>
      <c r="QHR1" s="288"/>
      <c r="QHS1" s="288"/>
      <c r="QHT1" s="288"/>
      <c r="QHU1" s="288"/>
      <c r="QHV1" s="288"/>
      <c r="QHW1" s="288"/>
      <c r="QHX1" s="288"/>
      <c r="QHY1" s="288"/>
      <c r="QHZ1" s="288"/>
      <c r="QIA1" s="288"/>
      <c r="QIB1" s="288"/>
      <c r="QIC1" s="288"/>
      <c r="QID1" s="288"/>
      <c r="QIE1" s="288"/>
      <c r="QIF1" s="288"/>
      <c r="QIG1" s="288"/>
      <c r="QIH1" s="288"/>
      <c r="QII1" s="288"/>
      <c r="QIJ1" s="288"/>
      <c r="QIK1" s="288"/>
      <c r="QIL1" s="288"/>
      <c r="QIM1" s="288"/>
      <c r="QIN1" s="288"/>
      <c r="QIO1" s="288"/>
      <c r="QIP1" s="288"/>
      <c r="QIQ1" s="288"/>
      <c r="QIR1" s="288"/>
      <c r="QIS1" s="288"/>
      <c r="QIT1" s="288"/>
      <c r="QIU1" s="288"/>
      <c r="QIV1" s="288"/>
      <c r="QIW1" s="288"/>
      <c r="QIX1" s="288"/>
      <c r="QIY1" s="288"/>
      <c r="QIZ1" s="288"/>
      <c r="QJA1" s="288"/>
      <c r="QJB1" s="288"/>
      <c r="QJC1" s="288"/>
      <c r="QJD1" s="288"/>
      <c r="QJE1" s="288"/>
      <c r="QJF1" s="288"/>
      <c r="QJG1" s="288"/>
      <c r="QJH1" s="288"/>
      <c r="QJI1" s="288"/>
      <c r="QJJ1" s="288"/>
      <c r="QJK1" s="288"/>
      <c r="QJL1" s="288"/>
      <c r="QJM1" s="288"/>
      <c r="QJN1" s="288"/>
      <c r="QJO1" s="288"/>
      <c r="QJP1" s="288"/>
      <c r="QJQ1" s="288"/>
      <c r="QJR1" s="288"/>
      <c r="QJS1" s="288"/>
      <c r="QJT1" s="288"/>
      <c r="QJU1" s="288"/>
      <c r="QJV1" s="288"/>
      <c r="QJW1" s="288"/>
      <c r="QJX1" s="288"/>
      <c r="QJY1" s="288"/>
      <c r="QJZ1" s="288"/>
      <c r="QKA1" s="288"/>
      <c r="QKB1" s="288"/>
      <c r="QKC1" s="288"/>
      <c r="QKD1" s="288"/>
      <c r="QKE1" s="288"/>
      <c r="QKF1" s="288"/>
      <c r="QKG1" s="288"/>
      <c r="QKH1" s="288"/>
      <c r="QKI1" s="288"/>
      <c r="QKJ1" s="288"/>
      <c r="QKK1" s="288"/>
      <c r="QKL1" s="288"/>
      <c r="QKM1" s="288"/>
      <c r="QKN1" s="288"/>
      <c r="QKO1" s="288"/>
      <c r="QKP1" s="288"/>
      <c r="QKQ1" s="288"/>
      <c r="QKR1" s="288"/>
      <c r="QKS1" s="288"/>
      <c r="QKT1" s="288"/>
      <c r="QKU1" s="288"/>
      <c r="QKV1" s="288"/>
      <c r="QKW1" s="288"/>
      <c r="QKX1" s="288"/>
      <c r="QKY1" s="288"/>
      <c r="QKZ1" s="288"/>
      <c r="QLA1" s="288"/>
      <c r="QLB1" s="288"/>
      <c r="QLC1" s="288"/>
      <c r="QLD1" s="288"/>
      <c r="QLE1" s="288"/>
      <c r="QLF1" s="288"/>
      <c r="QLG1" s="288"/>
      <c r="QLH1" s="288"/>
      <c r="QLI1" s="288"/>
      <c r="QLJ1" s="288"/>
      <c r="QLK1" s="288"/>
      <c r="QLL1" s="288"/>
      <c r="QLM1" s="288"/>
      <c r="QLN1" s="288"/>
      <c r="QLO1" s="288"/>
      <c r="QLP1" s="288"/>
      <c r="QLQ1" s="288"/>
      <c r="QLR1" s="288"/>
      <c r="QLS1" s="288"/>
      <c r="QLT1" s="288"/>
      <c r="QLU1" s="288"/>
      <c r="QLV1" s="288"/>
      <c r="QLW1" s="288"/>
      <c r="QLX1" s="288"/>
      <c r="QLY1" s="288"/>
      <c r="QLZ1" s="288"/>
      <c r="QMA1" s="288"/>
      <c r="QMB1" s="288"/>
      <c r="QMC1" s="288"/>
      <c r="QMD1" s="288"/>
      <c r="QME1" s="288"/>
      <c r="QMF1" s="288"/>
      <c r="QMG1" s="288"/>
      <c r="QMH1" s="288"/>
      <c r="QMI1" s="288"/>
      <c r="QMJ1" s="288"/>
      <c r="QMK1" s="288"/>
      <c r="QML1" s="288"/>
      <c r="QMM1" s="288"/>
      <c r="QMN1" s="288"/>
      <c r="QMO1" s="288"/>
      <c r="QMP1" s="288"/>
      <c r="QMQ1" s="288"/>
      <c r="QMR1" s="288"/>
      <c r="QMS1" s="288"/>
      <c r="QMT1" s="288"/>
      <c r="QMU1" s="288"/>
      <c r="QMV1" s="288"/>
      <c r="QMW1" s="288"/>
      <c r="QMX1" s="288"/>
      <c r="QMY1" s="288"/>
      <c r="QMZ1" s="288"/>
      <c r="QNA1" s="288"/>
      <c r="QNB1" s="288"/>
      <c r="QNC1" s="288"/>
      <c r="QND1" s="288"/>
      <c r="QNE1" s="288"/>
      <c r="QNF1" s="288"/>
      <c r="QNG1" s="288"/>
      <c r="QNH1" s="288"/>
      <c r="QNI1" s="288"/>
      <c r="QNJ1" s="288"/>
      <c r="QNK1" s="288"/>
      <c r="QNL1" s="288"/>
      <c r="QNM1" s="288"/>
      <c r="QNN1" s="288"/>
      <c r="QNO1" s="288"/>
      <c r="QNP1" s="288"/>
      <c r="QNQ1" s="288"/>
      <c r="QNR1" s="288"/>
      <c r="QNS1" s="288"/>
      <c r="QNT1" s="288"/>
      <c r="QNU1" s="288"/>
      <c r="QNV1" s="288"/>
      <c r="QNW1" s="288"/>
      <c r="QNX1" s="288"/>
      <c r="QNY1" s="288"/>
      <c r="QNZ1" s="288"/>
      <c r="QOA1" s="288"/>
      <c r="QOB1" s="288"/>
      <c r="QOC1" s="288"/>
      <c r="QOD1" s="288"/>
      <c r="QOE1" s="288"/>
      <c r="QOF1" s="288"/>
      <c r="QOG1" s="288"/>
      <c r="QOH1" s="288"/>
      <c r="QOI1" s="288"/>
      <c r="QOJ1" s="288"/>
      <c r="QOK1" s="288"/>
      <c r="QOL1" s="288"/>
      <c r="QOM1" s="288"/>
      <c r="QON1" s="288"/>
      <c r="QOO1" s="288"/>
      <c r="QOP1" s="288"/>
      <c r="QOQ1" s="288"/>
      <c r="QOR1" s="288"/>
      <c r="QOS1" s="288"/>
      <c r="QOT1" s="288"/>
      <c r="QOU1" s="288"/>
      <c r="QOV1" s="288"/>
      <c r="QOW1" s="288"/>
      <c r="QOX1" s="288"/>
      <c r="QOY1" s="288"/>
      <c r="QOZ1" s="288"/>
      <c r="QPA1" s="288"/>
      <c r="QPB1" s="288"/>
      <c r="QPC1" s="288"/>
      <c r="QPD1" s="288"/>
      <c r="QPE1" s="288"/>
      <c r="QPF1" s="288"/>
      <c r="QPG1" s="288"/>
      <c r="QPH1" s="288"/>
      <c r="QPI1" s="288"/>
      <c r="QPJ1" s="288"/>
      <c r="QPK1" s="288"/>
      <c r="QPL1" s="288"/>
      <c r="QPM1" s="288"/>
      <c r="QPN1" s="288"/>
      <c r="QPO1" s="288"/>
      <c r="QPP1" s="288"/>
      <c r="QPQ1" s="288"/>
      <c r="QPR1" s="288"/>
      <c r="QPS1" s="288"/>
      <c r="QPT1" s="288"/>
      <c r="QPU1" s="288"/>
      <c r="QPV1" s="288"/>
      <c r="QPW1" s="288"/>
      <c r="QPX1" s="288"/>
      <c r="QPY1" s="288"/>
      <c r="QPZ1" s="288"/>
      <c r="QQA1" s="288"/>
      <c r="QQB1" s="288"/>
      <c r="QQC1" s="288"/>
      <c r="QQD1" s="288"/>
      <c r="QQE1" s="288"/>
      <c r="QQF1" s="288"/>
      <c r="QQG1" s="288"/>
      <c r="QQH1" s="288"/>
      <c r="QQI1" s="288"/>
      <c r="QQJ1" s="288"/>
      <c r="QQK1" s="288"/>
      <c r="QQL1" s="288"/>
      <c r="QQM1" s="288"/>
      <c r="QQN1" s="288"/>
      <c r="QQO1" s="288"/>
      <c r="QQP1" s="288"/>
      <c r="QQQ1" s="288"/>
      <c r="QQR1" s="288"/>
      <c r="QQS1" s="288"/>
      <c r="QQT1" s="288"/>
      <c r="QQU1" s="288"/>
      <c r="QQV1" s="288"/>
      <c r="QQW1" s="288"/>
      <c r="QQX1" s="288"/>
      <c r="QQY1" s="288"/>
      <c r="QQZ1" s="288"/>
      <c r="QRA1" s="288"/>
      <c r="QRB1" s="288"/>
      <c r="QRC1" s="288"/>
      <c r="QRD1" s="288"/>
      <c r="QRE1" s="288"/>
      <c r="QRF1" s="288"/>
      <c r="QRG1" s="288"/>
      <c r="QRH1" s="288"/>
      <c r="QRI1" s="288"/>
      <c r="QRJ1" s="288"/>
      <c r="QRK1" s="288"/>
      <c r="QRL1" s="288"/>
      <c r="QRM1" s="288"/>
      <c r="QRN1" s="288"/>
      <c r="QRO1" s="288"/>
      <c r="QRP1" s="288"/>
      <c r="QRQ1" s="288"/>
      <c r="QRR1" s="288"/>
      <c r="QRS1" s="288"/>
      <c r="QRT1" s="288"/>
      <c r="QRU1" s="288"/>
      <c r="QRV1" s="288"/>
      <c r="QRW1" s="288"/>
      <c r="QRX1" s="288"/>
      <c r="QRY1" s="288"/>
      <c r="QRZ1" s="288"/>
      <c r="QSA1" s="288"/>
      <c r="QSB1" s="288"/>
      <c r="QSC1" s="288"/>
      <c r="QSD1" s="288"/>
      <c r="QSE1" s="288"/>
      <c r="QSF1" s="288"/>
      <c r="QSG1" s="288"/>
      <c r="QSH1" s="288"/>
      <c r="QSI1" s="288"/>
      <c r="QSJ1" s="288"/>
      <c r="QSK1" s="288"/>
      <c r="QSL1" s="288"/>
      <c r="QSM1" s="288"/>
      <c r="QSN1" s="288"/>
      <c r="QSO1" s="288"/>
      <c r="QSP1" s="288"/>
      <c r="QSQ1" s="288"/>
      <c r="QSR1" s="288"/>
      <c r="QSS1" s="288"/>
      <c r="QST1" s="288"/>
      <c r="QSU1" s="288"/>
      <c r="QSV1" s="288"/>
      <c r="QSW1" s="288"/>
      <c r="QSX1" s="288"/>
      <c r="QSY1" s="288"/>
      <c r="QSZ1" s="288"/>
      <c r="QTA1" s="288"/>
      <c r="QTB1" s="288"/>
      <c r="QTC1" s="288"/>
      <c r="QTD1" s="288"/>
      <c r="QTE1" s="288"/>
      <c r="QTF1" s="288"/>
      <c r="QTG1" s="288"/>
      <c r="QTH1" s="288"/>
      <c r="QTI1" s="288"/>
      <c r="QTJ1" s="288"/>
      <c r="QTK1" s="288"/>
      <c r="QTL1" s="288"/>
      <c r="QTM1" s="288"/>
      <c r="QTN1" s="288"/>
      <c r="QTO1" s="288"/>
      <c r="QTP1" s="288"/>
      <c r="QTQ1" s="288"/>
      <c r="QTR1" s="288"/>
      <c r="QTS1" s="288"/>
      <c r="QTT1" s="288"/>
      <c r="QTU1" s="288"/>
      <c r="QTV1" s="288"/>
      <c r="QTW1" s="288"/>
      <c r="QTX1" s="288"/>
      <c r="QTY1" s="288"/>
      <c r="QTZ1" s="288"/>
      <c r="QUA1" s="288"/>
      <c r="QUB1" s="288"/>
      <c r="QUC1" s="288"/>
      <c r="QUD1" s="288"/>
      <c r="QUE1" s="288"/>
      <c r="QUF1" s="288"/>
      <c r="QUG1" s="288"/>
      <c r="QUH1" s="288"/>
      <c r="QUI1" s="288"/>
      <c r="QUJ1" s="288"/>
      <c r="QUK1" s="288"/>
      <c r="QUL1" s="288"/>
      <c r="QUM1" s="288"/>
      <c r="QUN1" s="288"/>
      <c r="QUO1" s="288"/>
      <c r="QUP1" s="288"/>
      <c r="QUQ1" s="288"/>
      <c r="QUR1" s="288"/>
      <c r="QUS1" s="288"/>
      <c r="QUT1" s="288"/>
      <c r="QUU1" s="288"/>
      <c r="QUV1" s="288"/>
      <c r="QUW1" s="288"/>
      <c r="QUX1" s="288"/>
      <c r="QUY1" s="288"/>
      <c r="QUZ1" s="288"/>
      <c r="QVA1" s="288"/>
      <c r="QVB1" s="288"/>
      <c r="QVC1" s="288"/>
      <c r="QVD1" s="288"/>
      <c r="QVE1" s="288"/>
      <c r="QVF1" s="288"/>
      <c r="QVG1" s="288"/>
      <c r="QVH1" s="288"/>
      <c r="QVI1" s="288"/>
      <c r="QVJ1" s="288"/>
      <c r="QVK1" s="288"/>
      <c r="QVL1" s="288"/>
      <c r="QVM1" s="288"/>
      <c r="QVN1" s="288"/>
      <c r="QVO1" s="288"/>
      <c r="QVP1" s="288"/>
      <c r="QVQ1" s="288"/>
      <c r="QVR1" s="288"/>
      <c r="QVS1" s="288"/>
      <c r="QVT1" s="288"/>
      <c r="QVU1" s="288"/>
      <c r="QVV1" s="288"/>
      <c r="QVW1" s="288"/>
      <c r="QVX1" s="288"/>
      <c r="QVY1" s="288"/>
      <c r="QVZ1" s="288"/>
      <c r="QWA1" s="288"/>
      <c r="QWB1" s="288"/>
      <c r="QWC1" s="288"/>
      <c r="QWD1" s="288"/>
      <c r="QWE1" s="288"/>
      <c r="QWF1" s="288"/>
      <c r="QWG1" s="288"/>
      <c r="QWH1" s="288"/>
      <c r="QWI1" s="288"/>
      <c r="QWJ1" s="288"/>
      <c r="QWK1" s="288"/>
      <c r="QWL1" s="288"/>
      <c r="QWM1" s="288"/>
      <c r="QWN1" s="288"/>
      <c r="QWO1" s="288"/>
      <c r="QWP1" s="288"/>
      <c r="QWQ1" s="288"/>
      <c r="QWR1" s="288"/>
      <c r="QWS1" s="288"/>
      <c r="QWT1" s="288"/>
      <c r="QWU1" s="288"/>
      <c r="QWV1" s="288"/>
      <c r="QWW1" s="288"/>
      <c r="QWX1" s="288"/>
      <c r="QWY1" s="288"/>
      <c r="QWZ1" s="288"/>
      <c r="QXA1" s="288"/>
      <c r="QXB1" s="288"/>
      <c r="QXC1" s="288"/>
      <c r="QXD1" s="288"/>
      <c r="QXE1" s="288"/>
      <c r="QXF1" s="288"/>
      <c r="QXG1" s="288"/>
      <c r="QXH1" s="288"/>
      <c r="QXI1" s="288"/>
      <c r="QXJ1" s="288"/>
      <c r="QXK1" s="288"/>
      <c r="QXL1" s="288"/>
      <c r="QXM1" s="288"/>
      <c r="QXN1" s="288"/>
      <c r="QXO1" s="288"/>
      <c r="QXP1" s="288"/>
      <c r="QXQ1" s="288"/>
      <c r="QXR1" s="288"/>
      <c r="QXS1" s="288"/>
      <c r="QXT1" s="288"/>
      <c r="QXU1" s="288"/>
      <c r="QXV1" s="288"/>
      <c r="QXW1" s="288"/>
      <c r="QXX1" s="288"/>
      <c r="QXY1" s="288"/>
      <c r="QXZ1" s="288"/>
      <c r="QYA1" s="288"/>
      <c r="QYB1" s="288"/>
      <c r="QYC1" s="288"/>
      <c r="QYD1" s="288"/>
      <c r="QYE1" s="288"/>
      <c r="QYF1" s="288"/>
      <c r="QYG1" s="288"/>
      <c r="QYH1" s="288"/>
      <c r="QYI1" s="288"/>
      <c r="QYJ1" s="288"/>
      <c r="QYK1" s="288"/>
      <c r="QYL1" s="288"/>
      <c r="QYM1" s="288"/>
      <c r="QYN1" s="288"/>
      <c r="QYO1" s="288"/>
      <c r="QYP1" s="288"/>
      <c r="QYQ1" s="288"/>
      <c r="QYR1" s="288"/>
      <c r="QYS1" s="288"/>
      <c r="QYT1" s="288"/>
      <c r="QYU1" s="288"/>
      <c r="QYV1" s="288"/>
      <c r="QYW1" s="288"/>
      <c r="QYX1" s="288"/>
      <c r="QYY1" s="288"/>
      <c r="QYZ1" s="288"/>
      <c r="QZA1" s="288"/>
      <c r="QZB1" s="288"/>
      <c r="QZC1" s="288"/>
      <c r="QZD1" s="288"/>
      <c r="QZE1" s="288"/>
      <c r="QZF1" s="288"/>
      <c r="QZG1" s="288"/>
      <c r="QZH1" s="288"/>
      <c r="QZI1" s="288"/>
      <c r="QZJ1" s="288"/>
      <c r="QZK1" s="288"/>
      <c r="QZL1" s="288"/>
      <c r="QZM1" s="288"/>
      <c r="QZN1" s="288"/>
      <c r="QZO1" s="288"/>
      <c r="QZP1" s="288"/>
      <c r="QZQ1" s="288"/>
      <c r="QZR1" s="288"/>
      <c r="QZS1" s="288"/>
      <c r="QZT1" s="288"/>
      <c r="QZU1" s="288"/>
      <c r="QZV1" s="288"/>
      <c r="QZW1" s="288"/>
      <c r="QZX1" s="288"/>
      <c r="QZY1" s="288"/>
      <c r="QZZ1" s="288"/>
      <c r="RAA1" s="288"/>
      <c r="RAB1" s="288"/>
      <c r="RAC1" s="288"/>
      <c r="RAD1" s="288"/>
      <c r="RAE1" s="288"/>
      <c r="RAF1" s="288"/>
      <c r="RAG1" s="288"/>
      <c r="RAH1" s="288"/>
      <c r="RAI1" s="288"/>
      <c r="RAJ1" s="288"/>
      <c r="RAK1" s="288"/>
      <c r="RAL1" s="288"/>
      <c r="RAM1" s="288"/>
      <c r="RAN1" s="288"/>
      <c r="RAO1" s="288"/>
      <c r="RAP1" s="288"/>
      <c r="RAQ1" s="288"/>
      <c r="RAR1" s="288"/>
      <c r="RAS1" s="288"/>
      <c r="RAT1" s="288"/>
      <c r="RAU1" s="288"/>
      <c r="RAV1" s="288"/>
      <c r="RAW1" s="288"/>
      <c r="RAX1" s="288"/>
      <c r="RAY1" s="288"/>
      <c r="RAZ1" s="288"/>
      <c r="RBA1" s="288"/>
      <c r="RBB1" s="288"/>
      <c r="RBC1" s="288"/>
      <c r="RBD1" s="288"/>
      <c r="RBE1" s="288"/>
      <c r="RBF1" s="288"/>
      <c r="RBG1" s="288"/>
      <c r="RBH1" s="288"/>
      <c r="RBI1" s="288"/>
      <c r="RBJ1" s="288"/>
      <c r="RBK1" s="288"/>
      <c r="RBL1" s="288"/>
      <c r="RBM1" s="288"/>
      <c r="RBN1" s="288"/>
      <c r="RBO1" s="288"/>
      <c r="RBP1" s="288"/>
      <c r="RBQ1" s="288"/>
      <c r="RBR1" s="288"/>
      <c r="RBS1" s="288"/>
      <c r="RBT1" s="288"/>
      <c r="RBU1" s="288"/>
      <c r="RBV1" s="288"/>
      <c r="RBW1" s="288"/>
      <c r="RBX1" s="288"/>
      <c r="RBY1" s="288"/>
      <c r="RBZ1" s="288"/>
      <c r="RCA1" s="288"/>
      <c r="RCB1" s="288"/>
      <c r="RCC1" s="288"/>
      <c r="RCD1" s="288"/>
      <c r="RCE1" s="288"/>
      <c r="RCF1" s="288"/>
      <c r="RCG1" s="288"/>
      <c r="RCH1" s="288"/>
      <c r="RCI1" s="288"/>
      <c r="RCJ1" s="288"/>
      <c r="RCK1" s="288"/>
      <c r="RCL1" s="288"/>
      <c r="RCM1" s="288"/>
      <c r="RCN1" s="288"/>
      <c r="RCO1" s="288"/>
      <c r="RCP1" s="288"/>
      <c r="RCQ1" s="288"/>
      <c r="RCR1" s="288"/>
      <c r="RCS1" s="288"/>
      <c r="RCT1" s="288"/>
      <c r="RCU1" s="288"/>
      <c r="RCV1" s="288"/>
      <c r="RCW1" s="288"/>
      <c r="RCX1" s="288"/>
      <c r="RCY1" s="288"/>
      <c r="RCZ1" s="288"/>
      <c r="RDA1" s="288"/>
      <c r="RDB1" s="288"/>
      <c r="RDC1" s="288"/>
      <c r="RDD1" s="288"/>
      <c r="RDE1" s="288"/>
      <c r="RDF1" s="288"/>
      <c r="RDG1" s="288"/>
      <c r="RDH1" s="288"/>
      <c r="RDI1" s="288"/>
      <c r="RDJ1" s="288"/>
      <c r="RDK1" s="288"/>
      <c r="RDL1" s="288"/>
      <c r="RDM1" s="288"/>
      <c r="RDN1" s="288"/>
      <c r="RDO1" s="288"/>
      <c r="RDP1" s="288"/>
      <c r="RDQ1" s="288"/>
      <c r="RDR1" s="288"/>
      <c r="RDS1" s="288"/>
      <c r="RDT1" s="288"/>
      <c r="RDU1" s="288"/>
      <c r="RDV1" s="288"/>
      <c r="RDW1" s="288"/>
      <c r="RDX1" s="288"/>
      <c r="RDY1" s="288"/>
      <c r="RDZ1" s="288"/>
      <c r="REA1" s="288"/>
      <c r="REB1" s="288"/>
      <c r="REC1" s="288"/>
      <c r="RED1" s="288"/>
      <c r="REE1" s="288"/>
      <c r="REF1" s="288"/>
      <c r="REG1" s="288"/>
      <c r="REH1" s="288"/>
      <c r="REI1" s="288"/>
      <c r="REJ1" s="288"/>
      <c r="REK1" s="288"/>
      <c r="REL1" s="288"/>
      <c r="REM1" s="288"/>
      <c r="REN1" s="288"/>
      <c r="REO1" s="288"/>
      <c r="REP1" s="288"/>
      <c r="REQ1" s="288"/>
      <c r="RER1" s="288"/>
      <c r="RES1" s="288"/>
      <c r="RET1" s="288"/>
      <c r="REU1" s="288"/>
      <c r="REV1" s="288"/>
      <c r="REW1" s="288"/>
      <c r="REX1" s="288"/>
      <c r="REY1" s="288"/>
      <c r="REZ1" s="288"/>
      <c r="RFA1" s="288"/>
      <c r="RFB1" s="288"/>
      <c r="RFC1" s="288"/>
      <c r="RFD1" s="288"/>
      <c r="RFE1" s="288"/>
      <c r="RFF1" s="288"/>
      <c r="RFG1" s="288"/>
      <c r="RFH1" s="288"/>
      <c r="RFI1" s="288"/>
      <c r="RFJ1" s="288"/>
      <c r="RFK1" s="288"/>
      <c r="RFL1" s="288"/>
      <c r="RFM1" s="288"/>
      <c r="RFN1" s="288"/>
      <c r="RFO1" s="288"/>
      <c r="RFP1" s="288"/>
      <c r="RFQ1" s="288"/>
      <c r="RFR1" s="288"/>
      <c r="RFS1" s="288"/>
      <c r="RFT1" s="288"/>
      <c r="RFU1" s="288"/>
      <c r="RFV1" s="288"/>
      <c r="RFW1" s="288"/>
      <c r="RFX1" s="288"/>
      <c r="RFY1" s="288"/>
      <c r="RFZ1" s="288"/>
      <c r="RGA1" s="288"/>
      <c r="RGB1" s="288"/>
      <c r="RGC1" s="288"/>
      <c r="RGD1" s="288"/>
      <c r="RGE1" s="288"/>
      <c r="RGF1" s="288"/>
      <c r="RGG1" s="288"/>
      <c r="RGH1" s="288"/>
      <c r="RGI1" s="288"/>
      <c r="RGJ1" s="288"/>
      <c r="RGK1" s="288"/>
      <c r="RGL1" s="288"/>
      <c r="RGM1" s="288"/>
      <c r="RGN1" s="288"/>
      <c r="RGO1" s="288"/>
      <c r="RGP1" s="288"/>
      <c r="RGQ1" s="288"/>
      <c r="RGR1" s="288"/>
      <c r="RGS1" s="288"/>
      <c r="RGT1" s="288"/>
      <c r="RGU1" s="288"/>
      <c r="RGV1" s="288"/>
      <c r="RGW1" s="288"/>
      <c r="RGX1" s="288"/>
      <c r="RGY1" s="288"/>
      <c r="RGZ1" s="288"/>
      <c r="RHA1" s="288"/>
      <c r="RHB1" s="288"/>
      <c r="RHC1" s="288"/>
      <c r="RHD1" s="288"/>
      <c r="RHE1" s="288"/>
      <c r="RHF1" s="288"/>
      <c r="RHG1" s="288"/>
      <c r="RHH1" s="288"/>
      <c r="RHI1" s="288"/>
      <c r="RHJ1" s="288"/>
      <c r="RHK1" s="288"/>
      <c r="RHL1" s="288"/>
      <c r="RHM1" s="288"/>
      <c r="RHN1" s="288"/>
      <c r="RHO1" s="288"/>
      <c r="RHP1" s="288"/>
      <c r="RHQ1" s="288"/>
      <c r="RHR1" s="288"/>
      <c r="RHS1" s="288"/>
      <c r="RHT1" s="288"/>
      <c r="RHU1" s="288"/>
      <c r="RHV1" s="288"/>
      <c r="RHW1" s="288"/>
      <c r="RHX1" s="288"/>
      <c r="RHY1" s="288"/>
      <c r="RHZ1" s="288"/>
      <c r="RIA1" s="288"/>
      <c r="RIB1" s="288"/>
      <c r="RIC1" s="288"/>
      <c r="RID1" s="288"/>
      <c r="RIE1" s="288"/>
      <c r="RIF1" s="288"/>
      <c r="RIG1" s="288"/>
      <c r="RIH1" s="288"/>
      <c r="RII1" s="288"/>
      <c r="RIJ1" s="288"/>
      <c r="RIK1" s="288"/>
      <c r="RIL1" s="288"/>
      <c r="RIM1" s="288"/>
      <c r="RIN1" s="288"/>
      <c r="RIO1" s="288"/>
      <c r="RIP1" s="288"/>
      <c r="RIQ1" s="288"/>
      <c r="RIR1" s="288"/>
      <c r="RIS1" s="288"/>
      <c r="RIT1" s="288"/>
      <c r="RIU1" s="288"/>
      <c r="RIV1" s="288"/>
      <c r="RIW1" s="288"/>
      <c r="RIX1" s="288"/>
      <c r="RIY1" s="288"/>
      <c r="RIZ1" s="288"/>
      <c r="RJA1" s="288"/>
      <c r="RJB1" s="288"/>
      <c r="RJC1" s="288"/>
      <c r="RJD1" s="288"/>
      <c r="RJE1" s="288"/>
      <c r="RJF1" s="288"/>
      <c r="RJG1" s="288"/>
      <c r="RJH1" s="288"/>
      <c r="RJI1" s="288"/>
      <c r="RJJ1" s="288"/>
      <c r="RJK1" s="288"/>
      <c r="RJL1" s="288"/>
      <c r="RJM1" s="288"/>
      <c r="RJN1" s="288"/>
      <c r="RJO1" s="288"/>
      <c r="RJP1" s="288"/>
      <c r="RJQ1" s="288"/>
      <c r="RJR1" s="288"/>
      <c r="RJS1" s="288"/>
      <c r="RJT1" s="288"/>
      <c r="RJU1" s="288"/>
      <c r="RJV1" s="288"/>
      <c r="RJW1" s="288"/>
      <c r="RJX1" s="288"/>
      <c r="RJY1" s="288"/>
      <c r="RJZ1" s="288"/>
      <c r="RKA1" s="288"/>
      <c r="RKB1" s="288"/>
      <c r="RKC1" s="288"/>
      <c r="RKD1" s="288"/>
      <c r="RKE1" s="288"/>
      <c r="RKF1" s="288"/>
      <c r="RKG1" s="288"/>
      <c r="RKH1" s="288"/>
      <c r="RKI1" s="288"/>
      <c r="RKJ1" s="288"/>
      <c r="RKK1" s="288"/>
      <c r="RKL1" s="288"/>
      <c r="RKM1" s="288"/>
      <c r="RKN1" s="288"/>
      <c r="RKO1" s="288"/>
      <c r="RKP1" s="288"/>
      <c r="RKQ1" s="288"/>
      <c r="RKR1" s="288"/>
      <c r="RKS1" s="288"/>
      <c r="RKT1" s="288"/>
      <c r="RKU1" s="288"/>
      <c r="RKV1" s="288"/>
      <c r="RKW1" s="288"/>
      <c r="RKX1" s="288"/>
      <c r="RKY1" s="288"/>
      <c r="RKZ1" s="288"/>
      <c r="RLA1" s="288"/>
      <c r="RLB1" s="288"/>
      <c r="RLC1" s="288"/>
      <c r="RLD1" s="288"/>
      <c r="RLE1" s="288"/>
      <c r="RLF1" s="288"/>
      <c r="RLG1" s="288"/>
      <c r="RLH1" s="288"/>
      <c r="RLI1" s="288"/>
      <c r="RLJ1" s="288"/>
      <c r="RLK1" s="288"/>
      <c r="RLL1" s="288"/>
      <c r="RLM1" s="288"/>
      <c r="RLN1" s="288"/>
      <c r="RLO1" s="288"/>
      <c r="RLP1" s="288"/>
      <c r="RLQ1" s="288"/>
      <c r="RLR1" s="288"/>
      <c r="RLS1" s="288"/>
      <c r="RLT1" s="288"/>
      <c r="RLU1" s="288"/>
      <c r="RLV1" s="288"/>
      <c r="RLW1" s="288"/>
      <c r="RLX1" s="288"/>
      <c r="RLY1" s="288"/>
      <c r="RLZ1" s="288"/>
      <c r="RMA1" s="288"/>
      <c r="RMB1" s="288"/>
      <c r="RMC1" s="288"/>
      <c r="RMD1" s="288"/>
      <c r="RME1" s="288"/>
      <c r="RMF1" s="288"/>
      <c r="RMG1" s="288"/>
      <c r="RMH1" s="288"/>
      <c r="RMI1" s="288"/>
      <c r="RMJ1" s="288"/>
      <c r="RMK1" s="288"/>
      <c r="RML1" s="288"/>
      <c r="RMM1" s="288"/>
      <c r="RMN1" s="288"/>
      <c r="RMO1" s="288"/>
      <c r="RMP1" s="288"/>
      <c r="RMQ1" s="288"/>
      <c r="RMR1" s="288"/>
      <c r="RMS1" s="288"/>
      <c r="RMT1" s="288"/>
      <c r="RMU1" s="288"/>
      <c r="RMV1" s="288"/>
      <c r="RMW1" s="288"/>
      <c r="RMX1" s="288"/>
      <c r="RMY1" s="288"/>
      <c r="RMZ1" s="288"/>
      <c r="RNA1" s="288"/>
      <c r="RNB1" s="288"/>
      <c r="RNC1" s="288"/>
      <c r="RND1" s="288"/>
      <c r="RNE1" s="288"/>
      <c r="RNF1" s="288"/>
      <c r="RNG1" s="288"/>
      <c r="RNH1" s="288"/>
      <c r="RNI1" s="288"/>
      <c r="RNJ1" s="288"/>
      <c r="RNK1" s="288"/>
      <c r="RNL1" s="288"/>
      <c r="RNM1" s="288"/>
      <c r="RNN1" s="288"/>
      <c r="RNO1" s="288"/>
      <c r="RNP1" s="288"/>
      <c r="RNQ1" s="288"/>
      <c r="RNR1" s="288"/>
      <c r="RNS1" s="288"/>
      <c r="RNT1" s="288"/>
      <c r="RNU1" s="288"/>
      <c r="RNV1" s="288"/>
      <c r="RNW1" s="288"/>
      <c r="RNX1" s="288"/>
      <c r="RNY1" s="288"/>
      <c r="RNZ1" s="288"/>
      <c r="ROA1" s="288"/>
      <c r="ROB1" s="288"/>
      <c r="ROC1" s="288"/>
      <c r="ROD1" s="288"/>
      <c r="ROE1" s="288"/>
      <c r="ROF1" s="288"/>
      <c r="ROG1" s="288"/>
      <c r="ROH1" s="288"/>
      <c r="ROI1" s="288"/>
      <c r="ROJ1" s="288"/>
      <c r="ROK1" s="288"/>
      <c r="ROL1" s="288"/>
      <c r="ROM1" s="288"/>
      <c r="RON1" s="288"/>
      <c r="ROO1" s="288"/>
      <c r="ROP1" s="288"/>
      <c r="ROQ1" s="288"/>
      <c r="ROR1" s="288"/>
      <c r="ROS1" s="288"/>
      <c r="ROT1" s="288"/>
      <c r="ROU1" s="288"/>
      <c r="ROV1" s="288"/>
      <c r="ROW1" s="288"/>
      <c r="ROX1" s="288"/>
      <c r="ROY1" s="288"/>
      <c r="ROZ1" s="288"/>
      <c r="RPA1" s="288"/>
      <c r="RPB1" s="288"/>
      <c r="RPC1" s="288"/>
      <c r="RPD1" s="288"/>
      <c r="RPE1" s="288"/>
      <c r="RPF1" s="288"/>
      <c r="RPG1" s="288"/>
      <c r="RPH1" s="288"/>
      <c r="RPI1" s="288"/>
      <c r="RPJ1" s="288"/>
      <c r="RPK1" s="288"/>
      <c r="RPL1" s="288"/>
      <c r="RPM1" s="288"/>
      <c r="RPN1" s="288"/>
      <c r="RPO1" s="288"/>
      <c r="RPP1" s="288"/>
      <c r="RPQ1" s="288"/>
      <c r="RPR1" s="288"/>
      <c r="RPS1" s="288"/>
      <c r="RPT1" s="288"/>
      <c r="RPU1" s="288"/>
      <c r="RPV1" s="288"/>
      <c r="RPW1" s="288"/>
      <c r="RPX1" s="288"/>
      <c r="RPY1" s="288"/>
      <c r="RPZ1" s="288"/>
      <c r="RQA1" s="288"/>
      <c r="RQB1" s="288"/>
      <c r="RQC1" s="288"/>
      <c r="RQD1" s="288"/>
      <c r="RQE1" s="288"/>
      <c r="RQF1" s="288"/>
      <c r="RQG1" s="288"/>
      <c r="RQH1" s="288"/>
      <c r="RQI1" s="288"/>
      <c r="RQJ1" s="288"/>
      <c r="RQK1" s="288"/>
      <c r="RQL1" s="288"/>
      <c r="RQM1" s="288"/>
      <c r="RQN1" s="288"/>
      <c r="RQO1" s="288"/>
      <c r="RQP1" s="288"/>
      <c r="RQQ1" s="288"/>
      <c r="RQR1" s="288"/>
      <c r="RQS1" s="288"/>
      <c r="RQT1" s="288"/>
      <c r="RQU1" s="288"/>
      <c r="RQV1" s="288"/>
      <c r="RQW1" s="288"/>
      <c r="RQX1" s="288"/>
      <c r="RQY1" s="288"/>
      <c r="RQZ1" s="288"/>
      <c r="RRA1" s="288"/>
      <c r="RRB1" s="288"/>
      <c r="RRC1" s="288"/>
      <c r="RRD1" s="288"/>
      <c r="RRE1" s="288"/>
      <c r="RRF1" s="288"/>
      <c r="RRG1" s="288"/>
      <c r="RRH1" s="288"/>
      <c r="RRI1" s="288"/>
      <c r="RRJ1" s="288"/>
      <c r="RRK1" s="288"/>
      <c r="RRL1" s="288"/>
      <c r="RRM1" s="288"/>
      <c r="RRN1" s="288"/>
      <c r="RRO1" s="288"/>
      <c r="RRP1" s="288"/>
      <c r="RRQ1" s="288"/>
      <c r="RRR1" s="288"/>
      <c r="RRS1" s="288"/>
      <c r="RRT1" s="288"/>
      <c r="RRU1" s="288"/>
      <c r="RRV1" s="288"/>
      <c r="RRW1" s="288"/>
      <c r="RRX1" s="288"/>
      <c r="RRY1" s="288"/>
      <c r="RRZ1" s="288"/>
      <c r="RSA1" s="288"/>
      <c r="RSB1" s="288"/>
      <c r="RSC1" s="288"/>
      <c r="RSD1" s="288"/>
      <c r="RSE1" s="288"/>
      <c r="RSF1" s="288"/>
      <c r="RSG1" s="288"/>
      <c r="RSH1" s="288"/>
      <c r="RSI1" s="288"/>
      <c r="RSJ1" s="288"/>
      <c r="RSK1" s="288"/>
      <c r="RSL1" s="288"/>
      <c r="RSM1" s="288"/>
      <c r="RSN1" s="288"/>
      <c r="RSO1" s="288"/>
      <c r="RSP1" s="288"/>
      <c r="RSQ1" s="288"/>
      <c r="RSR1" s="288"/>
      <c r="RSS1" s="288"/>
      <c r="RST1" s="288"/>
      <c r="RSU1" s="288"/>
      <c r="RSV1" s="288"/>
      <c r="RSW1" s="288"/>
      <c r="RSX1" s="288"/>
      <c r="RSY1" s="288"/>
      <c r="RSZ1" s="288"/>
      <c r="RTA1" s="288"/>
      <c r="RTB1" s="288"/>
      <c r="RTC1" s="288"/>
      <c r="RTD1" s="288"/>
      <c r="RTE1" s="288"/>
      <c r="RTF1" s="288"/>
      <c r="RTG1" s="288"/>
      <c r="RTH1" s="288"/>
      <c r="RTI1" s="288"/>
      <c r="RTJ1" s="288"/>
      <c r="RTK1" s="288"/>
      <c r="RTL1" s="288"/>
      <c r="RTM1" s="288"/>
      <c r="RTN1" s="288"/>
      <c r="RTO1" s="288"/>
      <c r="RTP1" s="288"/>
      <c r="RTQ1" s="288"/>
      <c r="RTR1" s="288"/>
      <c r="RTS1" s="288"/>
      <c r="RTT1" s="288"/>
      <c r="RTU1" s="288"/>
      <c r="RTV1" s="288"/>
      <c r="RTW1" s="288"/>
      <c r="RTX1" s="288"/>
      <c r="RTY1" s="288"/>
      <c r="RTZ1" s="288"/>
      <c r="RUA1" s="288"/>
      <c r="RUB1" s="288"/>
      <c r="RUC1" s="288"/>
      <c r="RUD1" s="288"/>
      <c r="RUE1" s="288"/>
      <c r="RUF1" s="288"/>
      <c r="RUG1" s="288"/>
      <c r="RUH1" s="288"/>
      <c r="RUI1" s="288"/>
      <c r="RUJ1" s="288"/>
      <c r="RUK1" s="288"/>
      <c r="RUL1" s="288"/>
      <c r="RUM1" s="288"/>
      <c r="RUN1" s="288"/>
      <c r="RUO1" s="288"/>
      <c r="RUP1" s="288"/>
      <c r="RUQ1" s="288"/>
      <c r="RUR1" s="288"/>
      <c r="RUS1" s="288"/>
      <c r="RUT1" s="288"/>
      <c r="RUU1" s="288"/>
      <c r="RUV1" s="288"/>
      <c r="RUW1" s="288"/>
      <c r="RUX1" s="288"/>
      <c r="RUY1" s="288"/>
      <c r="RUZ1" s="288"/>
      <c r="RVA1" s="288"/>
      <c r="RVB1" s="288"/>
      <c r="RVC1" s="288"/>
      <c r="RVD1" s="288"/>
      <c r="RVE1" s="288"/>
      <c r="RVF1" s="288"/>
      <c r="RVG1" s="288"/>
      <c r="RVH1" s="288"/>
      <c r="RVI1" s="288"/>
      <c r="RVJ1" s="288"/>
      <c r="RVK1" s="288"/>
      <c r="RVL1" s="288"/>
      <c r="RVM1" s="288"/>
      <c r="RVN1" s="288"/>
      <c r="RVO1" s="288"/>
      <c r="RVP1" s="288"/>
      <c r="RVQ1" s="288"/>
      <c r="RVR1" s="288"/>
      <c r="RVS1" s="288"/>
      <c r="RVT1" s="288"/>
      <c r="RVU1" s="288"/>
      <c r="RVV1" s="288"/>
      <c r="RVW1" s="288"/>
      <c r="RVX1" s="288"/>
      <c r="RVY1" s="288"/>
      <c r="RVZ1" s="288"/>
      <c r="RWA1" s="288"/>
      <c r="RWB1" s="288"/>
      <c r="RWC1" s="288"/>
      <c r="RWD1" s="288"/>
      <c r="RWE1" s="288"/>
      <c r="RWF1" s="288"/>
      <c r="RWG1" s="288"/>
      <c r="RWH1" s="288"/>
      <c r="RWI1" s="288"/>
      <c r="RWJ1" s="288"/>
      <c r="RWK1" s="288"/>
      <c r="RWL1" s="288"/>
      <c r="RWM1" s="288"/>
      <c r="RWN1" s="288"/>
      <c r="RWO1" s="288"/>
      <c r="RWP1" s="288"/>
      <c r="RWQ1" s="288"/>
      <c r="RWR1" s="288"/>
      <c r="RWS1" s="288"/>
      <c r="RWT1" s="288"/>
      <c r="RWU1" s="288"/>
      <c r="RWV1" s="288"/>
      <c r="RWW1" s="288"/>
      <c r="RWX1" s="288"/>
      <c r="RWY1" s="288"/>
      <c r="RWZ1" s="288"/>
      <c r="RXA1" s="288"/>
      <c r="RXB1" s="288"/>
      <c r="RXC1" s="288"/>
      <c r="RXD1" s="288"/>
      <c r="RXE1" s="288"/>
      <c r="RXF1" s="288"/>
      <c r="RXG1" s="288"/>
      <c r="RXH1" s="288"/>
      <c r="RXI1" s="288"/>
      <c r="RXJ1" s="288"/>
      <c r="RXK1" s="288"/>
      <c r="RXL1" s="288"/>
      <c r="RXM1" s="288"/>
      <c r="RXN1" s="288"/>
      <c r="RXO1" s="288"/>
      <c r="RXP1" s="288"/>
      <c r="RXQ1" s="288"/>
      <c r="RXR1" s="288"/>
      <c r="RXS1" s="288"/>
      <c r="RXT1" s="288"/>
      <c r="RXU1" s="288"/>
      <c r="RXV1" s="288"/>
      <c r="RXW1" s="288"/>
      <c r="RXX1" s="288"/>
      <c r="RXY1" s="288"/>
      <c r="RXZ1" s="288"/>
      <c r="RYA1" s="288"/>
      <c r="RYB1" s="288"/>
      <c r="RYC1" s="288"/>
      <c r="RYD1" s="288"/>
      <c r="RYE1" s="288"/>
      <c r="RYF1" s="288"/>
      <c r="RYG1" s="288"/>
      <c r="RYH1" s="288"/>
      <c r="RYI1" s="288"/>
      <c r="RYJ1" s="288"/>
      <c r="RYK1" s="288"/>
      <c r="RYL1" s="288"/>
      <c r="RYM1" s="288"/>
      <c r="RYN1" s="288"/>
      <c r="RYO1" s="288"/>
      <c r="RYP1" s="288"/>
      <c r="RYQ1" s="288"/>
      <c r="RYR1" s="288"/>
      <c r="RYS1" s="288"/>
      <c r="RYT1" s="288"/>
      <c r="RYU1" s="288"/>
      <c r="RYV1" s="288"/>
      <c r="RYW1" s="288"/>
      <c r="RYX1" s="288"/>
      <c r="RYY1" s="288"/>
      <c r="RYZ1" s="288"/>
      <c r="RZA1" s="288"/>
      <c r="RZB1" s="288"/>
      <c r="RZC1" s="288"/>
      <c r="RZD1" s="288"/>
      <c r="RZE1" s="288"/>
      <c r="RZF1" s="288"/>
      <c r="RZG1" s="288"/>
      <c r="RZH1" s="288"/>
      <c r="RZI1" s="288"/>
      <c r="RZJ1" s="288"/>
      <c r="RZK1" s="288"/>
      <c r="RZL1" s="288"/>
      <c r="RZM1" s="288"/>
      <c r="RZN1" s="288"/>
      <c r="RZO1" s="288"/>
      <c r="RZP1" s="288"/>
      <c r="RZQ1" s="288"/>
      <c r="RZR1" s="288"/>
      <c r="RZS1" s="288"/>
      <c r="RZT1" s="288"/>
      <c r="RZU1" s="288"/>
      <c r="RZV1" s="288"/>
      <c r="RZW1" s="288"/>
      <c r="RZX1" s="288"/>
      <c r="RZY1" s="288"/>
      <c r="RZZ1" s="288"/>
      <c r="SAA1" s="288"/>
      <c r="SAB1" s="288"/>
      <c r="SAC1" s="288"/>
      <c r="SAD1" s="288"/>
      <c r="SAE1" s="288"/>
      <c r="SAF1" s="288"/>
      <c r="SAG1" s="288"/>
      <c r="SAH1" s="288"/>
      <c r="SAI1" s="288"/>
      <c r="SAJ1" s="288"/>
      <c r="SAK1" s="288"/>
      <c r="SAL1" s="288"/>
      <c r="SAM1" s="288"/>
      <c r="SAN1" s="288"/>
      <c r="SAO1" s="288"/>
      <c r="SAP1" s="288"/>
      <c r="SAQ1" s="288"/>
      <c r="SAR1" s="288"/>
      <c r="SAS1" s="288"/>
      <c r="SAT1" s="288"/>
      <c r="SAU1" s="288"/>
      <c r="SAV1" s="288"/>
      <c r="SAW1" s="288"/>
      <c r="SAX1" s="288"/>
      <c r="SAY1" s="288"/>
      <c r="SAZ1" s="288"/>
      <c r="SBA1" s="288"/>
      <c r="SBB1" s="288"/>
      <c r="SBC1" s="288"/>
      <c r="SBD1" s="288"/>
      <c r="SBE1" s="288"/>
      <c r="SBF1" s="288"/>
      <c r="SBG1" s="288"/>
      <c r="SBH1" s="288"/>
      <c r="SBI1" s="288"/>
      <c r="SBJ1" s="288"/>
      <c r="SBK1" s="288"/>
      <c r="SBL1" s="288"/>
      <c r="SBM1" s="288"/>
      <c r="SBN1" s="288"/>
      <c r="SBO1" s="288"/>
      <c r="SBP1" s="288"/>
      <c r="SBQ1" s="288"/>
      <c r="SBR1" s="288"/>
      <c r="SBS1" s="288"/>
      <c r="SBT1" s="288"/>
      <c r="SBU1" s="288"/>
      <c r="SBV1" s="288"/>
      <c r="SBW1" s="288"/>
      <c r="SBX1" s="288"/>
      <c r="SBY1" s="288"/>
      <c r="SBZ1" s="288"/>
      <c r="SCA1" s="288"/>
      <c r="SCB1" s="288"/>
      <c r="SCC1" s="288"/>
      <c r="SCD1" s="288"/>
      <c r="SCE1" s="288"/>
      <c r="SCF1" s="288"/>
      <c r="SCG1" s="288"/>
      <c r="SCH1" s="288"/>
      <c r="SCI1" s="288"/>
      <c r="SCJ1" s="288"/>
      <c r="SCK1" s="288"/>
      <c r="SCL1" s="288"/>
      <c r="SCM1" s="288"/>
      <c r="SCN1" s="288"/>
      <c r="SCO1" s="288"/>
      <c r="SCP1" s="288"/>
      <c r="SCQ1" s="288"/>
      <c r="SCR1" s="288"/>
      <c r="SCS1" s="288"/>
      <c r="SCT1" s="288"/>
      <c r="SCU1" s="288"/>
      <c r="SCV1" s="288"/>
      <c r="SCW1" s="288"/>
      <c r="SCX1" s="288"/>
      <c r="SCY1" s="288"/>
      <c r="SCZ1" s="288"/>
      <c r="SDA1" s="288"/>
      <c r="SDB1" s="288"/>
      <c r="SDC1" s="288"/>
      <c r="SDD1" s="288"/>
      <c r="SDE1" s="288"/>
      <c r="SDF1" s="288"/>
      <c r="SDG1" s="288"/>
      <c r="SDH1" s="288"/>
      <c r="SDI1" s="288"/>
      <c r="SDJ1" s="288"/>
      <c r="SDK1" s="288"/>
      <c r="SDL1" s="288"/>
      <c r="SDM1" s="288"/>
      <c r="SDN1" s="288"/>
      <c r="SDO1" s="288"/>
      <c r="SDP1" s="288"/>
      <c r="SDQ1" s="288"/>
      <c r="SDR1" s="288"/>
      <c r="SDS1" s="288"/>
      <c r="SDT1" s="288"/>
      <c r="SDU1" s="288"/>
      <c r="SDV1" s="288"/>
      <c r="SDW1" s="288"/>
      <c r="SDX1" s="288"/>
      <c r="SDY1" s="288"/>
      <c r="SDZ1" s="288"/>
      <c r="SEA1" s="288"/>
      <c r="SEB1" s="288"/>
      <c r="SEC1" s="288"/>
      <c r="SED1" s="288"/>
      <c r="SEE1" s="288"/>
      <c r="SEF1" s="288"/>
      <c r="SEG1" s="288"/>
      <c r="SEH1" s="288"/>
      <c r="SEI1" s="288"/>
      <c r="SEJ1" s="288"/>
      <c r="SEK1" s="288"/>
      <c r="SEL1" s="288"/>
      <c r="SEM1" s="288"/>
      <c r="SEN1" s="288"/>
      <c r="SEO1" s="288"/>
      <c r="SEP1" s="288"/>
      <c r="SEQ1" s="288"/>
      <c r="SER1" s="288"/>
      <c r="SES1" s="288"/>
      <c r="SET1" s="288"/>
      <c r="SEU1" s="288"/>
      <c r="SEV1" s="288"/>
      <c r="SEW1" s="288"/>
      <c r="SEX1" s="288"/>
      <c r="SEY1" s="288"/>
      <c r="SEZ1" s="288"/>
      <c r="SFA1" s="288"/>
      <c r="SFB1" s="288"/>
      <c r="SFC1" s="288"/>
      <c r="SFD1" s="288"/>
      <c r="SFE1" s="288"/>
      <c r="SFF1" s="288"/>
      <c r="SFG1" s="288"/>
      <c r="SFH1" s="288"/>
      <c r="SFI1" s="288"/>
      <c r="SFJ1" s="288"/>
      <c r="SFK1" s="288"/>
      <c r="SFL1" s="288"/>
      <c r="SFM1" s="288"/>
      <c r="SFN1" s="288"/>
      <c r="SFO1" s="288"/>
      <c r="SFP1" s="288"/>
      <c r="SFQ1" s="288"/>
      <c r="SFR1" s="288"/>
      <c r="SFS1" s="288"/>
      <c r="SFT1" s="288"/>
      <c r="SFU1" s="288"/>
      <c r="SFV1" s="288"/>
      <c r="SFW1" s="288"/>
      <c r="SFX1" s="288"/>
      <c r="SFY1" s="288"/>
      <c r="SFZ1" s="288"/>
      <c r="SGA1" s="288"/>
      <c r="SGB1" s="288"/>
      <c r="SGC1" s="288"/>
      <c r="SGD1" s="288"/>
      <c r="SGE1" s="288"/>
      <c r="SGF1" s="288"/>
      <c r="SGG1" s="288"/>
      <c r="SGH1" s="288"/>
      <c r="SGI1" s="288"/>
      <c r="SGJ1" s="288"/>
      <c r="SGK1" s="288"/>
      <c r="SGL1" s="288"/>
      <c r="SGM1" s="288"/>
      <c r="SGN1" s="288"/>
      <c r="SGO1" s="288"/>
      <c r="SGP1" s="288"/>
      <c r="SGQ1" s="288"/>
      <c r="SGR1" s="288"/>
      <c r="SGS1" s="288"/>
      <c r="SGT1" s="288"/>
      <c r="SGU1" s="288"/>
      <c r="SGV1" s="288"/>
      <c r="SGW1" s="288"/>
      <c r="SGX1" s="288"/>
      <c r="SGY1" s="288"/>
      <c r="SGZ1" s="288"/>
      <c r="SHA1" s="288"/>
      <c r="SHB1" s="288"/>
      <c r="SHC1" s="288"/>
      <c r="SHD1" s="288"/>
      <c r="SHE1" s="288"/>
      <c r="SHF1" s="288"/>
      <c r="SHG1" s="288"/>
      <c r="SHH1" s="288"/>
      <c r="SHI1" s="288"/>
      <c r="SHJ1" s="288"/>
      <c r="SHK1" s="288"/>
      <c r="SHL1" s="288"/>
      <c r="SHM1" s="288"/>
      <c r="SHN1" s="288"/>
      <c r="SHO1" s="288"/>
      <c r="SHP1" s="288"/>
      <c r="SHQ1" s="288"/>
      <c r="SHR1" s="288"/>
      <c r="SHS1" s="288"/>
      <c r="SHT1" s="288"/>
      <c r="SHU1" s="288"/>
      <c r="SHV1" s="288"/>
      <c r="SHW1" s="288"/>
      <c r="SHX1" s="288"/>
      <c r="SHY1" s="288"/>
      <c r="SHZ1" s="288"/>
      <c r="SIA1" s="288"/>
      <c r="SIB1" s="288"/>
      <c r="SIC1" s="288"/>
      <c r="SID1" s="288"/>
      <c r="SIE1" s="288"/>
      <c r="SIF1" s="288"/>
      <c r="SIG1" s="288"/>
      <c r="SIH1" s="288"/>
      <c r="SII1" s="288"/>
      <c r="SIJ1" s="288"/>
      <c r="SIK1" s="288"/>
      <c r="SIL1" s="288"/>
      <c r="SIM1" s="288"/>
      <c r="SIN1" s="288"/>
      <c r="SIO1" s="288"/>
      <c r="SIP1" s="288"/>
      <c r="SIQ1" s="288"/>
      <c r="SIR1" s="288"/>
      <c r="SIS1" s="288"/>
      <c r="SIT1" s="288"/>
      <c r="SIU1" s="288"/>
      <c r="SIV1" s="288"/>
      <c r="SIW1" s="288"/>
      <c r="SIX1" s="288"/>
      <c r="SIY1" s="288"/>
      <c r="SIZ1" s="288"/>
      <c r="SJA1" s="288"/>
      <c r="SJB1" s="288"/>
      <c r="SJC1" s="288"/>
      <c r="SJD1" s="288"/>
      <c r="SJE1" s="288"/>
      <c r="SJF1" s="288"/>
      <c r="SJG1" s="288"/>
      <c r="SJH1" s="288"/>
      <c r="SJI1" s="288"/>
      <c r="SJJ1" s="288"/>
      <c r="SJK1" s="288"/>
      <c r="SJL1" s="288"/>
      <c r="SJM1" s="288"/>
      <c r="SJN1" s="288"/>
      <c r="SJO1" s="288"/>
      <c r="SJP1" s="288"/>
      <c r="SJQ1" s="288"/>
      <c r="SJR1" s="288"/>
      <c r="SJS1" s="288"/>
      <c r="SJT1" s="288"/>
      <c r="SJU1" s="288"/>
      <c r="SJV1" s="288"/>
      <c r="SJW1" s="288"/>
      <c r="SJX1" s="288"/>
      <c r="SJY1" s="288"/>
      <c r="SJZ1" s="288"/>
      <c r="SKA1" s="288"/>
      <c r="SKB1" s="288"/>
      <c r="SKC1" s="288"/>
      <c r="SKD1" s="288"/>
      <c r="SKE1" s="288"/>
      <c r="SKF1" s="288"/>
      <c r="SKG1" s="288"/>
      <c r="SKH1" s="288"/>
      <c r="SKI1" s="288"/>
      <c r="SKJ1" s="288"/>
      <c r="SKK1" s="288"/>
      <c r="SKL1" s="288"/>
      <c r="SKM1" s="288"/>
      <c r="SKN1" s="288"/>
      <c r="SKO1" s="288"/>
      <c r="SKP1" s="288"/>
      <c r="SKQ1" s="288"/>
      <c r="SKR1" s="288"/>
      <c r="SKS1" s="288"/>
      <c r="SKT1" s="288"/>
      <c r="SKU1" s="288"/>
      <c r="SKV1" s="288"/>
      <c r="SKW1" s="288"/>
      <c r="SKX1" s="288"/>
      <c r="SKY1" s="288"/>
      <c r="SKZ1" s="288"/>
      <c r="SLA1" s="288"/>
      <c r="SLB1" s="288"/>
      <c r="SLC1" s="288"/>
      <c r="SLD1" s="288"/>
      <c r="SLE1" s="288"/>
      <c r="SLF1" s="288"/>
      <c r="SLG1" s="288"/>
      <c r="SLH1" s="288"/>
      <c r="SLI1" s="288"/>
      <c r="SLJ1" s="288"/>
      <c r="SLK1" s="288"/>
      <c r="SLL1" s="288"/>
      <c r="SLM1" s="288"/>
      <c r="SLN1" s="288"/>
      <c r="SLO1" s="288"/>
      <c r="SLP1" s="288"/>
      <c r="SLQ1" s="288"/>
      <c r="SLR1" s="288"/>
      <c r="SLS1" s="288"/>
      <c r="SLT1" s="288"/>
      <c r="SLU1" s="288"/>
      <c r="SLV1" s="288"/>
      <c r="SLW1" s="288"/>
      <c r="SLX1" s="288"/>
      <c r="SLY1" s="288"/>
      <c r="SLZ1" s="288"/>
      <c r="SMA1" s="288"/>
      <c r="SMB1" s="288"/>
      <c r="SMC1" s="288"/>
      <c r="SMD1" s="288"/>
      <c r="SME1" s="288"/>
      <c r="SMF1" s="288"/>
      <c r="SMG1" s="288"/>
      <c r="SMH1" s="288"/>
      <c r="SMI1" s="288"/>
      <c r="SMJ1" s="288"/>
      <c r="SMK1" s="288"/>
      <c r="SML1" s="288"/>
      <c r="SMM1" s="288"/>
      <c r="SMN1" s="288"/>
      <c r="SMO1" s="288"/>
      <c r="SMP1" s="288"/>
      <c r="SMQ1" s="288"/>
      <c r="SMR1" s="288"/>
      <c r="SMS1" s="288"/>
      <c r="SMT1" s="288"/>
      <c r="SMU1" s="288"/>
      <c r="SMV1" s="288"/>
      <c r="SMW1" s="288"/>
      <c r="SMX1" s="288"/>
      <c r="SMY1" s="288"/>
      <c r="SMZ1" s="288"/>
      <c r="SNA1" s="288"/>
      <c r="SNB1" s="288"/>
      <c r="SNC1" s="288"/>
      <c r="SND1" s="288"/>
      <c r="SNE1" s="288"/>
      <c r="SNF1" s="288"/>
      <c r="SNG1" s="288"/>
      <c r="SNH1" s="288"/>
      <c r="SNI1" s="288"/>
      <c r="SNJ1" s="288"/>
      <c r="SNK1" s="288"/>
      <c r="SNL1" s="288"/>
      <c r="SNM1" s="288"/>
      <c r="SNN1" s="288"/>
      <c r="SNO1" s="288"/>
      <c r="SNP1" s="288"/>
      <c r="SNQ1" s="288"/>
      <c r="SNR1" s="288"/>
      <c r="SNS1" s="288"/>
      <c r="SNT1" s="288"/>
      <c r="SNU1" s="288"/>
      <c r="SNV1" s="288"/>
      <c r="SNW1" s="288"/>
      <c r="SNX1" s="288"/>
      <c r="SNY1" s="288"/>
      <c r="SNZ1" s="288"/>
      <c r="SOA1" s="288"/>
      <c r="SOB1" s="288"/>
      <c r="SOC1" s="288"/>
      <c r="SOD1" s="288"/>
      <c r="SOE1" s="288"/>
      <c r="SOF1" s="288"/>
      <c r="SOG1" s="288"/>
      <c r="SOH1" s="288"/>
      <c r="SOI1" s="288"/>
      <c r="SOJ1" s="288"/>
      <c r="SOK1" s="288"/>
      <c r="SOL1" s="288"/>
      <c r="SOM1" s="288"/>
      <c r="SON1" s="288"/>
      <c r="SOO1" s="288"/>
      <c r="SOP1" s="288"/>
      <c r="SOQ1" s="288"/>
      <c r="SOR1" s="288"/>
      <c r="SOS1" s="288"/>
      <c r="SOT1" s="288"/>
      <c r="SOU1" s="288"/>
      <c r="SOV1" s="288"/>
      <c r="SOW1" s="288"/>
      <c r="SOX1" s="288"/>
      <c r="SOY1" s="288"/>
      <c r="SOZ1" s="288"/>
      <c r="SPA1" s="288"/>
      <c r="SPB1" s="288"/>
      <c r="SPC1" s="288"/>
      <c r="SPD1" s="288"/>
      <c r="SPE1" s="288"/>
      <c r="SPF1" s="288"/>
      <c r="SPG1" s="288"/>
      <c r="SPH1" s="288"/>
      <c r="SPI1" s="288"/>
      <c r="SPJ1" s="288"/>
      <c r="SPK1" s="288"/>
      <c r="SPL1" s="288"/>
      <c r="SPM1" s="288"/>
      <c r="SPN1" s="288"/>
      <c r="SPO1" s="288"/>
      <c r="SPP1" s="288"/>
      <c r="SPQ1" s="288"/>
      <c r="SPR1" s="288"/>
      <c r="SPS1" s="288"/>
      <c r="SPT1" s="288"/>
      <c r="SPU1" s="288"/>
      <c r="SPV1" s="288"/>
      <c r="SPW1" s="288"/>
      <c r="SPX1" s="288"/>
      <c r="SPY1" s="288"/>
      <c r="SPZ1" s="288"/>
      <c r="SQA1" s="288"/>
      <c r="SQB1" s="288"/>
      <c r="SQC1" s="288"/>
      <c r="SQD1" s="288"/>
      <c r="SQE1" s="288"/>
      <c r="SQF1" s="288"/>
      <c r="SQG1" s="288"/>
      <c r="SQH1" s="288"/>
      <c r="SQI1" s="288"/>
      <c r="SQJ1" s="288"/>
      <c r="SQK1" s="288"/>
      <c r="SQL1" s="288"/>
      <c r="SQM1" s="288"/>
      <c r="SQN1" s="288"/>
      <c r="SQO1" s="288"/>
      <c r="SQP1" s="288"/>
      <c r="SQQ1" s="288"/>
      <c r="SQR1" s="288"/>
      <c r="SQS1" s="288"/>
      <c r="SQT1" s="288"/>
      <c r="SQU1" s="288"/>
      <c r="SQV1" s="288"/>
      <c r="SQW1" s="288"/>
      <c r="SQX1" s="288"/>
      <c r="SQY1" s="288"/>
      <c r="SQZ1" s="288"/>
      <c r="SRA1" s="288"/>
      <c r="SRB1" s="288"/>
      <c r="SRC1" s="288"/>
      <c r="SRD1" s="288"/>
      <c r="SRE1" s="288"/>
      <c r="SRF1" s="288"/>
      <c r="SRG1" s="288"/>
      <c r="SRH1" s="288"/>
      <c r="SRI1" s="288"/>
      <c r="SRJ1" s="288"/>
      <c r="SRK1" s="288"/>
      <c r="SRL1" s="288"/>
      <c r="SRM1" s="288"/>
      <c r="SRN1" s="288"/>
      <c r="SRO1" s="288"/>
      <c r="SRP1" s="288"/>
      <c r="SRQ1" s="288"/>
      <c r="SRR1" s="288"/>
      <c r="SRS1" s="288"/>
      <c r="SRT1" s="288"/>
      <c r="SRU1" s="288"/>
      <c r="SRV1" s="288"/>
      <c r="SRW1" s="288"/>
      <c r="SRX1" s="288"/>
      <c r="SRY1" s="288"/>
      <c r="SRZ1" s="288"/>
      <c r="SSA1" s="288"/>
      <c r="SSB1" s="288"/>
      <c r="SSC1" s="288"/>
      <c r="SSD1" s="288"/>
      <c r="SSE1" s="288"/>
      <c r="SSF1" s="288"/>
      <c r="SSG1" s="288"/>
      <c r="SSH1" s="288"/>
      <c r="SSI1" s="288"/>
      <c r="SSJ1" s="288"/>
      <c r="SSK1" s="288"/>
      <c r="SSL1" s="288"/>
      <c r="SSM1" s="288"/>
      <c r="SSN1" s="288"/>
      <c r="SSO1" s="288"/>
      <c r="SSP1" s="288"/>
      <c r="SSQ1" s="288"/>
      <c r="SSR1" s="288"/>
      <c r="SSS1" s="288"/>
      <c r="SST1" s="288"/>
      <c r="SSU1" s="288"/>
      <c r="SSV1" s="288"/>
      <c r="SSW1" s="288"/>
      <c r="SSX1" s="288"/>
      <c r="SSY1" s="288"/>
      <c r="SSZ1" s="288"/>
      <c r="STA1" s="288"/>
      <c r="STB1" s="288"/>
      <c r="STC1" s="288"/>
      <c r="STD1" s="288"/>
      <c r="STE1" s="288"/>
      <c r="STF1" s="288"/>
      <c r="STG1" s="288"/>
      <c r="STH1" s="288"/>
      <c r="STI1" s="288"/>
      <c r="STJ1" s="288"/>
      <c r="STK1" s="288"/>
      <c r="STL1" s="288"/>
      <c r="STM1" s="288"/>
      <c r="STN1" s="288"/>
      <c r="STO1" s="288"/>
      <c r="STP1" s="288"/>
      <c r="STQ1" s="288"/>
      <c r="STR1" s="288"/>
      <c r="STS1" s="288"/>
      <c r="STT1" s="288"/>
      <c r="STU1" s="288"/>
      <c r="STV1" s="288"/>
      <c r="STW1" s="288"/>
      <c r="STX1" s="288"/>
      <c r="STY1" s="288"/>
      <c r="STZ1" s="288"/>
      <c r="SUA1" s="288"/>
      <c r="SUB1" s="288"/>
      <c r="SUC1" s="288"/>
      <c r="SUD1" s="288"/>
      <c r="SUE1" s="288"/>
      <c r="SUF1" s="288"/>
      <c r="SUG1" s="288"/>
      <c r="SUH1" s="288"/>
      <c r="SUI1" s="288"/>
      <c r="SUJ1" s="288"/>
      <c r="SUK1" s="288"/>
      <c r="SUL1" s="288"/>
      <c r="SUM1" s="288"/>
      <c r="SUN1" s="288"/>
      <c r="SUO1" s="288"/>
      <c r="SUP1" s="288"/>
      <c r="SUQ1" s="288"/>
      <c r="SUR1" s="288"/>
      <c r="SUS1" s="288"/>
      <c r="SUT1" s="288"/>
      <c r="SUU1" s="288"/>
      <c r="SUV1" s="288"/>
      <c r="SUW1" s="288"/>
      <c r="SUX1" s="288"/>
      <c r="SUY1" s="288"/>
      <c r="SUZ1" s="288"/>
      <c r="SVA1" s="288"/>
      <c r="SVB1" s="288"/>
      <c r="SVC1" s="288"/>
      <c r="SVD1" s="288"/>
      <c r="SVE1" s="288"/>
      <c r="SVF1" s="288"/>
      <c r="SVG1" s="288"/>
      <c r="SVH1" s="288"/>
      <c r="SVI1" s="288"/>
      <c r="SVJ1" s="288"/>
      <c r="SVK1" s="288"/>
      <c r="SVL1" s="288"/>
      <c r="SVM1" s="288"/>
      <c r="SVN1" s="288"/>
      <c r="SVO1" s="288"/>
      <c r="SVP1" s="288"/>
      <c r="SVQ1" s="288"/>
      <c r="SVR1" s="288"/>
      <c r="SVS1" s="288"/>
      <c r="SVT1" s="288"/>
      <c r="SVU1" s="288"/>
      <c r="SVV1" s="288"/>
      <c r="SVW1" s="288"/>
      <c r="SVX1" s="288"/>
      <c r="SVY1" s="288"/>
      <c r="SVZ1" s="288"/>
      <c r="SWA1" s="288"/>
      <c r="SWB1" s="288"/>
      <c r="SWC1" s="288"/>
      <c r="SWD1" s="288"/>
      <c r="SWE1" s="288"/>
      <c r="SWF1" s="288"/>
      <c r="SWG1" s="288"/>
      <c r="SWH1" s="288"/>
      <c r="SWI1" s="288"/>
      <c r="SWJ1" s="288"/>
      <c r="SWK1" s="288"/>
      <c r="SWL1" s="288"/>
      <c r="SWM1" s="288"/>
      <c r="SWN1" s="288"/>
      <c r="SWO1" s="288"/>
      <c r="SWP1" s="288"/>
      <c r="SWQ1" s="288"/>
      <c r="SWR1" s="288"/>
      <c r="SWS1" s="288"/>
      <c r="SWT1" s="288"/>
      <c r="SWU1" s="288"/>
      <c r="SWV1" s="288"/>
      <c r="SWW1" s="288"/>
      <c r="SWX1" s="288"/>
      <c r="SWY1" s="288"/>
      <c r="SWZ1" s="288"/>
      <c r="SXA1" s="288"/>
      <c r="SXB1" s="288"/>
      <c r="SXC1" s="288"/>
      <c r="SXD1" s="288"/>
      <c r="SXE1" s="288"/>
      <c r="SXF1" s="288"/>
      <c r="SXG1" s="288"/>
      <c r="SXH1" s="288"/>
      <c r="SXI1" s="288"/>
      <c r="SXJ1" s="288"/>
      <c r="SXK1" s="288"/>
      <c r="SXL1" s="288"/>
      <c r="SXM1" s="288"/>
      <c r="SXN1" s="288"/>
      <c r="SXO1" s="288"/>
      <c r="SXP1" s="288"/>
      <c r="SXQ1" s="288"/>
      <c r="SXR1" s="288"/>
      <c r="SXS1" s="288"/>
      <c r="SXT1" s="288"/>
      <c r="SXU1" s="288"/>
      <c r="SXV1" s="288"/>
      <c r="SXW1" s="288"/>
      <c r="SXX1" s="288"/>
      <c r="SXY1" s="288"/>
      <c r="SXZ1" s="288"/>
      <c r="SYA1" s="288"/>
      <c r="SYB1" s="288"/>
      <c r="SYC1" s="288"/>
      <c r="SYD1" s="288"/>
      <c r="SYE1" s="288"/>
      <c r="SYF1" s="288"/>
      <c r="SYG1" s="288"/>
      <c r="SYH1" s="288"/>
      <c r="SYI1" s="288"/>
      <c r="SYJ1" s="288"/>
      <c r="SYK1" s="288"/>
      <c r="SYL1" s="288"/>
      <c r="SYM1" s="288"/>
      <c r="SYN1" s="288"/>
      <c r="SYO1" s="288"/>
      <c r="SYP1" s="288"/>
      <c r="SYQ1" s="288"/>
      <c r="SYR1" s="288"/>
      <c r="SYS1" s="288"/>
      <c r="SYT1" s="288"/>
      <c r="SYU1" s="288"/>
      <c r="SYV1" s="288"/>
      <c r="SYW1" s="288"/>
      <c r="SYX1" s="288"/>
      <c r="SYY1" s="288"/>
      <c r="SYZ1" s="288"/>
      <c r="SZA1" s="288"/>
      <c r="SZB1" s="288"/>
      <c r="SZC1" s="288"/>
      <c r="SZD1" s="288"/>
      <c r="SZE1" s="288"/>
      <c r="SZF1" s="288"/>
      <c r="SZG1" s="288"/>
      <c r="SZH1" s="288"/>
      <c r="SZI1" s="288"/>
      <c r="SZJ1" s="288"/>
      <c r="SZK1" s="288"/>
      <c r="SZL1" s="288"/>
      <c r="SZM1" s="288"/>
      <c r="SZN1" s="288"/>
      <c r="SZO1" s="288"/>
      <c r="SZP1" s="288"/>
      <c r="SZQ1" s="288"/>
      <c r="SZR1" s="288"/>
      <c r="SZS1" s="288"/>
      <c r="SZT1" s="288"/>
      <c r="SZU1" s="288"/>
      <c r="SZV1" s="288"/>
      <c r="SZW1" s="288"/>
      <c r="SZX1" s="288"/>
      <c r="SZY1" s="288"/>
      <c r="SZZ1" s="288"/>
      <c r="TAA1" s="288"/>
      <c r="TAB1" s="288"/>
      <c r="TAC1" s="288"/>
      <c r="TAD1" s="288"/>
      <c r="TAE1" s="288"/>
      <c r="TAF1" s="288"/>
      <c r="TAG1" s="288"/>
      <c r="TAH1" s="288"/>
      <c r="TAI1" s="288"/>
      <c r="TAJ1" s="288"/>
      <c r="TAK1" s="288"/>
      <c r="TAL1" s="288"/>
      <c r="TAM1" s="288"/>
      <c r="TAN1" s="288"/>
      <c r="TAO1" s="288"/>
      <c r="TAP1" s="288"/>
      <c r="TAQ1" s="288"/>
      <c r="TAR1" s="288"/>
      <c r="TAS1" s="288"/>
      <c r="TAT1" s="288"/>
      <c r="TAU1" s="288"/>
      <c r="TAV1" s="288"/>
      <c r="TAW1" s="288"/>
      <c r="TAX1" s="288"/>
      <c r="TAY1" s="288"/>
      <c r="TAZ1" s="288"/>
      <c r="TBA1" s="288"/>
      <c r="TBB1" s="288"/>
      <c r="TBC1" s="288"/>
      <c r="TBD1" s="288"/>
      <c r="TBE1" s="288"/>
      <c r="TBF1" s="288"/>
      <c r="TBG1" s="288"/>
      <c r="TBH1" s="288"/>
      <c r="TBI1" s="288"/>
      <c r="TBJ1" s="288"/>
      <c r="TBK1" s="288"/>
      <c r="TBL1" s="288"/>
      <c r="TBM1" s="288"/>
      <c r="TBN1" s="288"/>
      <c r="TBO1" s="288"/>
      <c r="TBP1" s="288"/>
      <c r="TBQ1" s="288"/>
      <c r="TBR1" s="288"/>
      <c r="TBS1" s="288"/>
      <c r="TBT1" s="288"/>
      <c r="TBU1" s="288"/>
      <c r="TBV1" s="288"/>
      <c r="TBW1" s="288"/>
      <c r="TBX1" s="288"/>
      <c r="TBY1" s="288"/>
      <c r="TBZ1" s="288"/>
      <c r="TCA1" s="288"/>
      <c r="TCB1" s="288"/>
      <c r="TCC1" s="288"/>
      <c r="TCD1" s="288"/>
      <c r="TCE1" s="288"/>
      <c r="TCF1" s="288"/>
      <c r="TCG1" s="288"/>
      <c r="TCH1" s="288"/>
      <c r="TCI1" s="288"/>
      <c r="TCJ1" s="288"/>
      <c r="TCK1" s="288"/>
      <c r="TCL1" s="288"/>
      <c r="TCM1" s="288"/>
      <c r="TCN1" s="288"/>
      <c r="TCO1" s="288"/>
      <c r="TCP1" s="288"/>
      <c r="TCQ1" s="288"/>
      <c r="TCR1" s="288"/>
      <c r="TCS1" s="288"/>
      <c r="TCT1" s="288"/>
      <c r="TCU1" s="288"/>
      <c r="TCV1" s="288"/>
      <c r="TCW1" s="288"/>
      <c r="TCX1" s="288"/>
      <c r="TCY1" s="288"/>
      <c r="TCZ1" s="288"/>
      <c r="TDA1" s="288"/>
      <c r="TDB1" s="288"/>
      <c r="TDC1" s="288"/>
      <c r="TDD1" s="288"/>
      <c r="TDE1" s="288"/>
      <c r="TDF1" s="288"/>
      <c r="TDG1" s="288"/>
      <c r="TDH1" s="288"/>
      <c r="TDI1" s="288"/>
      <c r="TDJ1" s="288"/>
      <c r="TDK1" s="288"/>
      <c r="TDL1" s="288"/>
      <c r="TDM1" s="288"/>
      <c r="TDN1" s="288"/>
      <c r="TDO1" s="288"/>
      <c r="TDP1" s="288"/>
      <c r="TDQ1" s="288"/>
      <c r="TDR1" s="288"/>
      <c r="TDS1" s="288"/>
      <c r="TDT1" s="288"/>
      <c r="TDU1" s="288"/>
      <c r="TDV1" s="288"/>
      <c r="TDW1" s="288"/>
      <c r="TDX1" s="288"/>
      <c r="TDY1" s="288"/>
      <c r="TDZ1" s="288"/>
      <c r="TEA1" s="288"/>
      <c r="TEB1" s="288"/>
      <c r="TEC1" s="288"/>
      <c r="TED1" s="288"/>
      <c r="TEE1" s="288"/>
      <c r="TEF1" s="288"/>
      <c r="TEG1" s="288"/>
      <c r="TEH1" s="288"/>
      <c r="TEI1" s="288"/>
      <c r="TEJ1" s="288"/>
      <c r="TEK1" s="288"/>
      <c r="TEL1" s="288"/>
      <c r="TEM1" s="288"/>
      <c r="TEN1" s="288"/>
      <c r="TEO1" s="288"/>
      <c r="TEP1" s="288"/>
      <c r="TEQ1" s="288"/>
      <c r="TER1" s="288"/>
      <c r="TES1" s="288"/>
      <c r="TET1" s="288"/>
      <c r="TEU1" s="288"/>
      <c r="TEV1" s="288"/>
      <c r="TEW1" s="288"/>
      <c r="TEX1" s="288"/>
      <c r="TEY1" s="288"/>
      <c r="TEZ1" s="288"/>
      <c r="TFA1" s="288"/>
      <c r="TFB1" s="288"/>
      <c r="TFC1" s="288"/>
      <c r="TFD1" s="288"/>
      <c r="TFE1" s="288"/>
      <c r="TFF1" s="288"/>
      <c r="TFG1" s="288"/>
      <c r="TFH1" s="288"/>
      <c r="TFI1" s="288"/>
      <c r="TFJ1" s="288"/>
      <c r="TFK1" s="288"/>
      <c r="TFL1" s="288"/>
      <c r="TFM1" s="288"/>
      <c r="TFN1" s="288"/>
      <c r="TFO1" s="288"/>
      <c r="TFP1" s="288"/>
      <c r="TFQ1" s="288"/>
      <c r="TFR1" s="288"/>
      <c r="TFS1" s="288"/>
      <c r="TFT1" s="288"/>
      <c r="TFU1" s="288"/>
      <c r="TFV1" s="288"/>
      <c r="TFW1" s="288"/>
      <c r="TFX1" s="288"/>
      <c r="TFY1" s="288"/>
      <c r="TFZ1" s="288"/>
      <c r="TGA1" s="288"/>
      <c r="TGB1" s="288"/>
      <c r="TGC1" s="288"/>
      <c r="TGD1" s="288"/>
      <c r="TGE1" s="288"/>
      <c r="TGF1" s="288"/>
      <c r="TGG1" s="288"/>
      <c r="TGH1" s="288"/>
      <c r="TGI1" s="288"/>
      <c r="TGJ1" s="288"/>
      <c r="TGK1" s="288"/>
      <c r="TGL1" s="288"/>
      <c r="TGM1" s="288"/>
      <c r="TGN1" s="288"/>
      <c r="TGO1" s="288"/>
      <c r="TGP1" s="288"/>
      <c r="TGQ1" s="288"/>
      <c r="TGR1" s="288"/>
      <c r="TGS1" s="288"/>
      <c r="TGT1" s="288"/>
      <c r="TGU1" s="288"/>
      <c r="TGV1" s="288"/>
      <c r="TGW1" s="288"/>
      <c r="TGX1" s="288"/>
      <c r="TGY1" s="288"/>
      <c r="TGZ1" s="288"/>
      <c r="THA1" s="288"/>
      <c r="THB1" s="288"/>
      <c r="THC1" s="288"/>
      <c r="THD1" s="288"/>
      <c r="THE1" s="288"/>
      <c r="THF1" s="288"/>
      <c r="THG1" s="288"/>
      <c r="THH1" s="288"/>
      <c r="THI1" s="288"/>
      <c r="THJ1" s="288"/>
      <c r="THK1" s="288"/>
      <c r="THL1" s="288"/>
      <c r="THM1" s="288"/>
      <c r="THN1" s="288"/>
      <c r="THO1" s="288"/>
      <c r="THP1" s="288"/>
      <c r="THQ1" s="288"/>
      <c r="THR1" s="288"/>
      <c r="THS1" s="288"/>
      <c r="THT1" s="288"/>
      <c r="THU1" s="288"/>
      <c r="THV1" s="288"/>
      <c r="THW1" s="288"/>
      <c r="THX1" s="288"/>
      <c r="THY1" s="288"/>
      <c r="THZ1" s="288"/>
      <c r="TIA1" s="288"/>
      <c r="TIB1" s="288"/>
      <c r="TIC1" s="288"/>
      <c r="TID1" s="288"/>
      <c r="TIE1" s="288"/>
      <c r="TIF1" s="288"/>
      <c r="TIG1" s="288"/>
      <c r="TIH1" s="288"/>
      <c r="TII1" s="288"/>
      <c r="TIJ1" s="288"/>
      <c r="TIK1" s="288"/>
      <c r="TIL1" s="288"/>
      <c r="TIM1" s="288"/>
      <c r="TIN1" s="288"/>
      <c r="TIO1" s="288"/>
      <c r="TIP1" s="288"/>
      <c r="TIQ1" s="288"/>
      <c r="TIR1" s="288"/>
      <c r="TIS1" s="288"/>
      <c r="TIT1" s="288"/>
      <c r="TIU1" s="288"/>
      <c r="TIV1" s="288"/>
      <c r="TIW1" s="288"/>
      <c r="TIX1" s="288"/>
      <c r="TIY1" s="288"/>
      <c r="TIZ1" s="288"/>
      <c r="TJA1" s="288"/>
      <c r="TJB1" s="288"/>
      <c r="TJC1" s="288"/>
      <c r="TJD1" s="288"/>
      <c r="TJE1" s="288"/>
      <c r="TJF1" s="288"/>
      <c r="TJG1" s="288"/>
      <c r="TJH1" s="288"/>
      <c r="TJI1" s="288"/>
      <c r="TJJ1" s="288"/>
      <c r="TJK1" s="288"/>
      <c r="TJL1" s="288"/>
      <c r="TJM1" s="288"/>
      <c r="TJN1" s="288"/>
      <c r="TJO1" s="288"/>
      <c r="TJP1" s="288"/>
      <c r="TJQ1" s="288"/>
      <c r="TJR1" s="288"/>
      <c r="TJS1" s="288"/>
      <c r="TJT1" s="288"/>
      <c r="TJU1" s="288"/>
      <c r="TJV1" s="288"/>
      <c r="TJW1" s="288"/>
      <c r="TJX1" s="288"/>
      <c r="TJY1" s="288"/>
      <c r="TJZ1" s="288"/>
      <c r="TKA1" s="288"/>
      <c r="TKB1" s="288"/>
      <c r="TKC1" s="288"/>
      <c r="TKD1" s="288"/>
      <c r="TKE1" s="288"/>
      <c r="TKF1" s="288"/>
      <c r="TKG1" s="288"/>
      <c r="TKH1" s="288"/>
      <c r="TKI1" s="288"/>
      <c r="TKJ1" s="288"/>
      <c r="TKK1" s="288"/>
      <c r="TKL1" s="288"/>
      <c r="TKM1" s="288"/>
      <c r="TKN1" s="288"/>
      <c r="TKO1" s="288"/>
      <c r="TKP1" s="288"/>
      <c r="TKQ1" s="288"/>
      <c r="TKR1" s="288"/>
      <c r="TKS1" s="288"/>
      <c r="TKT1" s="288"/>
      <c r="TKU1" s="288"/>
      <c r="TKV1" s="288"/>
      <c r="TKW1" s="288"/>
      <c r="TKX1" s="288"/>
      <c r="TKY1" s="288"/>
      <c r="TKZ1" s="288"/>
      <c r="TLA1" s="288"/>
      <c r="TLB1" s="288"/>
      <c r="TLC1" s="288"/>
      <c r="TLD1" s="288"/>
      <c r="TLE1" s="288"/>
      <c r="TLF1" s="288"/>
      <c r="TLG1" s="288"/>
      <c r="TLH1" s="288"/>
      <c r="TLI1" s="288"/>
      <c r="TLJ1" s="288"/>
      <c r="TLK1" s="288"/>
      <c r="TLL1" s="288"/>
      <c r="TLM1" s="288"/>
      <c r="TLN1" s="288"/>
      <c r="TLO1" s="288"/>
      <c r="TLP1" s="288"/>
      <c r="TLQ1" s="288"/>
      <c r="TLR1" s="288"/>
      <c r="TLS1" s="288"/>
      <c r="TLT1" s="288"/>
      <c r="TLU1" s="288"/>
      <c r="TLV1" s="288"/>
      <c r="TLW1" s="288"/>
      <c r="TLX1" s="288"/>
      <c r="TLY1" s="288"/>
      <c r="TLZ1" s="288"/>
      <c r="TMA1" s="288"/>
      <c r="TMB1" s="288"/>
      <c r="TMC1" s="288"/>
      <c r="TMD1" s="288"/>
      <c r="TME1" s="288"/>
      <c r="TMF1" s="288"/>
      <c r="TMG1" s="288"/>
      <c r="TMH1" s="288"/>
      <c r="TMI1" s="288"/>
      <c r="TMJ1" s="288"/>
      <c r="TMK1" s="288"/>
      <c r="TML1" s="288"/>
      <c r="TMM1" s="288"/>
      <c r="TMN1" s="288"/>
      <c r="TMO1" s="288"/>
      <c r="TMP1" s="288"/>
      <c r="TMQ1" s="288"/>
      <c r="TMR1" s="288"/>
      <c r="TMS1" s="288"/>
      <c r="TMT1" s="288"/>
      <c r="TMU1" s="288"/>
      <c r="TMV1" s="288"/>
      <c r="TMW1" s="288"/>
      <c r="TMX1" s="288"/>
      <c r="TMY1" s="288"/>
      <c r="TMZ1" s="288"/>
      <c r="TNA1" s="288"/>
      <c r="TNB1" s="288"/>
      <c r="TNC1" s="288"/>
      <c r="TND1" s="288"/>
      <c r="TNE1" s="288"/>
      <c r="TNF1" s="288"/>
      <c r="TNG1" s="288"/>
      <c r="TNH1" s="288"/>
      <c r="TNI1" s="288"/>
      <c r="TNJ1" s="288"/>
      <c r="TNK1" s="288"/>
      <c r="TNL1" s="288"/>
      <c r="TNM1" s="288"/>
      <c r="TNN1" s="288"/>
      <c r="TNO1" s="288"/>
      <c r="TNP1" s="288"/>
      <c r="TNQ1" s="288"/>
      <c r="TNR1" s="288"/>
      <c r="TNS1" s="288"/>
      <c r="TNT1" s="288"/>
      <c r="TNU1" s="288"/>
      <c r="TNV1" s="288"/>
      <c r="TNW1" s="288"/>
      <c r="TNX1" s="288"/>
      <c r="TNY1" s="288"/>
      <c r="TNZ1" s="288"/>
      <c r="TOA1" s="288"/>
      <c r="TOB1" s="288"/>
      <c r="TOC1" s="288"/>
      <c r="TOD1" s="288"/>
      <c r="TOE1" s="288"/>
      <c r="TOF1" s="288"/>
      <c r="TOG1" s="288"/>
      <c r="TOH1" s="288"/>
      <c r="TOI1" s="288"/>
      <c r="TOJ1" s="288"/>
      <c r="TOK1" s="288"/>
      <c r="TOL1" s="288"/>
      <c r="TOM1" s="288"/>
      <c r="TON1" s="288"/>
      <c r="TOO1" s="288"/>
      <c r="TOP1" s="288"/>
      <c r="TOQ1" s="288"/>
      <c r="TOR1" s="288"/>
      <c r="TOS1" s="288"/>
      <c r="TOT1" s="288"/>
      <c r="TOU1" s="288"/>
      <c r="TOV1" s="288"/>
      <c r="TOW1" s="288"/>
      <c r="TOX1" s="288"/>
      <c r="TOY1" s="288"/>
      <c r="TOZ1" s="288"/>
      <c r="TPA1" s="288"/>
      <c r="TPB1" s="288"/>
      <c r="TPC1" s="288"/>
      <c r="TPD1" s="288"/>
      <c r="TPE1" s="288"/>
      <c r="TPF1" s="288"/>
      <c r="TPG1" s="288"/>
      <c r="TPH1" s="288"/>
      <c r="TPI1" s="288"/>
      <c r="TPJ1" s="288"/>
      <c r="TPK1" s="288"/>
      <c r="TPL1" s="288"/>
      <c r="TPM1" s="288"/>
      <c r="TPN1" s="288"/>
      <c r="TPO1" s="288"/>
      <c r="TPP1" s="288"/>
      <c r="TPQ1" s="288"/>
      <c r="TPR1" s="288"/>
      <c r="TPS1" s="288"/>
      <c r="TPT1" s="288"/>
      <c r="TPU1" s="288"/>
      <c r="TPV1" s="288"/>
      <c r="TPW1" s="288"/>
      <c r="TPX1" s="288"/>
      <c r="TPY1" s="288"/>
      <c r="TPZ1" s="288"/>
      <c r="TQA1" s="288"/>
      <c r="TQB1" s="288"/>
      <c r="TQC1" s="288"/>
      <c r="TQD1" s="288"/>
      <c r="TQE1" s="288"/>
      <c r="TQF1" s="288"/>
      <c r="TQG1" s="288"/>
      <c r="TQH1" s="288"/>
      <c r="TQI1" s="288"/>
      <c r="TQJ1" s="288"/>
      <c r="TQK1" s="288"/>
      <c r="TQL1" s="288"/>
      <c r="TQM1" s="288"/>
      <c r="TQN1" s="288"/>
      <c r="TQO1" s="288"/>
      <c r="TQP1" s="288"/>
      <c r="TQQ1" s="288"/>
      <c r="TQR1" s="288"/>
      <c r="TQS1" s="288"/>
      <c r="TQT1" s="288"/>
      <c r="TQU1" s="288"/>
      <c r="TQV1" s="288"/>
      <c r="TQW1" s="288"/>
      <c r="TQX1" s="288"/>
      <c r="TQY1" s="288"/>
      <c r="TQZ1" s="288"/>
      <c r="TRA1" s="288"/>
      <c r="TRB1" s="288"/>
      <c r="TRC1" s="288"/>
      <c r="TRD1" s="288"/>
      <c r="TRE1" s="288"/>
      <c r="TRF1" s="288"/>
      <c r="TRG1" s="288"/>
      <c r="TRH1" s="288"/>
      <c r="TRI1" s="288"/>
      <c r="TRJ1" s="288"/>
      <c r="TRK1" s="288"/>
      <c r="TRL1" s="288"/>
      <c r="TRM1" s="288"/>
      <c r="TRN1" s="288"/>
      <c r="TRO1" s="288"/>
      <c r="TRP1" s="288"/>
      <c r="TRQ1" s="288"/>
      <c r="TRR1" s="288"/>
      <c r="TRS1" s="288"/>
      <c r="TRT1" s="288"/>
      <c r="TRU1" s="288"/>
      <c r="TRV1" s="288"/>
      <c r="TRW1" s="288"/>
      <c r="TRX1" s="288"/>
      <c r="TRY1" s="288"/>
      <c r="TRZ1" s="288"/>
      <c r="TSA1" s="288"/>
      <c r="TSB1" s="288"/>
      <c r="TSC1" s="288"/>
      <c r="TSD1" s="288"/>
      <c r="TSE1" s="288"/>
      <c r="TSF1" s="288"/>
      <c r="TSG1" s="288"/>
      <c r="TSH1" s="288"/>
      <c r="TSI1" s="288"/>
      <c r="TSJ1" s="288"/>
      <c r="TSK1" s="288"/>
      <c r="TSL1" s="288"/>
      <c r="TSM1" s="288"/>
      <c r="TSN1" s="288"/>
      <c r="TSO1" s="288"/>
      <c r="TSP1" s="288"/>
      <c r="TSQ1" s="288"/>
      <c r="TSR1" s="288"/>
      <c r="TSS1" s="288"/>
      <c r="TST1" s="288"/>
      <c r="TSU1" s="288"/>
      <c r="TSV1" s="288"/>
      <c r="TSW1" s="288"/>
      <c r="TSX1" s="288"/>
      <c r="TSY1" s="288"/>
      <c r="TSZ1" s="288"/>
      <c r="TTA1" s="288"/>
      <c r="TTB1" s="288"/>
      <c r="TTC1" s="288"/>
      <c r="TTD1" s="288"/>
      <c r="TTE1" s="288"/>
      <c r="TTF1" s="288"/>
      <c r="TTG1" s="288"/>
      <c r="TTH1" s="288"/>
      <c r="TTI1" s="288"/>
      <c r="TTJ1" s="288"/>
      <c r="TTK1" s="288"/>
      <c r="TTL1" s="288"/>
      <c r="TTM1" s="288"/>
      <c r="TTN1" s="288"/>
      <c r="TTO1" s="288"/>
      <c r="TTP1" s="288"/>
      <c r="TTQ1" s="288"/>
      <c r="TTR1" s="288"/>
      <c r="TTS1" s="288"/>
      <c r="TTT1" s="288"/>
      <c r="TTU1" s="288"/>
      <c r="TTV1" s="288"/>
      <c r="TTW1" s="288"/>
      <c r="TTX1" s="288"/>
      <c r="TTY1" s="288"/>
      <c r="TTZ1" s="288"/>
      <c r="TUA1" s="288"/>
      <c r="TUB1" s="288"/>
      <c r="TUC1" s="288"/>
      <c r="TUD1" s="288"/>
      <c r="TUE1" s="288"/>
      <c r="TUF1" s="288"/>
      <c r="TUG1" s="288"/>
      <c r="TUH1" s="288"/>
      <c r="TUI1" s="288"/>
      <c r="TUJ1" s="288"/>
      <c r="TUK1" s="288"/>
      <c r="TUL1" s="288"/>
      <c r="TUM1" s="288"/>
      <c r="TUN1" s="288"/>
      <c r="TUO1" s="288"/>
      <c r="TUP1" s="288"/>
      <c r="TUQ1" s="288"/>
      <c r="TUR1" s="288"/>
      <c r="TUS1" s="288"/>
      <c r="TUT1" s="288"/>
      <c r="TUU1" s="288"/>
      <c r="TUV1" s="288"/>
      <c r="TUW1" s="288"/>
      <c r="TUX1" s="288"/>
      <c r="TUY1" s="288"/>
      <c r="TUZ1" s="288"/>
      <c r="TVA1" s="288"/>
      <c r="TVB1" s="288"/>
      <c r="TVC1" s="288"/>
      <c r="TVD1" s="288"/>
      <c r="TVE1" s="288"/>
      <c r="TVF1" s="288"/>
      <c r="TVG1" s="288"/>
      <c r="TVH1" s="288"/>
      <c r="TVI1" s="288"/>
      <c r="TVJ1" s="288"/>
      <c r="TVK1" s="288"/>
      <c r="TVL1" s="288"/>
      <c r="TVM1" s="288"/>
      <c r="TVN1" s="288"/>
      <c r="TVO1" s="288"/>
      <c r="TVP1" s="288"/>
      <c r="TVQ1" s="288"/>
      <c r="TVR1" s="288"/>
      <c r="TVS1" s="288"/>
      <c r="TVT1" s="288"/>
      <c r="TVU1" s="288"/>
      <c r="TVV1" s="288"/>
      <c r="TVW1" s="288"/>
      <c r="TVX1" s="288"/>
      <c r="TVY1" s="288"/>
      <c r="TVZ1" s="288"/>
      <c r="TWA1" s="288"/>
      <c r="TWB1" s="288"/>
      <c r="TWC1" s="288"/>
      <c r="TWD1" s="288"/>
      <c r="TWE1" s="288"/>
      <c r="TWF1" s="288"/>
      <c r="TWG1" s="288"/>
      <c r="TWH1" s="288"/>
      <c r="TWI1" s="288"/>
      <c r="TWJ1" s="288"/>
      <c r="TWK1" s="288"/>
      <c r="TWL1" s="288"/>
      <c r="TWM1" s="288"/>
      <c r="TWN1" s="288"/>
      <c r="TWO1" s="288"/>
      <c r="TWP1" s="288"/>
      <c r="TWQ1" s="288"/>
      <c r="TWR1" s="288"/>
      <c r="TWS1" s="288"/>
      <c r="TWT1" s="288"/>
      <c r="TWU1" s="288"/>
      <c r="TWV1" s="288"/>
      <c r="TWW1" s="288"/>
      <c r="TWX1" s="288"/>
      <c r="TWY1" s="288"/>
      <c r="TWZ1" s="288"/>
      <c r="TXA1" s="288"/>
      <c r="TXB1" s="288"/>
      <c r="TXC1" s="288"/>
      <c r="TXD1" s="288"/>
      <c r="TXE1" s="288"/>
      <c r="TXF1" s="288"/>
      <c r="TXG1" s="288"/>
      <c r="TXH1" s="288"/>
      <c r="TXI1" s="288"/>
      <c r="TXJ1" s="288"/>
      <c r="TXK1" s="288"/>
      <c r="TXL1" s="288"/>
      <c r="TXM1" s="288"/>
      <c r="TXN1" s="288"/>
      <c r="TXO1" s="288"/>
      <c r="TXP1" s="288"/>
      <c r="TXQ1" s="288"/>
      <c r="TXR1" s="288"/>
      <c r="TXS1" s="288"/>
      <c r="TXT1" s="288"/>
      <c r="TXU1" s="288"/>
      <c r="TXV1" s="288"/>
      <c r="TXW1" s="288"/>
      <c r="TXX1" s="288"/>
      <c r="TXY1" s="288"/>
      <c r="TXZ1" s="288"/>
      <c r="TYA1" s="288"/>
      <c r="TYB1" s="288"/>
      <c r="TYC1" s="288"/>
      <c r="TYD1" s="288"/>
      <c r="TYE1" s="288"/>
      <c r="TYF1" s="288"/>
      <c r="TYG1" s="288"/>
      <c r="TYH1" s="288"/>
      <c r="TYI1" s="288"/>
      <c r="TYJ1" s="288"/>
      <c r="TYK1" s="288"/>
      <c r="TYL1" s="288"/>
      <c r="TYM1" s="288"/>
      <c r="TYN1" s="288"/>
      <c r="TYO1" s="288"/>
      <c r="TYP1" s="288"/>
      <c r="TYQ1" s="288"/>
      <c r="TYR1" s="288"/>
      <c r="TYS1" s="288"/>
      <c r="TYT1" s="288"/>
      <c r="TYU1" s="288"/>
      <c r="TYV1" s="288"/>
      <c r="TYW1" s="288"/>
      <c r="TYX1" s="288"/>
      <c r="TYY1" s="288"/>
      <c r="TYZ1" s="288"/>
      <c r="TZA1" s="288"/>
      <c r="TZB1" s="288"/>
      <c r="TZC1" s="288"/>
      <c r="TZD1" s="288"/>
      <c r="TZE1" s="288"/>
      <c r="TZF1" s="288"/>
      <c r="TZG1" s="288"/>
      <c r="TZH1" s="288"/>
      <c r="TZI1" s="288"/>
      <c r="TZJ1" s="288"/>
      <c r="TZK1" s="288"/>
      <c r="TZL1" s="288"/>
      <c r="TZM1" s="288"/>
      <c r="TZN1" s="288"/>
      <c r="TZO1" s="288"/>
      <c r="TZP1" s="288"/>
      <c r="TZQ1" s="288"/>
      <c r="TZR1" s="288"/>
      <c r="TZS1" s="288"/>
      <c r="TZT1" s="288"/>
      <c r="TZU1" s="288"/>
      <c r="TZV1" s="288"/>
      <c r="TZW1" s="288"/>
      <c r="TZX1" s="288"/>
      <c r="TZY1" s="288"/>
      <c r="TZZ1" s="288"/>
      <c r="UAA1" s="288"/>
      <c r="UAB1" s="288"/>
      <c r="UAC1" s="288"/>
      <c r="UAD1" s="288"/>
      <c r="UAE1" s="288"/>
      <c r="UAF1" s="288"/>
      <c r="UAG1" s="288"/>
      <c r="UAH1" s="288"/>
      <c r="UAI1" s="288"/>
      <c r="UAJ1" s="288"/>
      <c r="UAK1" s="288"/>
      <c r="UAL1" s="288"/>
      <c r="UAM1" s="288"/>
      <c r="UAN1" s="288"/>
      <c r="UAO1" s="288"/>
      <c r="UAP1" s="288"/>
      <c r="UAQ1" s="288"/>
      <c r="UAR1" s="288"/>
      <c r="UAS1" s="288"/>
      <c r="UAT1" s="288"/>
      <c r="UAU1" s="288"/>
      <c r="UAV1" s="288"/>
      <c r="UAW1" s="288"/>
      <c r="UAX1" s="288"/>
      <c r="UAY1" s="288"/>
      <c r="UAZ1" s="288"/>
      <c r="UBA1" s="288"/>
      <c r="UBB1" s="288"/>
      <c r="UBC1" s="288"/>
      <c r="UBD1" s="288"/>
      <c r="UBE1" s="288"/>
      <c r="UBF1" s="288"/>
      <c r="UBG1" s="288"/>
      <c r="UBH1" s="288"/>
      <c r="UBI1" s="288"/>
      <c r="UBJ1" s="288"/>
      <c r="UBK1" s="288"/>
      <c r="UBL1" s="288"/>
      <c r="UBM1" s="288"/>
      <c r="UBN1" s="288"/>
      <c r="UBO1" s="288"/>
      <c r="UBP1" s="288"/>
      <c r="UBQ1" s="288"/>
      <c r="UBR1" s="288"/>
      <c r="UBS1" s="288"/>
      <c r="UBT1" s="288"/>
      <c r="UBU1" s="288"/>
      <c r="UBV1" s="288"/>
      <c r="UBW1" s="288"/>
      <c r="UBX1" s="288"/>
      <c r="UBY1" s="288"/>
      <c r="UBZ1" s="288"/>
      <c r="UCA1" s="288"/>
      <c r="UCB1" s="288"/>
      <c r="UCC1" s="288"/>
      <c r="UCD1" s="288"/>
      <c r="UCE1" s="288"/>
      <c r="UCF1" s="288"/>
      <c r="UCG1" s="288"/>
      <c r="UCH1" s="288"/>
      <c r="UCI1" s="288"/>
      <c r="UCJ1" s="288"/>
      <c r="UCK1" s="288"/>
      <c r="UCL1" s="288"/>
      <c r="UCM1" s="288"/>
      <c r="UCN1" s="288"/>
      <c r="UCO1" s="288"/>
      <c r="UCP1" s="288"/>
      <c r="UCQ1" s="288"/>
      <c r="UCR1" s="288"/>
      <c r="UCS1" s="288"/>
      <c r="UCT1" s="288"/>
      <c r="UCU1" s="288"/>
      <c r="UCV1" s="288"/>
      <c r="UCW1" s="288"/>
      <c r="UCX1" s="288"/>
      <c r="UCY1" s="288"/>
      <c r="UCZ1" s="288"/>
      <c r="UDA1" s="288"/>
      <c r="UDB1" s="288"/>
      <c r="UDC1" s="288"/>
      <c r="UDD1" s="288"/>
      <c r="UDE1" s="288"/>
      <c r="UDF1" s="288"/>
      <c r="UDG1" s="288"/>
      <c r="UDH1" s="288"/>
      <c r="UDI1" s="288"/>
      <c r="UDJ1" s="288"/>
      <c r="UDK1" s="288"/>
      <c r="UDL1" s="288"/>
      <c r="UDM1" s="288"/>
      <c r="UDN1" s="288"/>
      <c r="UDO1" s="288"/>
      <c r="UDP1" s="288"/>
      <c r="UDQ1" s="288"/>
      <c r="UDR1" s="288"/>
      <c r="UDS1" s="288"/>
      <c r="UDT1" s="288"/>
      <c r="UDU1" s="288"/>
      <c r="UDV1" s="288"/>
      <c r="UDW1" s="288"/>
      <c r="UDX1" s="288"/>
      <c r="UDY1" s="288"/>
      <c r="UDZ1" s="288"/>
      <c r="UEA1" s="288"/>
      <c r="UEB1" s="288"/>
      <c r="UEC1" s="288"/>
      <c r="UED1" s="288"/>
      <c r="UEE1" s="288"/>
      <c r="UEF1" s="288"/>
      <c r="UEG1" s="288"/>
      <c r="UEH1" s="288"/>
      <c r="UEI1" s="288"/>
      <c r="UEJ1" s="288"/>
      <c r="UEK1" s="288"/>
      <c r="UEL1" s="288"/>
      <c r="UEM1" s="288"/>
      <c r="UEN1" s="288"/>
      <c r="UEO1" s="288"/>
      <c r="UEP1" s="288"/>
      <c r="UEQ1" s="288"/>
      <c r="UER1" s="288"/>
      <c r="UES1" s="288"/>
      <c r="UET1" s="288"/>
      <c r="UEU1" s="288"/>
      <c r="UEV1" s="288"/>
      <c r="UEW1" s="288"/>
      <c r="UEX1" s="288"/>
      <c r="UEY1" s="288"/>
      <c r="UEZ1" s="288"/>
      <c r="UFA1" s="288"/>
      <c r="UFB1" s="288"/>
      <c r="UFC1" s="288"/>
      <c r="UFD1" s="288"/>
      <c r="UFE1" s="288"/>
      <c r="UFF1" s="288"/>
      <c r="UFG1" s="288"/>
      <c r="UFH1" s="288"/>
      <c r="UFI1" s="288"/>
      <c r="UFJ1" s="288"/>
      <c r="UFK1" s="288"/>
      <c r="UFL1" s="288"/>
      <c r="UFM1" s="288"/>
      <c r="UFN1" s="288"/>
      <c r="UFO1" s="288"/>
      <c r="UFP1" s="288"/>
      <c r="UFQ1" s="288"/>
      <c r="UFR1" s="288"/>
      <c r="UFS1" s="288"/>
      <c r="UFT1" s="288"/>
      <c r="UFU1" s="288"/>
      <c r="UFV1" s="288"/>
      <c r="UFW1" s="288"/>
      <c r="UFX1" s="288"/>
      <c r="UFY1" s="288"/>
      <c r="UFZ1" s="288"/>
      <c r="UGA1" s="288"/>
      <c r="UGB1" s="288"/>
      <c r="UGC1" s="288"/>
      <c r="UGD1" s="288"/>
      <c r="UGE1" s="288"/>
      <c r="UGF1" s="288"/>
      <c r="UGG1" s="288"/>
      <c r="UGH1" s="288"/>
      <c r="UGI1" s="288"/>
      <c r="UGJ1" s="288"/>
      <c r="UGK1" s="288"/>
      <c r="UGL1" s="288"/>
      <c r="UGM1" s="288"/>
      <c r="UGN1" s="288"/>
      <c r="UGO1" s="288"/>
      <c r="UGP1" s="288"/>
      <c r="UGQ1" s="288"/>
      <c r="UGR1" s="288"/>
      <c r="UGS1" s="288"/>
      <c r="UGT1" s="288"/>
      <c r="UGU1" s="288"/>
      <c r="UGV1" s="288"/>
      <c r="UGW1" s="288"/>
      <c r="UGX1" s="288"/>
      <c r="UGY1" s="288"/>
      <c r="UGZ1" s="288"/>
      <c r="UHA1" s="288"/>
      <c r="UHB1" s="288"/>
      <c r="UHC1" s="288"/>
      <c r="UHD1" s="288"/>
      <c r="UHE1" s="288"/>
      <c r="UHF1" s="288"/>
      <c r="UHG1" s="288"/>
      <c r="UHH1" s="288"/>
      <c r="UHI1" s="288"/>
      <c r="UHJ1" s="288"/>
      <c r="UHK1" s="288"/>
      <c r="UHL1" s="288"/>
      <c r="UHM1" s="288"/>
      <c r="UHN1" s="288"/>
      <c r="UHO1" s="288"/>
      <c r="UHP1" s="288"/>
      <c r="UHQ1" s="288"/>
      <c r="UHR1" s="288"/>
      <c r="UHS1" s="288"/>
      <c r="UHT1" s="288"/>
      <c r="UHU1" s="288"/>
      <c r="UHV1" s="288"/>
      <c r="UHW1" s="288"/>
      <c r="UHX1" s="288"/>
      <c r="UHY1" s="288"/>
      <c r="UHZ1" s="288"/>
      <c r="UIA1" s="288"/>
      <c r="UIB1" s="288"/>
      <c r="UIC1" s="288"/>
      <c r="UID1" s="288"/>
      <c r="UIE1" s="288"/>
      <c r="UIF1" s="288"/>
      <c r="UIG1" s="288"/>
      <c r="UIH1" s="288"/>
      <c r="UII1" s="288"/>
      <c r="UIJ1" s="288"/>
      <c r="UIK1" s="288"/>
      <c r="UIL1" s="288"/>
      <c r="UIM1" s="288"/>
      <c r="UIN1" s="288"/>
      <c r="UIO1" s="288"/>
      <c r="UIP1" s="288"/>
      <c r="UIQ1" s="288"/>
      <c r="UIR1" s="288"/>
      <c r="UIS1" s="288"/>
      <c r="UIT1" s="288"/>
      <c r="UIU1" s="288"/>
      <c r="UIV1" s="288"/>
      <c r="UIW1" s="288"/>
      <c r="UIX1" s="288"/>
      <c r="UIY1" s="288"/>
      <c r="UIZ1" s="288"/>
      <c r="UJA1" s="288"/>
      <c r="UJB1" s="288"/>
      <c r="UJC1" s="288"/>
      <c r="UJD1" s="288"/>
      <c r="UJE1" s="288"/>
      <c r="UJF1" s="288"/>
      <c r="UJG1" s="288"/>
      <c r="UJH1" s="288"/>
      <c r="UJI1" s="288"/>
      <c r="UJJ1" s="288"/>
      <c r="UJK1" s="288"/>
      <c r="UJL1" s="288"/>
      <c r="UJM1" s="288"/>
      <c r="UJN1" s="288"/>
      <c r="UJO1" s="288"/>
      <c r="UJP1" s="288"/>
      <c r="UJQ1" s="288"/>
      <c r="UJR1" s="288"/>
      <c r="UJS1" s="288"/>
      <c r="UJT1" s="288"/>
      <c r="UJU1" s="288"/>
      <c r="UJV1" s="288"/>
      <c r="UJW1" s="288"/>
      <c r="UJX1" s="288"/>
      <c r="UJY1" s="288"/>
      <c r="UJZ1" s="288"/>
      <c r="UKA1" s="288"/>
      <c r="UKB1" s="288"/>
      <c r="UKC1" s="288"/>
      <c r="UKD1" s="288"/>
      <c r="UKE1" s="288"/>
      <c r="UKF1" s="288"/>
      <c r="UKG1" s="288"/>
      <c r="UKH1" s="288"/>
      <c r="UKI1" s="288"/>
      <c r="UKJ1" s="288"/>
      <c r="UKK1" s="288"/>
      <c r="UKL1" s="288"/>
      <c r="UKM1" s="288"/>
      <c r="UKN1" s="288"/>
      <c r="UKO1" s="288"/>
      <c r="UKP1" s="288"/>
      <c r="UKQ1" s="288"/>
      <c r="UKR1" s="288"/>
      <c r="UKS1" s="288"/>
      <c r="UKT1" s="288"/>
      <c r="UKU1" s="288"/>
      <c r="UKV1" s="288"/>
      <c r="UKW1" s="288"/>
      <c r="UKX1" s="288"/>
      <c r="UKY1" s="288"/>
      <c r="UKZ1" s="288"/>
      <c r="ULA1" s="288"/>
      <c r="ULB1" s="288"/>
      <c r="ULC1" s="288"/>
      <c r="ULD1" s="288"/>
      <c r="ULE1" s="288"/>
      <c r="ULF1" s="288"/>
      <c r="ULG1" s="288"/>
      <c r="ULH1" s="288"/>
      <c r="ULI1" s="288"/>
      <c r="ULJ1" s="288"/>
      <c r="ULK1" s="288"/>
      <c r="ULL1" s="288"/>
      <c r="ULM1" s="288"/>
      <c r="ULN1" s="288"/>
      <c r="ULO1" s="288"/>
      <c r="ULP1" s="288"/>
      <c r="ULQ1" s="288"/>
      <c r="ULR1" s="288"/>
      <c r="ULS1" s="288"/>
      <c r="ULT1" s="288"/>
      <c r="ULU1" s="288"/>
      <c r="ULV1" s="288"/>
      <c r="ULW1" s="288"/>
      <c r="ULX1" s="288"/>
      <c r="ULY1" s="288"/>
      <c r="ULZ1" s="288"/>
      <c r="UMA1" s="288"/>
      <c r="UMB1" s="288"/>
      <c r="UMC1" s="288"/>
      <c r="UMD1" s="288"/>
      <c r="UME1" s="288"/>
      <c r="UMF1" s="288"/>
      <c r="UMG1" s="288"/>
      <c r="UMH1" s="288"/>
      <c r="UMI1" s="288"/>
      <c r="UMJ1" s="288"/>
      <c r="UMK1" s="288"/>
      <c r="UML1" s="288"/>
      <c r="UMM1" s="288"/>
      <c r="UMN1" s="288"/>
      <c r="UMO1" s="288"/>
      <c r="UMP1" s="288"/>
      <c r="UMQ1" s="288"/>
      <c r="UMR1" s="288"/>
      <c r="UMS1" s="288"/>
      <c r="UMT1" s="288"/>
      <c r="UMU1" s="288"/>
      <c r="UMV1" s="288"/>
      <c r="UMW1" s="288"/>
      <c r="UMX1" s="288"/>
      <c r="UMY1" s="288"/>
      <c r="UMZ1" s="288"/>
      <c r="UNA1" s="288"/>
      <c r="UNB1" s="288"/>
      <c r="UNC1" s="288"/>
      <c r="UND1" s="288"/>
      <c r="UNE1" s="288"/>
      <c r="UNF1" s="288"/>
      <c r="UNG1" s="288"/>
      <c r="UNH1" s="288"/>
      <c r="UNI1" s="288"/>
      <c r="UNJ1" s="288"/>
      <c r="UNK1" s="288"/>
      <c r="UNL1" s="288"/>
      <c r="UNM1" s="288"/>
      <c r="UNN1" s="288"/>
      <c r="UNO1" s="288"/>
      <c r="UNP1" s="288"/>
      <c r="UNQ1" s="288"/>
      <c r="UNR1" s="288"/>
      <c r="UNS1" s="288"/>
      <c r="UNT1" s="288"/>
      <c r="UNU1" s="288"/>
      <c r="UNV1" s="288"/>
      <c r="UNW1" s="288"/>
      <c r="UNX1" s="288"/>
      <c r="UNY1" s="288"/>
      <c r="UNZ1" s="288"/>
      <c r="UOA1" s="288"/>
      <c r="UOB1" s="288"/>
      <c r="UOC1" s="288"/>
      <c r="UOD1" s="288"/>
      <c r="UOE1" s="288"/>
      <c r="UOF1" s="288"/>
      <c r="UOG1" s="288"/>
      <c r="UOH1" s="288"/>
      <c r="UOI1" s="288"/>
      <c r="UOJ1" s="288"/>
      <c r="UOK1" s="288"/>
      <c r="UOL1" s="288"/>
      <c r="UOM1" s="288"/>
      <c r="UON1" s="288"/>
      <c r="UOO1" s="288"/>
      <c r="UOP1" s="288"/>
      <c r="UOQ1" s="288"/>
      <c r="UOR1" s="288"/>
      <c r="UOS1" s="288"/>
      <c r="UOT1" s="288"/>
      <c r="UOU1" s="288"/>
      <c r="UOV1" s="288"/>
      <c r="UOW1" s="288"/>
      <c r="UOX1" s="288"/>
      <c r="UOY1" s="288"/>
      <c r="UOZ1" s="288"/>
      <c r="UPA1" s="288"/>
      <c r="UPB1" s="288"/>
      <c r="UPC1" s="288"/>
      <c r="UPD1" s="288"/>
      <c r="UPE1" s="288"/>
      <c r="UPF1" s="288"/>
      <c r="UPG1" s="288"/>
      <c r="UPH1" s="288"/>
      <c r="UPI1" s="288"/>
      <c r="UPJ1" s="288"/>
      <c r="UPK1" s="288"/>
      <c r="UPL1" s="288"/>
      <c r="UPM1" s="288"/>
      <c r="UPN1" s="288"/>
      <c r="UPO1" s="288"/>
      <c r="UPP1" s="288"/>
      <c r="UPQ1" s="288"/>
      <c r="UPR1" s="288"/>
      <c r="UPS1" s="288"/>
      <c r="UPT1" s="288"/>
      <c r="UPU1" s="288"/>
      <c r="UPV1" s="288"/>
      <c r="UPW1" s="288"/>
      <c r="UPX1" s="288"/>
      <c r="UPY1" s="288"/>
      <c r="UPZ1" s="288"/>
      <c r="UQA1" s="288"/>
      <c r="UQB1" s="288"/>
      <c r="UQC1" s="288"/>
      <c r="UQD1" s="288"/>
      <c r="UQE1" s="288"/>
      <c r="UQF1" s="288"/>
      <c r="UQG1" s="288"/>
      <c r="UQH1" s="288"/>
      <c r="UQI1" s="288"/>
      <c r="UQJ1" s="288"/>
      <c r="UQK1" s="288"/>
      <c r="UQL1" s="288"/>
      <c r="UQM1" s="288"/>
      <c r="UQN1" s="288"/>
      <c r="UQO1" s="288"/>
      <c r="UQP1" s="288"/>
      <c r="UQQ1" s="288"/>
      <c r="UQR1" s="288"/>
      <c r="UQS1" s="288"/>
      <c r="UQT1" s="288"/>
      <c r="UQU1" s="288"/>
      <c r="UQV1" s="288"/>
      <c r="UQW1" s="288"/>
      <c r="UQX1" s="288"/>
      <c r="UQY1" s="288"/>
      <c r="UQZ1" s="288"/>
      <c r="URA1" s="288"/>
      <c r="URB1" s="288"/>
      <c r="URC1" s="288"/>
      <c r="URD1" s="288"/>
      <c r="URE1" s="288"/>
      <c r="URF1" s="288"/>
      <c r="URG1" s="288"/>
      <c r="URH1" s="288"/>
      <c r="URI1" s="288"/>
      <c r="URJ1" s="288"/>
      <c r="URK1" s="288"/>
      <c r="URL1" s="288"/>
      <c r="URM1" s="288"/>
      <c r="URN1" s="288"/>
      <c r="URO1" s="288"/>
      <c r="URP1" s="288"/>
      <c r="URQ1" s="288"/>
      <c r="URR1" s="288"/>
      <c r="URS1" s="288"/>
      <c r="URT1" s="288"/>
      <c r="URU1" s="288"/>
      <c r="URV1" s="288"/>
      <c r="URW1" s="288"/>
      <c r="URX1" s="288"/>
      <c r="URY1" s="288"/>
      <c r="URZ1" s="288"/>
      <c r="USA1" s="288"/>
      <c r="USB1" s="288"/>
      <c r="USC1" s="288"/>
      <c r="USD1" s="288"/>
      <c r="USE1" s="288"/>
      <c r="USF1" s="288"/>
      <c r="USG1" s="288"/>
      <c r="USH1" s="288"/>
      <c r="USI1" s="288"/>
      <c r="USJ1" s="288"/>
      <c r="USK1" s="288"/>
      <c r="USL1" s="288"/>
      <c r="USM1" s="288"/>
      <c r="USN1" s="288"/>
      <c r="USO1" s="288"/>
      <c r="USP1" s="288"/>
      <c r="USQ1" s="288"/>
      <c r="USR1" s="288"/>
      <c r="USS1" s="288"/>
      <c r="UST1" s="288"/>
      <c r="USU1" s="288"/>
      <c r="USV1" s="288"/>
      <c r="USW1" s="288"/>
      <c r="USX1" s="288"/>
      <c r="USY1" s="288"/>
      <c r="USZ1" s="288"/>
      <c r="UTA1" s="288"/>
      <c r="UTB1" s="288"/>
      <c r="UTC1" s="288"/>
      <c r="UTD1" s="288"/>
      <c r="UTE1" s="288"/>
      <c r="UTF1" s="288"/>
      <c r="UTG1" s="288"/>
      <c r="UTH1" s="288"/>
      <c r="UTI1" s="288"/>
      <c r="UTJ1" s="288"/>
      <c r="UTK1" s="288"/>
      <c r="UTL1" s="288"/>
      <c r="UTM1" s="288"/>
      <c r="UTN1" s="288"/>
      <c r="UTO1" s="288"/>
      <c r="UTP1" s="288"/>
      <c r="UTQ1" s="288"/>
      <c r="UTR1" s="288"/>
      <c r="UTS1" s="288"/>
      <c r="UTT1" s="288"/>
      <c r="UTU1" s="288"/>
      <c r="UTV1" s="288"/>
      <c r="UTW1" s="288"/>
      <c r="UTX1" s="288"/>
      <c r="UTY1" s="288"/>
      <c r="UTZ1" s="288"/>
      <c r="UUA1" s="288"/>
      <c r="UUB1" s="288"/>
      <c r="UUC1" s="288"/>
      <c r="UUD1" s="288"/>
      <c r="UUE1" s="288"/>
      <c r="UUF1" s="288"/>
      <c r="UUG1" s="288"/>
      <c r="UUH1" s="288"/>
      <c r="UUI1" s="288"/>
      <c r="UUJ1" s="288"/>
      <c r="UUK1" s="288"/>
      <c r="UUL1" s="288"/>
      <c r="UUM1" s="288"/>
      <c r="UUN1" s="288"/>
      <c r="UUO1" s="288"/>
      <c r="UUP1" s="288"/>
      <c r="UUQ1" s="288"/>
      <c r="UUR1" s="288"/>
      <c r="UUS1" s="288"/>
      <c r="UUT1" s="288"/>
      <c r="UUU1" s="288"/>
      <c r="UUV1" s="288"/>
      <c r="UUW1" s="288"/>
      <c r="UUX1" s="288"/>
      <c r="UUY1" s="288"/>
      <c r="UUZ1" s="288"/>
      <c r="UVA1" s="288"/>
      <c r="UVB1" s="288"/>
      <c r="UVC1" s="288"/>
      <c r="UVD1" s="288"/>
      <c r="UVE1" s="288"/>
      <c r="UVF1" s="288"/>
      <c r="UVG1" s="288"/>
      <c r="UVH1" s="288"/>
      <c r="UVI1" s="288"/>
      <c r="UVJ1" s="288"/>
      <c r="UVK1" s="288"/>
      <c r="UVL1" s="288"/>
      <c r="UVM1" s="288"/>
      <c r="UVN1" s="288"/>
      <c r="UVO1" s="288"/>
      <c r="UVP1" s="288"/>
      <c r="UVQ1" s="288"/>
      <c r="UVR1" s="288"/>
      <c r="UVS1" s="288"/>
      <c r="UVT1" s="288"/>
      <c r="UVU1" s="288"/>
      <c r="UVV1" s="288"/>
      <c r="UVW1" s="288"/>
      <c r="UVX1" s="288"/>
      <c r="UVY1" s="288"/>
      <c r="UVZ1" s="288"/>
      <c r="UWA1" s="288"/>
      <c r="UWB1" s="288"/>
      <c r="UWC1" s="288"/>
      <c r="UWD1" s="288"/>
      <c r="UWE1" s="288"/>
      <c r="UWF1" s="288"/>
      <c r="UWG1" s="288"/>
      <c r="UWH1" s="288"/>
      <c r="UWI1" s="288"/>
      <c r="UWJ1" s="288"/>
      <c r="UWK1" s="288"/>
      <c r="UWL1" s="288"/>
      <c r="UWM1" s="288"/>
      <c r="UWN1" s="288"/>
      <c r="UWO1" s="288"/>
      <c r="UWP1" s="288"/>
      <c r="UWQ1" s="288"/>
      <c r="UWR1" s="288"/>
      <c r="UWS1" s="288"/>
      <c r="UWT1" s="288"/>
      <c r="UWU1" s="288"/>
      <c r="UWV1" s="288"/>
      <c r="UWW1" s="288"/>
      <c r="UWX1" s="288"/>
      <c r="UWY1" s="288"/>
      <c r="UWZ1" s="288"/>
      <c r="UXA1" s="288"/>
      <c r="UXB1" s="288"/>
      <c r="UXC1" s="288"/>
      <c r="UXD1" s="288"/>
      <c r="UXE1" s="288"/>
      <c r="UXF1" s="288"/>
      <c r="UXG1" s="288"/>
      <c r="UXH1" s="288"/>
      <c r="UXI1" s="288"/>
      <c r="UXJ1" s="288"/>
      <c r="UXK1" s="288"/>
      <c r="UXL1" s="288"/>
      <c r="UXM1" s="288"/>
      <c r="UXN1" s="288"/>
      <c r="UXO1" s="288"/>
      <c r="UXP1" s="288"/>
      <c r="UXQ1" s="288"/>
      <c r="UXR1" s="288"/>
      <c r="UXS1" s="288"/>
      <c r="UXT1" s="288"/>
      <c r="UXU1" s="288"/>
      <c r="UXV1" s="288"/>
      <c r="UXW1" s="288"/>
      <c r="UXX1" s="288"/>
      <c r="UXY1" s="288"/>
      <c r="UXZ1" s="288"/>
      <c r="UYA1" s="288"/>
      <c r="UYB1" s="288"/>
      <c r="UYC1" s="288"/>
      <c r="UYD1" s="288"/>
      <c r="UYE1" s="288"/>
      <c r="UYF1" s="288"/>
      <c r="UYG1" s="288"/>
      <c r="UYH1" s="288"/>
      <c r="UYI1" s="288"/>
      <c r="UYJ1" s="288"/>
      <c r="UYK1" s="288"/>
      <c r="UYL1" s="288"/>
      <c r="UYM1" s="288"/>
      <c r="UYN1" s="288"/>
      <c r="UYO1" s="288"/>
      <c r="UYP1" s="288"/>
      <c r="UYQ1" s="288"/>
      <c r="UYR1" s="288"/>
      <c r="UYS1" s="288"/>
      <c r="UYT1" s="288"/>
      <c r="UYU1" s="288"/>
      <c r="UYV1" s="288"/>
      <c r="UYW1" s="288"/>
      <c r="UYX1" s="288"/>
      <c r="UYY1" s="288"/>
      <c r="UYZ1" s="288"/>
      <c r="UZA1" s="288"/>
      <c r="UZB1" s="288"/>
      <c r="UZC1" s="288"/>
      <c r="UZD1" s="288"/>
      <c r="UZE1" s="288"/>
      <c r="UZF1" s="288"/>
      <c r="UZG1" s="288"/>
      <c r="UZH1" s="288"/>
      <c r="UZI1" s="288"/>
      <c r="UZJ1" s="288"/>
      <c r="UZK1" s="288"/>
      <c r="UZL1" s="288"/>
      <c r="UZM1" s="288"/>
      <c r="UZN1" s="288"/>
      <c r="UZO1" s="288"/>
      <c r="UZP1" s="288"/>
      <c r="UZQ1" s="288"/>
      <c r="UZR1" s="288"/>
      <c r="UZS1" s="288"/>
      <c r="UZT1" s="288"/>
      <c r="UZU1" s="288"/>
      <c r="UZV1" s="288"/>
      <c r="UZW1" s="288"/>
      <c r="UZX1" s="288"/>
      <c r="UZY1" s="288"/>
      <c r="UZZ1" s="288"/>
      <c r="VAA1" s="288"/>
      <c r="VAB1" s="288"/>
      <c r="VAC1" s="288"/>
      <c r="VAD1" s="288"/>
      <c r="VAE1" s="288"/>
      <c r="VAF1" s="288"/>
      <c r="VAG1" s="288"/>
      <c r="VAH1" s="288"/>
      <c r="VAI1" s="288"/>
      <c r="VAJ1" s="288"/>
      <c r="VAK1" s="288"/>
      <c r="VAL1" s="288"/>
      <c r="VAM1" s="288"/>
      <c r="VAN1" s="288"/>
      <c r="VAO1" s="288"/>
      <c r="VAP1" s="288"/>
      <c r="VAQ1" s="288"/>
      <c r="VAR1" s="288"/>
      <c r="VAS1" s="288"/>
      <c r="VAT1" s="288"/>
      <c r="VAU1" s="288"/>
      <c r="VAV1" s="288"/>
      <c r="VAW1" s="288"/>
      <c r="VAX1" s="288"/>
      <c r="VAY1" s="288"/>
      <c r="VAZ1" s="288"/>
      <c r="VBA1" s="288"/>
      <c r="VBB1" s="288"/>
      <c r="VBC1" s="288"/>
      <c r="VBD1" s="288"/>
      <c r="VBE1" s="288"/>
      <c r="VBF1" s="288"/>
      <c r="VBG1" s="288"/>
      <c r="VBH1" s="288"/>
      <c r="VBI1" s="288"/>
      <c r="VBJ1" s="288"/>
      <c r="VBK1" s="288"/>
      <c r="VBL1" s="288"/>
      <c r="VBM1" s="288"/>
      <c r="VBN1" s="288"/>
      <c r="VBO1" s="288"/>
      <c r="VBP1" s="288"/>
      <c r="VBQ1" s="288"/>
      <c r="VBR1" s="288"/>
      <c r="VBS1" s="288"/>
      <c r="VBT1" s="288"/>
      <c r="VBU1" s="288"/>
      <c r="VBV1" s="288"/>
      <c r="VBW1" s="288"/>
      <c r="VBX1" s="288"/>
      <c r="VBY1" s="288"/>
      <c r="VBZ1" s="288"/>
      <c r="VCA1" s="288"/>
      <c r="VCB1" s="288"/>
      <c r="VCC1" s="288"/>
      <c r="VCD1" s="288"/>
      <c r="VCE1" s="288"/>
      <c r="VCF1" s="288"/>
      <c r="VCG1" s="288"/>
      <c r="VCH1" s="288"/>
      <c r="VCI1" s="288"/>
      <c r="VCJ1" s="288"/>
      <c r="VCK1" s="288"/>
      <c r="VCL1" s="288"/>
      <c r="VCM1" s="288"/>
      <c r="VCN1" s="288"/>
      <c r="VCO1" s="288"/>
      <c r="VCP1" s="288"/>
      <c r="VCQ1" s="288"/>
      <c r="VCR1" s="288"/>
      <c r="VCS1" s="288"/>
      <c r="VCT1" s="288"/>
      <c r="VCU1" s="288"/>
      <c r="VCV1" s="288"/>
      <c r="VCW1" s="288"/>
      <c r="VCX1" s="288"/>
      <c r="VCY1" s="288"/>
      <c r="VCZ1" s="288"/>
      <c r="VDA1" s="288"/>
      <c r="VDB1" s="288"/>
      <c r="VDC1" s="288"/>
      <c r="VDD1" s="288"/>
      <c r="VDE1" s="288"/>
      <c r="VDF1" s="288"/>
      <c r="VDG1" s="288"/>
      <c r="VDH1" s="288"/>
      <c r="VDI1" s="288"/>
      <c r="VDJ1" s="288"/>
      <c r="VDK1" s="288"/>
      <c r="VDL1" s="288"/>
      <c r="VDM1" s="288"/>
      <c r="VDN1" s="288"/>
      <c r="VDO1" s="288"/>
      <c r="VDP1" s="288"/>
      <c r="VDQ1" s="288"/>
      <c r="VDR1" s="288"/>
      <c r="VDS1" s="288"/>
      <c r="VDT1" s="288"/>
      <c r="VDU1" s="288"/>
      <c r="VDV1" s="288"/>
      <c r="VDW1" s="288"/>
      <c r="VDX1" s="288"/>
      <c r="VDY1" s="288"/>
      <c r="VDZ1" s="288"/>
      <c r="VEA1" s="288"/>
      <c r="VEB1" s="288"/>
      <c r="VEC1" s="288"/>
      <c r="VED1" s="288"/>
      <c r="VEE1" s="288"/>
      <c r="VEF1" s="288"/>
      <c r="VEG1" s="288"/>
      <c r="VEH1" s="288"/>
      <c r="VEI1" s="288"/>
      <c r="VEJ1" s="288"/>
      <c r="VEK1" s="288"/>
      <c r="VEL1" s="288"/>
      <c r="VEM1" s="288"/>
      <c r="VEN1" s="288"/>
      <c r="VEO1" s="288"/>
      <c r="VEP1" s="288"/>
      <c r="VEQ1" s="288"/>
      <c r="VER1" s="288"/>
      <c r="VES1" s="288"/>
      <c r="VET1" s="288"/>
      <c r="VEU1" s="288"/>
      <c r="VEV1" s="288"/>
      <c r="VEW1" s="288"/>
      <c r="VEX1" s="288"/>
      <c r="VEY1" s="288"/>
      <c r="VEZ1" s="288"/>
      <c r="VFA1" s="288"/>
      <c r="VFB1" s="288"/>
      <c r="VFC1" s="288"/>
      <c r="VFD1" s="288"/>
      <c r="VFE1" s="288"/>
      <c r="VFF1" s="288"/>
      <c r="VFG1" s="288"/>
      <c r="VFH1" s="288"/>
      <c r="VFI1" s="288"/>
      <c r="VFJ1" s="288"/>
      <c r="VFK1" s="288"/>
      <c r="VFL1" s="288"/>
      <c r="VFM1" s="288"/>
      <c r="VFN1" s="288"/>
      <c r="VFO1" s="288"/>
      <c r="VFP1" s="288"/>
      <c r="VFQ1" s="288"/>
      <c r="VFR1" s="288"/>
      <c r="VFS1" s="288"/>
      <c r="VFT1" s="288"/>
      <c r="VFU1" s="288"/>
      <c r="VFV1" s="288"/>
      <c r="VFW1" s="288"/>
      <c r="VFX1" s="288"/>
      <c r="VFY1" s="288"/>
      <c r="VFZ1" s="288"/>
      <c r="VGA1" s="288"/>
      <c r="VGB1" s="288"/>
      <c r="VGC1" s="288"/>
      <c r="VGD1" s="288"/>
      <c r="VGE1" s="288"/>
      <c r="VGF1" s="288"/>
      <c r="VGG1" s="288"/>
      <c r="VGH1" s="288"/>
      <c r="VGI1" s="288"/>
      <c r="VGJ1" s="288"/>
      <c r="VGK1" s="288"/>
      <c r="VGL1" s="288"/>
      <c r="VGM1" s="288"/>
      <c r="VGN1" s="288"/>
      <c r="VGO1" s="288"/>
      <c r="VGP1" s="288"/>
      <c r="VGQ1" s="288"/>
      <c r="VGR1" s="288"/>
      <c r="VGS1" s="288"/>
      <c r="VGT1" s="288"/>
      <c r="VGU1" s="288"/>
      <c r="VGV1" s="288"/>
      <c r="VGW1" s="288"/>
      <c r="VGX1" s="288"/>
      <c r="VGY1" s="288"/>
      <c r="VGZ1" s="288"/>
      <c r="VHA1" s="288"/>
      <c r="VHB1" s="288"/>
      <c r="VHC1" s="288"/>
      <c r="VHD1" s="288"/>
      <c r="VHE1" s="288"/>
      <c r="VHF1" s="288"/>
      <c r="VHG1" s="288"/>
      <c r="VHH1" s="288"/>
      <c r="VHI1" s="288"/>
      <c r="VHJ1" s="288"/>
      <c r="VHK1" s="288"/>
      <c r="VHL1" s="288"/>
      <c r="VHM1" s="288"/>
      <c r="VHN1" s="288"/>
      <c r="VHO1" s="288"/>
      <c r="VHP1" s="288"/>
      <c r="VHQ1" s="288"/>
      <c r="VHR1" s="288"/>
      <c r="VHS1" s="288"/>
      <c r="VHT1" s="288"/>
      <c r="VHU1" s="288"/>
      <c r="VHV1" s="288"/>
      <c r="VHW1" s="288"/>
      <c r="VHX1" s="288"/>
      <c r="VHY1" s="288"/>
      <c r="VHZ1" s="288"/>
      <c r="VIA1" s="288"/>
      <c r="VIB1" s="288"/>
      <c r="VIC1" s="288"/>
      <c r="VID1" s="288"/>
      <c r="VIE1" s="288"/>
      <c r="VIF1" s="288"/>
      <c r="VIG1" s="288"/>
      <c r="VIH1" s="288"/>
      <c r="VII1" s="288"/>
      <c r="VIJ1" s="288"/>
      <c r="VIK1" s="288"/>
      <c r="VIL1" s="288"/>
      <c r="VIM1" s="288"/>
      <c r="VIN1" s="288"/>
      <c r="VIO1" s="288"/>
      <c r="VIP1" s="288"/>
      <c r="VIQ1" s="288"/>
      <c r="VIR1" s="288"/>
      <c r="VIS1" s="288"/>
      <c r="VIT1" s="288"/>
      <c r="VIU1" s="288"/>
      <c r="VIV1" s="288"/>
      <c r="VIW1" s="288"/>
      <c r="VIX1" s="288"/>
      <c r="VIY1" s="288"/>
      <c r="VIZ1" s="288"/>
      <c r="VJA1" s="288"/>
      <c r="VJB1" s="288"/>
      <c r="VJC1" s="288"/>
      <c r="VJD1" s="288"/>
      <c r="VJE1" s="288"/>
      <c r="VJF1" s="288"/>
      <c r="VJG1" s="288"/>
      <c r="VJH1" s="288"/>
      <c r="VJI1" s="288"/>
      <c r="VJJ1" s="288"/>
      <c r="VJK1" s="288"/>
      <c r="VJL1" s="288"/>
      <c r="VJM1" s="288"/>
      <c r="VJN1" s="288"/>
      <c r="VJO1" s="288"/>
      <c r="VJP1" s="288"/>
      <c r="VJQ1" s="288"/>
      <c r="VJR1" s="288"/>
      <c r="VJS1" s="288"/>
      <c r="VJT1" s="288"/>
      <c r="VJU1" s="288"/>
      <c r="VJV1" s="288"/>
      <c r="VJW1" s="288"/>
      <c r="VJX1" s="288"/>
      <c r="VJY1" s="288"/>
      <c r="VJZ1" s="288"/>
      <c r="VKA1" s="288"/>
      <c r="VKB1" s="288"/>
      <c r="VKC1" s="288"/>
      <c r="VKD1" s="288"/>
      <c r="VKE1" s="288"/>
      <c r="VKF1" s="288"/>
      <c r="VKG1" s="288"/>
      <c r="VKH1" s="288"/>
      <c r="VKI1" s="288"/>
      <c r="VKJ1" s="288"/>
      <c r="VKK1" s="288"/>
      <c r="VKL1" s="288"/>
      <c r="VKM1" s="288"/>
      <c r="VKN1" s="288"/>
      <c r="VKO1" s="288"/>
      <c r="VKP1" s="288"/>
      <c r="VKQ1" s="288"/>
      <c r="VKR1" s="288"/>
      <c r="VKS1" s="288"/>
      <c r="VKT1" s="288"/>
      <c r="VKU1" s="288"/>
      <c r="VKV1" s="288"/>
      <c r="VKW1" s="288"/>
      <c r="VKX1" s="288"/>
      <c r="VKY1" s="288"/>
      <c r="VKZ1" s="288"/>
      <c r="VLA1" s="288"/>
      <c r="VLB1" s="288"/>
      <c r="VLC1" s="288"/>
      <c r="VLD1" s="288"/>
      <c r="VLE1" s="288"/>
      <c r="VLF1" s="288"/>
      <c r="VLG1" s="288"/>
      <c r="VLH1" s="288"/>
      <c r="VLI1" s="288"/>
      <c r="VLJ1" s="288"/>
      <c r="VLK1" s="288"/>
      <c r="VLL1" s="288"/>
      <c r="VLM1" s="288"/>
      <c r="VLN1" s="288"/>
      <c r="VLO1" s="288"/>
      <c r="VLP1" s="288"/>
      <c r="VLQ1" s="288"/>
      <c r="VLR1" s="288"/>
      <c r="VLS1" s="288"/>
      <c r="VLT1" s="288"/>
      <c r="VLU1" s="288"/>
      <c r="VLV1" s="288"/>
      <c r="VLW1" s="288"/>
      <c r="VLX1" s="288"/>
      <c r="VLY1" s="288"/>
      <c r="VLZ1" s="288"/>
      <c r="VMA1" s="288"/>
      <c r="VMB1" s="288"/>
      <c r="VMC1" s="288"/>
      <c r="VMD1" s="288"/>
      <c r="VME1" s="288"/>
      <c r="VMF1" s="288"/>
      <c r="VMG1" s="288"/>
      <c r="VMH1" s="288"/>
      <c r="VMI1" s="288"/>
      <c r="VMJ1" s="288"/>
      <c r="VMK1" s="288"/>
      <c r="VML1" s="288"/>
      <c r="VMM1" s="288"/>
      <c r="VMN1" s="288"/>
      <c r="VMO1" s="288"/>
      <c r="VMP1" s="288"/>
      <c r="VMQ1" s="288"/>
      <c r="VMR1" s="288"/>
      <c r="VMS1" s="288"/>
      <c r="VMT1" s="288"/>
      <c r="VMU1" s="288"/>
      <c r="VMV1" s="288"/>
      <c r="VMW1" s="288"/>
      <c r="VMX1" s="288"/>
      <c r="VMY1" s="288"/>
      <c r="VMZ1" s="288"/>
      <c r="VNA1" s="288"/>
      <c r="VNB1" s="288"/>
      <c r="VNC1" s="288"/>
      <c r="VND1" s="288"/>
      <c r="VNE1" s="288"/>
      <c r="VNF1" s="288"/>
      <c r="VNG1" s="288"/>
      <c r="VNH1" s="288"/>
      <c r="VNI1" s="288"/>
      <c r="VNJ1" s="288"/>
      <c r="VNK1" s="288"/>
      <c r="VNL1" s="288"/>
      <c r="VNM1" s="288"/>
      <c r="VNN1" s="288"/>
      <c r="VNO1" s="288"/>
      <c r="VNP1" s="288"/>
      <c r="VNQ1" s="288"/>
      <c r="VNR1" s="288"/>
      <c r="VNS1" s="288"/>
      <c r="VNT1" s="288"/>
      <c r="VNU1" s="288"/>
      <c r="VNV1" s="288"/>
      <c r="VNW1" s="288"/>
      <c r="VNX1" s="288"/>
      <c r="VNY1" s="288"/>
      <c r="VNZ1" s="288"/>
      <c r="VOA1" s="288"/>
      <c r="VOB1" s="288"/>
      <c r="VOC1" s="288"/>
      <c r="VOD1" s="288"/>
      <c r="VOE1" s="288"/>
      <c r="VOF1" s="288"/>
      <c r="VOG1" s="288"/>
      <c r="VOH1" s="288"/>
      <c r="VOI1" s="288"/>
      <c r="VOJ1" s="288"/>
      <c r="VOK1" s="288"/>
      <c r="VOL1" s="288"/>
      <c r="VOM1" s="288"/>
      <c r="VON1" s="288"/>
      <c r="VOO1" s="288"/>
      <c r="VOP1" s="288"/>
      <c r="VOQ1" s="288"/>
      <c r="VOR1" s="288"/>
      <c r="VOS1" s="288"/>
      <c r="VOT1" s="288"/>
      <c r="VOU1" s="288"/>
      <c r="VOV1" s="288"/>
      <c r="VOW1" s="288"/>
      <c r="VOX1" s="288"/>
      <c r="VOY1" s="288"/>
      <c r="VOZ1" s="288"/>
      <c r="VPA1" s="288"/>
      <c r="VPB1" s="288"/>
      <c r="VPC1" s="288"/>
      <c r="VPD1" s="288"/>
      <c r="VPE1" s="288"/>
      <c r="VPF1" s="288"/>
      <c r="VPG1" s="288"/>
      <c r="VPH1" s="288"/>
      <c r="VPI1" s="288"/>
      <c r="VPJ1" s="288"/>
      <c r="VPK1" s="288"/>
      <c r="VPL1" s="288"/>
      <c r="VPM1" s="288"/>
      <c r="VPN1" s="288"/>
      <c r="VPO1" s="288"/>
      <c r="VPP1" s="288"/>
      <c r="VPQ1" s="288"/>
      <c r="VPR1" s="288"/>
      <c r="VPS1" s="288"/>
      <c r="VPT1" s="288"/>
      <c r="VPU1" s="288"/>
      <c r="VPV1" s="288"/>
      <c r="VPW1" s="288"/>
      <c r="VPX1" s="288"/>
      <c r="VPY1" s="288"/>
      <c r="VPZ1" s="288"/>
      <c r="VQA1" s="288"/>
      <c r="VQB1" s="288"/>
      <c r="VQC1" s="288"/>
      <c r="VQD1" s="288"/>
      <c r="VQE1" s="288"/>
      <c r="VQF1" s="288"/>
      <c r="VQG1" s="288"/>
      <c r="VQH1" s="288"/>
      <c r="VQI1" s="288"/>
      <c r="VQJ1" s="288"/>
      <c r="VQK1" s="288"/>
      <c r="VQL1" s="288"/>
      <c r="VQM1" s="288"/>
      <c r="VQN1" s="288"/>
      <c r="VQO1" s="288"/>
      <c r="VQP1" s="288"/>
      <c r="VQQ1" s="288"/>
      <c r="VQR1" s="288"/>
      <c r="VQS1" s="288"/>
      <c r="VQT1" s="288"/>
      <c r="VQU1" s="288"/>
      <c r="VQV1" s="288"/>
      <c r="VQW1" s="288"/>
      <c r="VQX1" s="288"/>
      <c r="VQY1" s="288"/>
      <c r="VQZ1" s="288"/>
      <c r="VRA1" s="288"/>
      <c r="VRB1" s="288"/>
      <c r="VRC1" s="288"/>
      <c r="VRD1" s="288"/>
      <c r="VRE1" s="288"/>
      <c r="VRF1" s="288"/>
      <c r="VRG1" s="288"/>
      <c r="VRH1" s="288"/>
      <c r="VRI1" s="288"/>
      <c r="VRJ1" s="288"/>
      <c r="VRK1" s="288"/>
      <c r="VRL1" s="288"/>
      <c r="VRM1" s="288"/>
      <c r="VRN1" s="288"/>
      <c r="VRO1" s="288"/>
      <c r="VRP1" s="288"/>
      <c r="VRQ1" s="288"/>
      <c r="VRR1" s="288"/>
      <c r="VRS1" s="288"/>
      <c r="VRT1" s="288"/>
      <c r="VRU1" s="288"/>
      <c r="VRV1" s="288"/>
      <c r="VRW1" s="288"/>
      <c r="VRX1" s="288"/>
      <c r="VRY1" s="288"/>
      <c r="VRZ1" s="288"/>
      <c r="VSA1" s="288"/>
      <c r="VSB1" s="288"/>
      <c r="VSC1" s="288"/>
      <c r="VSD1" s="288"/>
      <c r="VSE1" s="288"/>
      <c r="VSF1" s="288"/>
      <c r="VSG1" s="288"/>
      <c r="VSH1" s="288"/>
      <c r="VSI1" s="288"/>
      <c r="VSJ1" s="288"/>
      <c r="VSK1" s="288"/>
      <c r="VSL1" s="288"/>
      <c r="VSM1" s="288"/>
      <c r="VSN1" s="288"/>
      <c r="VSO1" s="288"/>
      <c r="VSP1" s="288"/>
      <c r="VSQ1" s="288"/>
      <c r="VSR1" s="288"/>
      <c r="VSS1" s="288"/>
      <c r="VST1" s="288"/>
      <c r="VSU1" s="288"/>
      <c r="VSV1" s="288"/>
      <c r="VSW1" s="288"/>
      <c r="VSX1" s="288"/>
      <c r="VSY1" s="288"/>
      <c r="VSZ1" s="288"/>
      <c r="VTA1" s="288"/>
      <c r="VTB1" s="288"/>
      <c r="VTC1" s="288"/>
      <c r="VTD1" s="288"/>
      <c r="VTE1" s="288"/>
      <c r="VTF1" s="288"/>
      <c r="VTG1" s="288"/>
      <c r="VTH1" s="288"/>
      <c r="VTI1" s="288"/>
      <c r="VTJ1" s="288"/>
      <c r="VTK1" s="288"/>
      <c r="VTL1" s="288"/>
      <c r="VTM1" s="288"/>
      <c r="VTN1" s="288"/>
      <c r="VTO1" s="288"/>
      <c r="VTP1" s="288"/>
      <c r="VTQ1" s="288"/>
      <c r="VTR1" s="288"/>
      <c r="VTS1" s="288"/>
      <c r="VTT1" s="288"/>
      <c r="VTU1" s="288"/>
      <c r="VTV1" s="288"/>
      <c r="VTW1" s="288"/>
      <c r="VTX1" s="288"/>
      <c r="VTY1" s="288"/>
      <c r="VTZ1" s="288"/>
      <c r="VUA1" s="288"/>
      <c r="VUB1" s="288"/>
      <c r="VUC1" s="288"/>
      <c r="VUD1" s="288"/>
      <c r="VUE1" s="288"/>
      <c r="VUF1" s="288"/>
      <c r="VUG1" s="288"/>
      <c r="VUH1" s="288"/>
      <c r="VUI1" s="288"/>
      <c r="VUJ1" s="288"/>
      <c r="VUK1" s="288"/>
      <c r="VUL1" s="288"/>
      <c r="VUM1" s="288"/>
      <c r="VUN1" s="288"/>
      <c r="VUO1" s="288"/>
      <c r="VUP1" s="288"/>
      <c r="VUQ1" s="288"/>
      <c r="VUR1" s="288"/>
      <c r="VUS1" s="288"/>
      <c r="VUT1" s="288"/>
      <c r="VUU1" s="288"/>
      <c r="VUV1" s="288"/>
      <c r="VUW1" s="288"/>
      <c r="VUX1" s="288"/>
      <c r="VUY1" s="288"/>
      <c r="VUZ1" s="288"/>
      <c r="VVA1" s="288"/>
      <c r="VVB1" s="288"/>
      <c r="VVC1" s="288"/>
      <c r="VVD1" s="288"/>
      <c r="VVE1" s="288"/>
      <c r="VVF1" s="288"/>
      <c r="VVG1" s="288"/>
      <c r="VVH1" s="288"/>
      <c r="VVI1" s="288"/>
      <c r="VVJ1" s="288"/>
      <c r="VVK1" s="288"/>
      <c r="VVL1" s="288"/>
      <c r="VVM1" s="288"/>
      <c r="VVN1" s="288"/>
      <c r="VVO1" s="288"/>
      <c r="VVP1" s="288"/>
      <c r="VVQ1" s="288"/>
      <c r="VVR1" s="288"/>
      <c r="VVS1" s="288"/>
      <c r="VVT1" s="288"/>
      <c r="VVU1" s="288"/>
      <c r="VVV1" s="288"/>
      <c r="VVW1" s="288"/>
      <c r="VVX1" s="288"/>
      <c r="VVY1" s="288"/>
      <c r="VVZ1" s="288"/>
      <c r="VWA1" s="288"/>
      <c r="VWB1" s="288"/>
      <c r="VWC1" s="288"/>
      <c r="VWD1" s="288"/>
      <c r="VWE1" s="288"/>
      <c r="VWF1" s="288"/>
      <c r="VWG1" s="288"/>
      <c r="VWH1" s="288"/>
      <c r="VWI1" s="288"/>
      <c r="VWJ1" s="288"/>
      <c r="VWK1" s="288"/>
      <c r="VWL1" s="288"/>
      <c r="VWM1" s="288"/>
      <c r="VWN1" s="288"/>
      <c r="VWO1" s="288"/>
      <c r="VWP1" s="288"/>
      <c r="VWQ1" s="288"/>
      <c r="VWR1" s="288"/>
      <c r="VWS1" s="288"/>
      <c r="VWT1" s="288"/>
      <c r="VWU1" s="288"/>
      <c r="VWV1" s="288"/>
      <c r="VWW1" s="288"/>
      <c r="VWX1" s="288"/>
      <c r="VWY1" s="288"/>
      <c r="VWZ1" s="288"/>
      <c r="VXA1" s="288"/>
      <c r="VXB1" s="288"/>
      <c r="VXC1" s="288"/>
      <c r="VXD1" s="288"/>
      <c r="VXE1" s="288"/>
      <c r="VXF1" s="288"/>
      <c r="VXG1" s="288"/>
      <c r="VXH1" s="288"/>
      <c r="VXI1" s="288"/>
      <c r="VXJ1" s="288"/>
      <c r="VXK1" s="288"/>
      <c r="VXL1" s="288"/>
      <c r="VXM1" s="288"/>
      <c r="VXN1" s="288"/>
      <c r="VXO1" s="288"/>
      <c r="VXP1" s="288"/>
      <c r="VXQ1" s="288"/>
      <c r="VXR1" s="288"/>
      <c r="VXS1" s="288"/>
      <c r="VXT1" s="288"/>
      <c r="VXU1" s="288"/>
      <c r="VXV1" s="288"/>
      <c r="VXW1" s="288"/>
      <c r="VXX1" s="288"/>
      <c r="VXY1" s="288"/>
      <c r="VXZ1" s="288"/>
      <c r="VYA1" s="288"/>
      <c r="VYB1" s="288"/>
      <c r="VYC1" s="288"/>
      <c r="VYD1" s="288"/>
      <c r="VYE1" s="288"/>
      <c r="VYF1" s="288"/>
      <c r="VYG1" s="288"/>
      <c r="VYH1" s="288"/>
      <c r="VYI1" s="288"/>
      <c r="VYJ1" s="288"/>
      <c r="VYK1" s="288"/>
      <c r="VYL1" s="288"/>
      <c r="VYM1" s="288"/>
      <c r="VYN1" s="288"/>
      <c r="VYO1" s="288"/>
      <c r="VYP1" s="288"/>
      <c r="VYQ1" s="288"/>
      <c r="VYR1" s="288"/>
      <c r="VYS1" s="288"/>
      <c r="VYT1" s="288"/>
      <c r="VYU1" s="288"/>
      <c r="VYV1" s="288"/>
      <c r="VYW1" s="288"/>
      <c r="VYX1" s="288"/>
      <c r="VYY1" s="288"/>
      <c r="VYZ1" s="288"/>
      <c r="VZA1" s="288"/>
      <c r="VZB1" s="288"/>
      <c r="VZC1" s="288"/>
      <c r="VZD1" s="288"/>
      <c r="VZE1" s="288"/>
      <c r="VZF1" s="288"/>
      <c r="VZG1" s="288"/>
      <c r="VZH1" s="288"/>
      <c r="VZI1" s="288"/>
      <c r="VZJ1" s="288"/>
      <c r="VZK1" s="288"/>
      <c r="VZL1" s="288"/>
      <c r="VZM1" s="288"/>
      <c r="VZN1" s="288"/>
      <c r="VZO1" s="288"/>
      <c r="VZP1" s="288"/>
      <c r="VZQ1" s="288"/>
      <c r="VZR1" s="288"/>
      <c r="VZS1" s="288"/>
      <c r="VZT1" s="288"/>
      <c r="VZU1" s="288"/>
      <c r="VZV1" s="288"/>
      <c r="VZW1" s="288"/>
      <c r="VZX1" s="288"/>
      <c r="VZY1" s="288"/>
      <c r="VZZ1" s="288"/>
      <c r="WAA1" s="288"/>
      <c r="WAB1" s="288"/>
      <c r="WAC1" s="288"/>
      <c r="WAD1" s="288"/>
      <c r="WAE1" s="288"/>
      <c r="WAF1" s="288"/>
      <c r="WAG1" s="288"/>
      <c r="WAH1" s="288"/>
      <c r="WAI1" s="288"/>
      <c r="WAJ1" s="288"/>
      <c r="WAK1" s="288"/>
      <c r="WAL1" s="288"/>
      <c r="WAM1" s="288"/>
      <c r="WAN1" s="288"/>
      <c r="WAO1" s="288"/>
      <c r="WAP1" s="288"/>
      <c r="WAQ1" s="288"/>
      <c r="WAR1" s="288"/>
      <c r="WAS1" s="288"/>
      <c r="WAT1" s="288"/>
      <c r="WAU1" s="288"/>
      <c r="WAV1" s="288"/>
      <c r="WAW1" s="288"/>
      <c r="WAX1" s="288"/>
      <c r="WAY1" s="288"/>
      <c r="WAZ1" s="288"/>
      <c r="WBA1" s="288"/>
      <c r="WBB1" s="288"/>
      <c r="WBC1" s="288"/>
      <c r="WBD1" s="288"/>
      <c r="WBE1" s="288"/>
      <c r="WBF1" s="288"/>
      <c r="WBG1" s="288"/>
      <c r="WBH1" s="288"/>
      <c r="WBI1" s="288"/>
      <c r="WBJ1" s="288"/>
      <c r="WBK1" s="288"/>
      <c r="WBL1" s="288"/>
      <c r="WBM1" s="288"/>
      <c r="WBN1" s="288"/>
      <c r="WBO1" s="288"/>
      <c r="WBP1" s="288"/>
      <c r="WBQ1" s="288"/>
      <c r="WBR1" s="288"/>
      <c r="WBS1" s="288"/>
      <c r="WBT1" s="288"/>
      <c r="WBU1" s="288"/>
      <c r="WBV1" s="288"/>
      <c r="WBW1" s="288"/>
      <c r="WBX1" s="288"/>
      <c r="WBY1" s="288"/>
      <c r="WBZ1" s="288"/>
      <c r="WCA1" s="288"/>
      <c r="WCB1" s="288"/>
      <c r="WCC1" s="288"/>
      <c r="WCD1" s="288"/>
      <c r="WCE1" s="288"/>
      <c r="WCF1" s="288"/>
      <c r="WCG1" s="288"/>
      <c r="WCH1" s="288"/>
      <c r="WCI1" s="288"/>
      <c r="WCJ1" s="288"/>
      <c r="WCK1" s="288"/>
      <c r="WCL1" s="288"/>
      <c r="WCM1" s="288"/>
      <c r="WCN1" s="288"/>
      <c r="WCO1" s="288"/>
      <c r="WCP1" s="288"/>
      <c r="WCQ1" s="288"/>
      <c r="WCR1" s="288"/>
      <c r="WCS1" s="288"/>
      <c r="WCT1" s="288"/>
      <c r="WCU1" s="288"/>
      <c r="WCV1" s="288"/>
      <c r="WCW1" s="288"/>
      <c r="WCX1" s="288"/>
      <c r="WCY1" s="288"/>
      <c r="WCZ1" s="288"/>
      <c r="WDA1" s="288"/>
      <c r="WDB1" s="288"/>
      <c r="WDC1" s="288"/>
      <c r="WDD1" s="288"/>
      <c r="WDE1" s="288"/>
      <c r="WDF1" s="288"/>
      <c r="WDG1" s="288"/>
      <c r="WDH1" s="288"/>
      <c r="WDI1" s="288"/>
      <c r="WDJ1" s="288"/>
      <c r="WDK1" s="288"/>
      <c r="WDL1" s="288"/>
      <c r="WDM1" s="288"/>
      <c r="WDN1" s="288"/>
      <c r="WDO1" s="288"/>
      <c r="WDP1" s="288"/>
      <c r="WDQ1" s="288"/>
      <c r="WDR1" s="288"/>
      <c r="WDS1" s="288"/>
      <c r="WDT1" s="288"/>
      <c r="WDU1" s="288"/>
      <c r="WDV1" s="288"/>
      <c r="WDW1" s="288"/>
      <c r="WDX1" s="288"/>
      <c r="WDY1" s="288"/>
      <c r="WDZ1" s="288"/>
      <c r="WEA1" s="288"/>
      <c r="WEB1" s="288"/>
      <c r="WEC1" s="288"/>
      <c r="WED1" s="288"/>
      <c r="WEE1" s="288"/>
      <c r="WEF1" s="288"/>
      <c r="WEG1" s="288"/>
      <c r="WEH1" s="288"/>
      <c r="WEI1" s="288"/>
      <c r="WEJ1" s="288"/>
      <c r="WEK1" s="288"/>
      <c r="WEL1" s="288"/>
      <c r="WEM1" s="288"/>
      <c r="WEN1" s="288"/>
      <c r="WEO1" s="288"/>
      <c r="WEP1" s="288"/>
      <c r="WEQ1" s="288"/>
      <c r="WER1" s="288"/>
      <c r="WES1" s="288"/>
      <c r="WET1" s="288"/>
      <c r="WEU1" s="288"/>
      <c r="WEV1" s="288"/>
      <c r="WEW1" s="288"/>
      <c r="WEX1" s="288"/>
      <c r="WEY1" s="288"/>
      <c r="WEZ1" s="288"/>
      <c r="WFA1" s="288"/>
      <c r="WFB1" s="288"/>
      <c r="WFC1" s="288"/>
      <c r="WFD1" s="288"/>
      <c r="WFE1" s="288"/>
      <c r="WFF1" s="288"/>
      <c r="WFG1" s="288"/>
      <c r="WFH1" s="288"/>
      <c r="WFI1" s="288"/>
      <c r="WFJ1" s="288"/>
      <c r="WFK1" s="288"/>
      <c r="WFL1" s="288"/>
      <c r="WFM1" s="288"/>
      <c r="WFN1" s="288"/>
      <c r="WFO1" s="288"/>
      <c r="WFP1" s="288"/>
      <c r="WFQ1" s="288"/>
      <c r="WFR1" s="288"/>
      <c r="WFS1" s="288"/>
      <c r="WFT1" s="288"/>
      <c r="WFU1" s="288"/>
      <c r="WFV1" s="288"/>
      <c r="WFW1" s="288"/>
      <c r="WFX1" s="288"/>
      <c r="WFY1" s="288"/>
      <c r="WFZ1" s="288"/>
      <c r="WGA1" s="288"/>
      <c r="WGB1" s="288"/>
      <c r="WGC1" s="288"/>
      <c r="WGD1" s="288"/>
      <c r="WGE1" s="288"/>
      <c r="WGF1" s="288"/>
      <c r="WGG1" s="288"/>
      <c r="WGH1" s="288"/>
      <c r="WGI1" s="288"/>
      <c r="WGJ1" s="288"/>
      <c r="WGK1" s="288"/>
      <c r="WGL1" s="288"/>
      <c r="WGM1" s="288"/>
      <c r="WGN1" s="288"/>
      <c r="WGO1" s="288"/>
      <c r="WGP1" s="288"/>
      <c r="WGQ1" s="288"/>
      <c r="WGR1" s="288"/>
      <c r="WGS1" s="288"/>
      <c r="WGT1" s="288"/>
      <c r="WGU1" s="288"/>
      <c r="WGV1" s="288"/>
      <c r="WGW1" s="288"/>
      <c r="WGX1" s="288"/>
      <c r="WGY1" s="288"/>
      <c r="WGZ1" s="288"/>
      <c r="WHA1" s="288"/>
      <c r="WHB1" s="288"/>
      <c r="WHC1" s="288"/>
      <c r="WHD1" s="288"/>
      <c r="WHE1" s="288"/>
      <c r="WHF1" s="288"/>
      <c r="WHG1" s="288"/>
      <c r="WHH1" s="288"/>
      <c r="WHI1" s="288"/>
      <c r="WHJ1" s="288"/>
      <c r="WHK1" s="288"/>
      <c r="WHL1" s="288"/>
      <c r="WHM1" s="288"/>
      <c r="WHN1" s="288"/>
      <c r="WHO1" s="288"/>
      <c r="WHP1" s="288"/>
      <c r="WHQ1" s="288"/>
      <c r="WHR1" s="288"/>
      <c r="WHS1" s="288"/>
      <c r="WHT1" s="288"/>
      <c r="WHU1" s="288"/>
      <c r="WHV1" s="288"/>
      <c r="WHW1" s="288"/>
      <c r="WHX1" s="288"/>
      <c r="WHY1" s="288"/>
      <c r="WHZ1" s="288"/>
      <c r="WIA1" s="288"/>
      <c r="WIB1" s="288"/>
      <c r="WIC1" s="288"/>
      <c r="WID1" s="288"/>
      <c r="WIE1" s="288"/>
      <c r="WIF1" s="288"/>
      <c r="WIG1" s="288"/>
      <c r="WIH1" s="288"/>
      <c r="WII1" s="288"/>
      <c r="WIJ1" s="288"/>
      <c r="WIK1" s="288"/>
      <c r="WIL1" s="288"/>
      <c r="WIM1" s="288"/>
      <c r="WIN1" s="288"/>
      <c r="WIO1" s="288"/>
      <c r="WIP1" s="288"/>
      <c r="WIQ1" s="288"/>
      <c r="WIR1" s="288"/>
      <c r="WIS1" s="288"/>
      <c r="WIT1" s="288"/>
      <c r="WIU1" s="288"/>
      <c r="WIV1" s="288"/>
      <c r="WIW1" s="288"/>
      <c r="WIX1" s="288"/>
      <c r="WIY1" s="288"/>
      <c r="WIZ1" s="288"/>
      <c r="WJA1" s="288"/>
      <c r="WJB1" s="288"/>
      <c r="WJC1" s="288"/>
      <c r="WJD1" s="288"/>
      <c r="WJE1" s="288"/>
      <c r="WJF1" s="288"/>
      <c r="WJG1" s="288"/>
      <c r="WJH1" s="288"/>
      <c r="WJI1" s="288"/>
      <c r="WJJ1" s="288"/>
      <c r="WJK1" s="288"/>
      <c r="WJL1" s="288"/>
      <c r="WJM1" s="288"/>
      <c r="WJN1" s="288"/>
      <c r="WJO1" s="288"/>
      <c r="WJP1" s="288"/>
      <c r="WJQ1" s="288"/>
      <c r="WJR1" s="288"/>
      <c r="WJS1" s="288"/>
      <c r="WJT1" s="288"/>
      <c r="WJU1" s="288"/>
      <c r="WJV1" s="288"/>
      <c r="WJW1" s="288"/>
      <c r="WJX1" s="288"/>
      <c r="WJY1" s="288"/>
      <c r="WJZ1" s="288"/>
      <c r="WKA1" s="288"/>
      <c r="WKB1" s="288"/>
      <c r="WKC1" s="288"/>
      <c r="WKD1" s="288"/>
      <c r="WKE1" s="288"/>
      <c r="WKF1" s="288"/>
      <c r="WKG1" s="288"/>
      <c r="WKH1" s="288"/>
      <c r="WKI1" s="288"/>
      <c r="WKJ1" s="288"/>
      <c r="WKK1" s="288"/>
      <c r="WKL1" s="288"/>
      <c r="WKM1" s="288"/>
      <c r="WKN1" s="288"/>
      <c r="WKO1" s="288"/>
      <c r="WKP1" s="288"/>
      <c r="WKQ1" s="288"/>
      <c r="WKR1" s="288"/>
      <c r="WKS1" s="288"/>
      <c r="WKT1" s="288"/>
      <c r="WKU1" s="288"/>
      <c r="WKV1" s="288"/>
      <c r="WKW1" s="288"/>
      <c r="WKX1" s="288"/>
      <c r="WKY1" s="288"/>
      <c r="WKZ1" s="288"/>
      <c r="WLA1" s="288"/>
      <c r="WLB1" s="288"/>
      <c r="WLC1" s="288"/>
      <c r="WLD1" s="288"/>
      <c r="WLE1" s="288"/>
      <c r="WLF1" s="288"/>
      <c r="WLG1" s="288"/>
      <c r="WLH1" s="288"/>
      <c r="WLI1" s="288"/>
      <c r="WLJ1" s="288"/>
      <c r="WLK1" s="288"/>
      <c r="WLL1" s="288"/>
      <c r="WLM1" s="288"/>
      <c r="WLN1" s="288"/>
      <c r="WLO1" s="288"/>
      <c r="WLP1" s="288"/>
      <c r="WLQ1" s="288"/>
      <c r="WLR1" s="288"/>
      <c r="WLS1" s="288"/>
      <c r="WLT1" s="288"/>
      <c r="WLU1" s="288"/>
      <c r="WLV1" s="288"/>
      <c r="WLW1" s="288"/>
      <c r="WLX1" s="288"/>
      <c r="WLY1" s="288"/>
      <c r="WLZ1" s="288"/>
      <c r="WMA1" s="288"/>
      <c r="WMB1" s="288"/>
      <c r="WMC1" s="288"/>
      <c r="WMD1" s="288"/>
      <c r="WME1" s="288"/>
      <c r="WMF1" s="288"/>
      <c r="WMG1" s="288"/>
      <c r="WMH1" s="288"/>
      <c r="WMI1" s="288"/>
      <c r="WMJ1" s="288"/>
      <c r="WMK1" s="288"/>
      <c r="WML1" s="288"/>
      <c r="WMM1" s="288"/>
      <c r="WMN1" s="288"/>
      <c r="WMO1" s="288"/>
      <c r="WMP1" s="288"/>
      <c r="WMQ1" s="288"/>
      <c r="WMR1" s="288"/>
      <c r="WMS1" s="288"/>
      <c r="WMT1" s="288"/>
      <c r="WMU1" s="288"/>
      <c r="WMV1" s="288"/>
      <c r="WMW1" s="288"/>
      <c r="WMX1" s="288"/>
      <c r="WMY1" s="288"/>
      <c r="WMZ1" s="288"/>
      <c r="WNA1" s="288"/>
      <c r="WNB1" s="288"/>
      <c r="WNC1" s="288"/>
      <c r="WND1" s="288"/>
      <c r="WNE1" s="288"/>
      <c r="WNF1" s="288"/>
      <c r="WNG1" s="288"/>
      <c r="WNH1" s="288"/>
      <c r="WNI1" s="288"/>
      <c r="WNJ1" s="288"/>
      <c r="WNK1" s="288"/>
      <c r="WNL1" s="288"/>
      <c r="WNM1" s="288"/>
      <c r="WNN1" s="288"/>
      <c r="WNO1" s="288"/>
      <c r="WNP1" s="288"/>
      <c r="WNQ1" s="288"/>
      <c r="WNR1" s="288"/>
      <c r="WNS1" s="288"/>
      <c r="WNT1" s="288"/>
      <c r="WNU1" s="288"/>
      <c r="WNV1" s="288"/>
      <c r="WNW1" s="288"/>
      <c r="WNX1" s="288"/>
      <c r="WNY1" s="288"/>
      <c r="WNZ1" s="288"/>
      <c r="WOA1" s="288"/>
      <c r="WOB1" s="288"/>
      <c r="WOC1" s="288"/>
      <c r="WOD1" s="288"/>
      <c r="WOE1" s="288"/>
      <c r="WOF1" s="288"/>
      <c r="WOG1" s="288"/>
      <c r="WOH1" s="288"/>
      <c r="WOI1" s="288"/>
      <c r="WOJ1" s="288"/>
      <c r="WOK1" s="288"/>
      <c r="WOL1" s="288"/>
      <c r="WOM1" s="288"/>
      <c r="WON1" s="288"/>
      <c r="WOO1" s="288"/>
      <c r="WOP1" s="288"/>
      <c r="WOQ1" s="288"/>
      <c r="WOR1" s="288"/>
      <c r="WOS1" s="288"/>
      <c r="WOT1" s="288"/>
      <c r="WOU1" s="288"/>
      <c r="WOV1" s="288"/>
      <c r="WOW1" s="288"/>
      <c r="WOX1" s="288"/>
      <c r="WOY1" s="288"/>
      <c r="WOZ1" s="288"/>
      <c r="WPA1" s="288"/>
      <c r="WPB1" s="288"/>
      <c r="WPC1" s="288"/>
      <c r="WPD1" s="288"/>
      <c r="WPE1" s="288"/>
      <c r="WPF1" s="288"/>
      <c r="WPG1" s="288"/>
      <c r="WPH1" s="288"/>
      <c r="WPI1" s="288"/>
      <c r="WPJ1" s="288"/>
      <c r="WPK1" s="288"/>
      <c r="WPL1" s="288"/>
      <c r="WPM1" s="288"/>
      <c r="WPN1" s="288"/>
      <c r="WPO1" s="288"/>
      <c r="WPP1" s="288"/>
      <c r="WPQ1" s="288"/>
      <c r="WPR1" s="288"/>
      <c r="WPS1" s="288"/>
      <c r="WPT1" s="288"/>
      <c r="WPU1" s="288"/>
      <c r="WPV1" s="288"/>
      <c r="WPW1" s="288"/>
      <c r="WPX1" s="288"/>
      <c r="WPY1" s="288"/>
      <c r="WPZ1" s="288"/>
      <c r="WQA1" s="288"/>
      <c r="WQB1" s="288"/>
      <c r="WQC1" s="288"/>
      <c r="WQD1" s="288"/>
      <c r="WQE1" s="288"/>
      <c r="WQF1" s="288"/>
      <c r="WQG1" s="288"/>
      <c r="WQH1" s="288"/>
      <c r="WQI1" s="288"/>
      <c r="WQJ1" s="288"/>
      <c r="WQK1" s="288"/>
      <c r="WQL1" s="288"/>
      <c r="WQM1" s="288"/>
      <c r="WQN1" s="288"/>
      <c r="WQO1" s="288"/>
      <c r="WQP1" s="288"/>
      <c r="WQQ1" s="288"/>
      <c r="WQR1" s="288"/>
      <c r="WQS1" s="288"/>
      <c r="WQT1" s="288"/>
      <c r="WQU1" s="288"/>
      <c r="WQV1" s="288"/>
      <c r="WQW1" s="288"/>
      <c r="WQX1" s="288"/>
      <c r="WQY1" s="288"/>
      <c r="WQZ1" s="288"/>
      <c r="WRA1" s="288"/>
      <c r="WRB1" s="288"/>
      <c r="WRC1" s="288"/>
      <c r="WRD1" s="288"/>
      <c r="WRE1" s="288"/>
      <c r="WRF1" s="288"/>
      <c r="WRG1" s="288"/>
      <c r="WRH1" s="288"/>
      <c r="WRI1" s="288"/>
      <c r="WRJ1" s="288"/>
      <c r="WRK1" s="288"/>
      <c r="WRL1" s="288"/>
      <c r="WRM1" s="288"/>
      <c r="WRN1" s="288"/>
      <c r="WRO1" s="288"/>
      <c r="WRP1" s="288"/>
      <c r="WRQ1" s="288"/>
      <c r="WRR1" s="288"/>
      <c r="WRS1" s="288"/>
      <c r="WRT1" s="288"/>
      <c r="WRU1" s="288"/>
      <c r="WRV1" s="288"/>
      <c r="WRW1" s="288"/>
      <c r="WRX1" s="288"/>
      <c r="WRY1" s="288"/>
      <c r="WRZ1" s="288"/>
      <c r="WSA1" s="288"/>
      <c r="WSB1" s="288"/>
      <c r="WSC1" s="288"/>
      <c r="WSD1" s="288"/>
      <c r="WSE1" s="288"/>
      <c r="WSF1" s="288"/>
      <c r="WSG1" s="288"/>
      <c r="WSH1" s="288"/>
      <c r="WSI1" s="288"/>
      <c r="WSJ1" s="288"/>
      <c r="WSK1" s="288"/>
      <c r="WSL1" s="288"/>
      <c r="WSM1" s="288"/>
      <c r="WSN1" s="288"/>
      <c r="WSO1" s="288"/>
      <c r="WSP1" s="288"/>
      <c r="WSQ1" s="288"/>
      <c r="WSR1" s="288"/>
      <c r="WSS1" s="288"/>
      <c r="WST1" s="288"/>
      <c r="WSU1" s="288"/>
      <c r="WSV1" s="288"/>
      <c r="WSW1" s="288"/>
      <c r="WSX1" s="288"/>
      <c r="WSY1" s="288"/>
      <c r="WSZ1" s="288"/>
      <c r="WTA1" s="288"/>
      <c r="WTB1" s="288"/>
      <c r="WTC1" s="288"/>
      <c r="WTD1" s="288"/>
      <c r="WTE1" s="288"/>
      <c r="WTF1" s="288"/>
      <c r="WTG1" s="288"/>
      <c r="WTH1" s="288"/>
      <c r="WTI1" s="288"/>
      <c r="WTJ1" s="288"/>
      <c r="WTK1" s="288"/>
      <c r="WTL1" s="288"/>
      <c r="WTM1" s="288"/>
      <c r="WTN1" s="288"/>
      <c r="WTO1" s="288"/>
      <c r="WTP1" s="288"/>
      <c r="WTQ1" s="288"/>
      <c r="WTR1" s="288"/>
      <c r="WTS1" s="288"/>
      <c r="WTT1" s="288"/>
      <c r="WTU1" s="288"/>
      <c r="WTV1" s="288"/>
      <c r="WTW1" s="288"/>
      <c r="WTX1" s="288"/>
      <c r="WTY1" s="288"/>
      <c r="WTZ1" s="288"/>
      <c r="WUA1" s="288"/>
      <c r="WUB1" s="288"/>
      <c r="WUC1" s="288"/>
      <c r="WUD1" s="288"/>
      <c r="WUE1" s="288"/>
      <c r="WUF1" s="288"/>
      <c r="WUG1" s="288"/>
      <c r="WUH1" s="288"/>
      <c r="WUI1" s="288"/>
      <c r="WUJ1" s="288"/>
      <c r="WUK1" s="288"/>
      <c r="WUL1" s="288"/>
      <c r="WUM1" s="288"/>
      <c r="WUN1" s="288"/>
      <c r="WUO1" s="288"/>
      <c r="WUP1" s="288"/>
      <c r="WUQ1" s="288"/>
      <c r="WUR1" s="288"/>
      <c r="WUS1" s="288"/>
      <c r="WUT1" s="288"/>
      <c r="WUU1" s="288"/>
      <c r="WUV1" s="288"/>
      <c r="WUW1" s="288"/>
      <c r="WUX1" s="288"/>
      <c r="WUY1" s="288"/>
      <c r="WUZ1" s="288"/>
      <c r="WVA1" s="288"/>
      <c r="WVB1" s="288"/>
      <c r="WVC1" s="288"/>
      <c r="WVD1" s="288"/>
      <c r="WVE1" s="288"/>
      <c r="WVF1" s="288"/>
      <c r="WVG1" s="288"/>
      <c r="WVH1" s="288"/>
      <c r="WVI1" s="288"/>
      <c r="WVJ1" s="288"/>
      <c r="WVK1" s="288"/>
      <c r="WVL1" s="288"/>
      <c r="WVM1" s="288"/>
      <c r="WVN1" s="288"/>
      <c r="WVO1" s="288"/>
      <c r="WVP1" s="288"/>
      <c r="WVQ1" s="288"/>
      <c r="WVR1" s="288"/>
      <c r="WVS1" s="288"/>
      <c r="WVT1" s="288"/>
      <c r="WVU1" s="288"/>
      <c r="WVV1" s="288"/>
      <c r="WVW1" s="288"/>
      <c r="WVX1" s="288"/>
      <c r="WVY1" s="288"/>
      <c r="WVZ1" s="288"/>
      <c r="WWA1" s="288"/>
      <c r="WWB1" s="288"/>
      <c r="WWC1" s="288"/>
      <c r="WWD1" s="288"/>
      <c r="WWE1" s="288"/>
      <c r="WWF1" s="288"/>
      <c r="WWG1" s="288"/>
      <c r="WWH1" s="288"/>
      <c r="WWI1" s="288"/>
      <c r="WWJ1" s="288"/>
      <c r="WWK1" s="288"/>
      <c r="WWL1" s="288"/>
      <c r="WWM1" s="288"/>
      <c r="WWN1" s="288"/>
      <c r="WWO1" s="288"/>
      <c r="WWP1" s="288"/>
      <c r="WWQ1" s="288"/>
      <c r="WWR1" s="288"/>
      <c r="WWS1" s="288"/>
      <c r="WWT1" s="288"/>
      <c r="WWU1" s="288"/>
      <c r="WWV1" s="288"/>
      <c r="WWW1" s="288"/>
      <c r="WWX1" s="288"/>
      <c r="WWY1" s="288"/>
      <c r="WWZ1" s="288"/>
      <c r="WXA1" s="288"/>
      <c r="WXB1" s="288"/>
      <c r="WXC1" s="288"/>
      <c r="WXD1" s="288"/>
      <c r="WXE1" s="288"/>
      <c r="WXF1" s="288"/>
      <c r="WXG1" s="288"/>
      <c r="WXH1" s="288"/>
      <c r="WXI1" s="288"/>
      <c r="WXJ1" s="288"/>
      <c r="WXK1" s="288"/>
      <c r="WXL1" s="288"/>
      <c r="WXM1" s="288"/>
      <c r="WXN1" s="288"/>
      <c r="WXO1" s="288"/>
      <c r="WXP1" s="288"/>
      <c r="WXQ1" s="288"/>
      <c r="WXR1" s="288"/>
      <c r="WXS1" s="288"/>
      <c r="WXT1" s="288"/>
      <c r="WXU1" s="288"/>
      <c r="WXV1" s="288"/>
      <c r="WXW1" s="288"/>
      <c r="WXX1" s="288"/>
      <c r="WXY1" s="288"/>
      <c r="WXZ1" s="288"/>
      <c r="WYA1" s="288"/>
      <c r="WYB1" s="288"/>
      <c r="WYC1" s="288"/>
      <c r="WYD1" s="288"/>
      <c r="WYE1" s="288"/>
      <c r="WYF1" s="288"/>
      <c r="WYG1" s="288"/>
      <c r="WYH1" s="288"/>
      <c r="WYI1" s="288"/>
      <c r="WYJ1" s="288"/>
      <c r="WYK1" s="288"/>
      <c r="WYL1" s="288"/>
      <c r="WYM1" s="288"/>
      <c r="WYN1" s="288"/>
      <c r="WYO1" s="288"/>
      <c r="WYP1" s="288"/>
      <c r="WYQ1" s="288"/>
      <c r="WYR1" s="288"/>
      <c r="WYS1" s="288"/>
      <c r="WYT1" s="288"/>
      <c r="WYU1" s="288"/>
      <c r="WYV1" s="288"/>
      <c r="WYW1" s="288"/>
      <c r="WYX1" s="288"/>
      <c r="WYY1" s="288"/>
      <c r="WYZ1" s="288"/>
      <c r="WZA1" s="288"/>
      <c r="WZB1" s="288"/>
      <c r="WZC1" s="288"/>
      <c r="WZD1" s="288"/>
      <c r="WZE1" s="288"/>
      <c r="WZF1" s="288"/>
      <c r="WZG1" s="288"/>
      <c r="WZH1" s="288"/>
      <c r="WZI1" s="288"/>
      <c r="WZJ1" s="288"/>
      <c r="WZK1" s="288"/>
      <c r="WZL1" s="288"/>
      <c r="WZM1" s="288"/>
      <c r="WZN1" s="288"/>
      <c r="WZO1" s="288"/>
      <c r="WZP1" s="288"/>
      <c r="WZQ1" s="288"/>
      <c r="WZR1" s="288"/>
      <c r="WZS1" s="288"/>
      <c r="WZT1" s="288"/>
      <c r="WZU1" s="288"/>
      <c r="WZV1" s="288"/>
      <c r="WZW1" s="288"/>
      <c r="WZX1" s="288"/>
      <c r="WZY1" s="288"/>
      <c r="WZZ1" s="288"/>
      <c r="XAA1" s="288"/>
      <c r="XAB1" s="288"/>
      <c r="XAC1" s="288"/>
      <c r="XAD1" s="288"/>
      <c r="XAE1" s="288"/>
      <c r="XAF1" s="288"/>
      <c r="XAG1" s="288"/>
      <c r="XAH1" s="288"/>
      <c r="XAI1" s="288"/>
      <c r="XAJ1" s="288"/>
      <c r="XAK1" s="288"/>
      <c r="XAL1" s="288"/>
      <c r="XAM1" s="288"/>
      <c r="XAN1" s="288"/>
      <c r="XAO1" s="288"/>
      <c r="XAP1" s="288"/>
      <c r="XAQ1" s="288"/>
      <c r="XAR1" s="288"/>
      <c r="XAS1" s="288"/>
      <c r="XAT1" s="288"/>
      <c r="XAU1" s="288"/>
      <c r="XAV1" s="288"/>
      <c r="XAW1" s="288"/>
      <c r="XAX1" s="288"/>
      <c r="XAY1" s="288"/>
      <c r="XAZ1" s="288"/>
      <c r="XBA1" s="288"/>
      <c r="XBB1" s="288"/>
      <c r="XBC1" s="288"/>
      <c r="XBD1" s="288"/>
      <c r="XBE1" s="288"/>
      <c r="XBF1" s="288"/>
      <c r="XBG1" s="288"/>
      <c r="XBH1" s="288"/>
      <c r="XBI1" s="288"/>
      <c r="XBJ1" s="288"/>
      <c r="XBK1" s="288"/>
      <c r="XBL1" s="288"/>
      <c r="XBM1" s="288"/>
      <c r="XBN1" s="288"/>
      <c r="XBO1" s="288"/>
      <c r="XBP1" s="288"/>
      <c r="XBQ1" s="288"/>
      <c r="XBR1" s="288"/>
      <c r="XBS1" s="288"/>
      <c r="XBT1" s="288"/>
      <c r="XBU1" s="288"/>
      <c r="XBV1" s="288"/>
      <c r="XBW1" s="288"/>
      <c r="XBX1" s="288"/>
      <c r="XBY1" s="288"/>
      <c r="XBZ1" s="288"/>
      <c r="XCA1" s="288"/>
      <c r="XCB1" s="288"/>
      <c r="XCC1" s="288"/>
      <c r="XCD1" s="288"/>
      <c r="XCE1" s="288"/>
      <c r="XCF1" s="288"/>
      <c r="XCG1" s="288"/>
      <c r="XCH1" s="288"/>
      <c r="XCI1" s="288"/>
      <c r="XCJ1" s="288"/>
      <c r="XCK1" s="288"/>
      <c r="XCL1" s="288"/>
      <c r="XCM1" s="288"/>
      <c r="XCN1" s="288"/>
      <c r="XCO1" s="288"/>
      <c r="XCP1" s="288"/>
      <c r="XCQ1" s="288"/>
      <c r="XCR1" s="288"/>
      <c r="XCS1" s="288"/>
      <c r="XCT1" s="288"/>
      <c r="XCU1" s="288"/>
      <c r="XCV1" s="288"/>
      <c r="XCW1" s="288"/>
      <c r="XCX1" s="288"/>
      <c r="XCY1" s="288"/>
      <c r="XCZ1" s="288"/>
      <c r="XDA1" s="288"/>
      <c r="XDB1" s="288"/>
      <c r="XDC1" s="288"/>
      <c r="XDD1" s="288"/>
      <c r="XDE1" s="288"/>
      <c r="XDF1" s="288"/>
      <c r="XDG1" s="288"/>
      <c r="XDH1" s="288"/>
      <c r="XDI1" s="288"/>
      <c r="XDJ1" s="288"/>
      <c r="XDK1" s="288"/>
      <c r="XDL1" s="288"/>
      <c r="XDM1" s="288"/>
      <c r="XDN1" s="288"/>
      <c r="XDO1" s="288"/>
      <c r="XDP1" s="288"/>
      <c r="XDQ1" s="288"/>
      <c r="XDR1" s="288"/>
      <c r="XDS1" s="288"/>
      <c r="XDT1" s="288"/>
      <c r="XDU1" s="288"/>
      <c r="XDV1" s="288"/>
      <c r="XDW1" s="288"/>
      <c r="XDX1" s="288"/>
      <c r="XDY1" s="288"/>
      <c r="XDZ1" s="288"/>
      <c r="XEA1" s="288"/>
      <c r="XEB1" s="288"/>
      <c r="XEC1" s="288"/>
      <c r="XED1" s="288"/>
      <c r="XEE1" s="288"/>
      <c r="XEF1" s="288"/>
      <c r="XEG1" s="288"/>
      <c r="XEH1" s="288"/>
      <c r="XEI1" s="288"/>
      <c r="XEJ1" s="288"/>
      <c r="XEK1" s="288"/>
      <c r="XEL1" s="288"/>
      <c r="XEM1" s="288"/>
      <c r="XEN1" s="288"/>
      <c r="XEO1" s="288"/>
      <c r="XEP1" s="288"/>
      <c r="XEQ1" s="288"/>
      <c r="XER1" s="288"/>
      <c r="XES1" s="288"/>
      <c r="XET1" s="288"/>
      <c r="XEU1" s="288"/>
      <c r="XEV1" s="288"/>
      <c r="XEW1" s="288"/>
      <c r="XEX1" s="288"/>
      <c r="XEY1" s="288"/>
      <c r="XEZ1" s="288"/>
    </row>
    <row r="3" spans="1:16380" ht="15.75" thickBot="1" x14ac:dyDescent="0.3">
      <c r="A3" s="4" t="s">
        <v>0</v>
      </c>
      <c r="B3" s="31">
        <f>'Validator Notes'!B4</f>
        <v>0</v>
      </c>
    </row>
    <row r="4" spans="1:16380" ht="15.75" thickBot="1" x14ac:dyDescent="0.3">
      <c r="A4" s="4" t="s">
        <v>1</v>
      </c>
      <c r="B4" s="175">
        <f>'Validator Notes'!B5</f>
        <v>0</v>
      </c>
    </row>
    <row r="5" spans="1:16380" ht="15.75" thickBot="1" x14ac:dyDescent="0.3">
      <c r="A5" s="4" t="s">
        <v>2</v>
      </c>
      <c r="B5" s="33" t="str">
        <f>'Validator Notes'!B6</f>
        <v>Aengstrom</v>
      </c>
    </row>
    <row r="7" spans="1:16380" ht="30" customHeight="1" x14ac:dyDescent="0.25">
      <c r="A7" s="329" t="s">
        <v>128</v>
      </c>
      <c r="B7" s="330"/>
      <c r="C7" s="330"/>
      <c r="D7" s="330"/>
      <c r="E7" s="330"/>
      <c r="F7" s="330"/>
      <c r="G7" s="330"/>
      <c r="H7" s="330"/>
      <c r="I7" s="330"/>
      <c r="J7" s="330"/>
      <c r="K7" s="330"/>
      <c r="L7" s="330"/>
      <c r="M7" s="330"/>
      <c r="N7" s="330"/>
      <c r="O7" s="330"/>
      <c r="P7" s="331"/>
      <c r="R7" s="321" t="s">
        <v>201</v>
      </c>
      <c r="S7" s="322"/>
      <c r="U7" s="329" t="s">
        <v>128</v>
      </c>
      <c r="V7" s="330"/>
      <c r="W7" s="330"/>
      <c r="X7" s="330"/>
      <c r="Y7" s="330"/>
      <c r="Z7" s="330"/>
      <c r="AA7" s="330"/>
      <c r="AB7" s="330"/>
      <c r="AC7" s="330"/>
      <c r="AD7" s="330"/>
      <c r="AE7" s="330"/>
      <c r="AF7" s="330"/>
      <c r="AG7" s="330"/>
      <c r="AH7" s="330"/>
      <c r="AI7" s="331"/>
    </row>
    <row r="8" spans="1:16380" x14ac:dyDescent="0.25">
      <c r="A8" s="154"/>
      <c r="B8" s="154"/>
      <c r="E8" s="154"/>
      <c r="F8" s="154"/>
      <c r="G8" s="154"/>
      <c r="H8" s="154"/>
      <c r="I8" s="155"/>
      <c r="J8" s="323" t="s">
        <v>129</v>
      </c>
      <c r="K8" s="324"/>
      <c r="L8" s="324"/>
      <c r="M8" s="324"/>
      <c r="N8" s="325"/>
      <c r="R8" s="156" t="s">
        <v>130</v>
      </c>
      <c r="S8" s="157" t="s">
        <v>131</v>
      </c>
      <c r="U8" s="154"/>
      <c r="V8" s="154"/>
      <c r="Y8" s="154"/>
      <c r="Z8" s="154"/>
      <c r="AA8" s="154"/>
      <c r="AB8" s="154"/>
      <c r="AC8" s="155"/>
      <c r="AD8" s="332" t="s">
        <v>129</v>
      </c>
      <c r="AE8" s="333"/>
      <c r="AF8" s="333"/>
      <c r="AG8" s="333"/>
      <c r="AH8" s="334"/>
    </row>
    <row r="9" spans="1:16380" x14ac:dyDescent="0.25">
      <c r="A9" s="326" t="s">
        <v>132</v>
      </c>
      <c r="B9" s="327"/>
      <c r="C9" s="328"/>
      <c r="D9" s="326" t="s">
        <v>133</v>
      </c>
      <c r="E9" s="327"/>
      <c r="F9" s="327"/>
      <c r="G9" s="327"/>
      <c r="H9" s="328"/>
      <c r="I9" s="218" t="s">
        <v>134</v>
      </c>
      <c r="J9" s="159" t="s">
        <v>6</v>
      </c>
      <c r="K9" s="160" t="s">
        <v>10</v>
      </c>
      <c r="L9" s="219" t="s">
        <v>11</v>
      </c>
      <c r="M9" s="160" t="s">
        <v>6</v>
      </c>
      <c r="N9" s="162" t="s">
        <v>10</v>
      </c>
      <c r="O9" s="217" t="s">
        <v>135</v>
      </c>
      <c r="P9" s="216" t="s">
        <v>303</v>
      </c>
      <c r="R9" s="1" t="s">
        <v>136</v>
      </c>
      <c r="S9" s="3" t="s">
        <v>137</v>
      </c>
      <c r="U9" s="335" t="s">
        <v>132</v>
      </c>
      <c r="V9" s="336"/>
      <c r="W9" s="337"/>
      <c r="X9" s="335" t="s">
        <v>133</v>
      </c>
      <c r="Y9" s="336"/>
      <c r="Z9" s="336"/>
      <c r="AA9" s="336"/>
      <c r="AB9" s="337"/>
      <c r="AC9" s="158" t="s">
        <v>134</v>
      </c>
      <c r="AD9" s="159" t="s">
        <v>6</v>
      </c>
      <c r="AE9" s="160" t="s">
        <v>10</v>
      </c>
      <c r="AF9" s="161" t="s">
        <v>11</v>
      </c>
      <c r="AG9" s="160" t="s">
        <v>6</v>
      </c>
      <c r="AH9" s="162" t="s">
        <v>10</v>
      </c>
      <c r="AI9" s="163" t="s">
        <v>135</v>
      </c>
    </row>
    <row r="10" spans="1:16380" x14ac:dyDescent="0.25">
      <c r="A10" s="318"/>
      <c r="B10" s="319"/>
      <c r="C10" s="320"/>
      <c r="D10" s="318"/>
      <c r="E10" s="319"/>
      <c r="F10" s="319"/>
      <c r="G10" s="319"/>
      <c r="H10" s="320"/>
      <c r="I10" s="164"/>
      <c r="J10" s="165"/>
      <c r="K10" s="166">
        <v>0</v>
      </c>
      <c r="L10" s="167" t="s">
        <v>11</v>
      </c>
      <c r="M10" s="165"/>
      <c r="N10" s="168">
        <v>23</v>
      </c>
      <c r="O10" s="169"/>
      <c r="P10" s="3">
        <f>IF(ISBLANK(J10),,((M10+N10)-(J10+K10))*24+1)</f>
        <v>0</v>
      </c>
      <c r="R10" s="1" t="s">
        <v>139</v>
      </c>
      <c r="S10" s="3" t="s">
        <v>140</v>
      </c>
      <c r="U10" s="318"/>
      <c r="V10" s="319"/>
      <c r="W10" s="320"/>
      <c r="X10" s="318"/>
      <c r="Y10" s="319"/>
      <c r="Z10" s="319"/>
      <c r="AA10" s="319"/>
      <c r="AB10" s="320"/>
      <c r="AC10" s="164"/>
      <c r="AD10" s="165"/>
      <c r="AE10" s="166">
        <v>0</v>
      </c>
      <c r="AF10" s="167" t="s">
        <v>11</v>
      </c>
      <c r="AG10" s="165"/>
      <c r="AH10" s="168">
        <v>23</v>
      </c>
      <c r="AI10" s="169"/>
    </row>
    <row r="11" spans="1:16380" x14ac:dyDescent="0.25">
      <c r="A11" s="318"/>
      <c r="B11" s="319"/>
      <c r="C11" s="320"/>
      <c r="D11" s="318"/>
      <c r="E11" s="319"/>
      <c r="F11" s="319"/>
      <c r="G11" s="319"/>
      <c r="H11" s="320"/>
      <c r="I11" s="164"/>
      <c r="J11" s="165"/>
      <c r="K11" s="166">
        <v>0</v>
      </c>
      <c r="L11" s="167" t="s">
        <v>11</v>
      </c>
      <c r="M11" s="165"/>
      <c r="N11" s="168">
        <v>23</v>
      </c>
      <c r="O11" s="169"/>
      <c r="P11" s="3">
        <f t="shared" ref="P11:P25" si="0">IF(ISBLANK(J11),,((M11+N11)-(J11+K11))*24+1)</f>
        <v>0</v>
      </c>
      <c r="R11" s="1" t="s">
        <v>141</v>
      </c>
      <c r="S11" s="3" t="s">
        <v>142</v>
      </c>
      <c r="U11" s="318"/>
      <c r="V11" s="319"/>
      <c r="W11" s="320"/>
      <c r="X11" s="318"/>
      <c r="Y11" s="319"/>
      <c r="Z11" s="319"/>
      <c r="AA11" s="319"/>
      <c r="AB11" s="320"/>
      <c r="AC11" s="164"/>
      <c r="AD11" s="165"/>
      <c r="AE11" s="166">
        <v>0</v>
      </c>
      <c r="AF11" s="167" t="s">
        <v>11</v>
      </c>
      <c r="AG11" s="165"/>
      <c r="AH11" s="168">
        <v>23</v>
      </c>
      <c r="AI11" s="169"/>
    </row>
    <row r="12" spans="1:16380" x14ac:dyDescent="0.25">
      <c r="A12" s="318"/>
      <c r="B12" s="319"/>
      <c r="C12" s="320"/>
      <c r="D12" s="318"/>
      <c r="E12" s="319"/>
      <c r="F12" s="319"/>
      <c r="G12" s="319"/>
      <c r="H12" s="320"/>
      <c r="I12" s="164"/>
      <c r="J12" s="165"/>
      <c r="K12" s="166">
        <v>0</v>
      </c>
      <c r="L12" s="167" t="s">
        <v>11</v>
      </c>
      <c r="M12" s="165"/>
      <c r="N12" s="168">
        <v>23</v>
      </c>
      <c r="O12" s="169"/>
      <c r="P12" s="3">
        <f t="shared" si="0"/>
        <v>0</v>
      </c>
      <c r="R12" s="1" t="s">
        <v>145</v>
      </c>
      <c r="S12" s="3" t="s">
        <v>146</v>
      </c>
      <c r="U12" s="318"/>
      <c r="V12" s="319"/>
      <c r="W12" s="320"/>
      <c r="X12" s="318"/>
      <c r="Y12" s="319"/>
      <c r="Z12" s="319"/>
      <c r="AA12" s="319"/>
      <c r="AB12" s="320"/>
      <c r="AC12" s="164"/>
      <c r="AD12" s="165"/>
      <c r="AE12" s="166">
        <v>0</v>
      </c>
      <c r="AF12" s="167" t="s">
        <v>11</v>
      </c>
      <c r="AG12" s="165"/>
      <c r="AH12" s="168">
        <v>23</v>
      </c>
      <c r="AI12" s="169"/>
    </row>
    <row r="13" spans="1:16380" x14ac:dyDescent="0.25">
      <c r="A13" s="318"/>
      <c r="B13" s="319"/>
      <c r="C13" s="320"/>
      <c r="D13" s="318"/>
      <c r="E13" s="319"/>
      <c r="F13" s="319"/>
      <c r="G13" s="319"/>
      <c r="H13" s="320"/>
      <c r="I13" s="164"/>
      <c r="J13" s="165"/>
      <c r="K13" s="166">
        <v>0</v>
      </c>
      <c r="L13" s="167" t="s">
        <v>11</v>
      </c>
      <c r="M13" s="165"/>
      <c r="N13" s="168">
        <v>23</v>
      </c>
      <c r="O13" s="169"/>
      <c r="P13" s="3">
        <f t="shared" si="0"/>
        <v>0</v>
      </c>
      <c r="R13" s="1" t="s">
        <v>147</v>
      </c>
      <c r="S13" s="3" t="s">
        <v>148</v>
      </c>
      <c r="U13" s="318"/>
      <c r="V13" s="319"/>
      <c r="W13" s="320"/>
      <c r="X13" s="318"/>
      <c r="Y13" s="319"/>
      <c r="Z13" s="319"/>
      <c r="AA13" s="319"/>
      <c r="AB13" s="320"/>
      <c r="AC13" s="164"/>
      <c r="AD13" s="165"/>
      <c r="AE13" s="166">
        <v>0</v>
      </c>
      <c r="AF13" s="167" t="s">
        <v>11</v>
      </c>
      <c r="AG13" s="165"/>
      <c r="AH13" s="168">
        <v>23</v>
      </c>
      <c r="AI13" s="169"/>
    </row>
    <row r="14" spans="1:16380" x14ac:dyDescent="0.25">
      <c r="A14" s="318"/>
      <c r="B14" s="319"/>
      <c r="C14" s="320"/>
      <c r="D14" s="318"/>
      <c r="E14" s="319"/>
      <c r="F14" s="319"/>
      <c r="G14" s="319"/>
      <c r="H14" s="320"/>
      <c r="I14" s="164"/>
      <c r="J14" s="165"/>
      <c r="K14" s="166">
        <v>0</v>
      </c>
      <c r="L14" s="167" t="s">
        <v>11</v>
      </c>
      <c r="M14" s="165"/>
      <c r="N14" s="168">
        <v>23</v>
      </c>
      <c r="O14" s="169"/>
      <c r="P14" s="3">
        <f t="shared" si="0"/>
        <v>0</v>
      </c>
      <c r="R14" s="1" t="s">
        <v>151</v>
      </c>
      <c r="S14" s="3" t="s">
        <v>152</v>
      </c>
      <c r="U14" s="318"/>
      <c r="V14" s="319"/>
      <c r="W14" s="320"/>
      <c r="X14" s="318"/>
      <c r="Y14" s="319"/>
      <c r="Z14" s="319"/>
      <c r="AA14" s="319"/>
      <c r="AB14" s="320"/>
      <c r="AC14" s="164"/>
      <c r="AD14" s="165"/>
      <c r="AE14" s="166">
        <v>0</v>
      </c>
      <c r="AF14" s="167" t="s">
        <v>11</v>
      </c>
      <c r="AG14" s="165"/>
      <c r="AH14" s="168">
        <v>23</v>
      </c>
      <c r="AI14" s="169"/>
    </row>
    <row r="15" spans="1:16380" x14ac:dyDescent="0.25">
      <c r="A15" s="318"/>
      <c r="B15" s="319"/>
      <c r="C15" s="320"/>
      <c r="D15" s="318"/>
      <c r="E15" s="319"/>
      <c r="F15" s="319"/>
      <c r="G15" s="319"/>
      <c r="H15" s="320"/>
      <c r="I15" s="164"/>
      <c r="J15" s="165"/>
      <c r="K15" s="166">
        <v>0</v>
      </c>
      <c r="L15" s="167" t="s">
        <v>11</v>
      </c>
      <c r="M15" s="165"/>
      <c r="N15" s="168">
        <v>23</v>
      </c>
      <c r="O15" s="169"/>
      <c r="P15" s="3">
        <f t="shared" si="0"/>
        <v>0</v>
      </c>
      <c r="R15" s="1" t="s">
        <v>150</v>
      </c>
      <c r="S15" s="3" t="s">
        <v>149</v>
      </c>
      <c r="U15" s="318"/>
      <c r="V15" s="319"/>
      <c r="W15" s="320"/>
      <c r="X15" s="318"/>
      <c r="Y15" s="319"/>
      <c r="Z15" s="319"/>
      <c r="AA15" s="319"/>
      <c r="AB15" s="320"/>
      <c r="AC15" s="164"/>
      <c r="AD15" s="165"/>
      <c r="AE15" s="166">
        <v>0</v>
      </c>
      <c r="AF15" s="167" t="s">
        <v>11</v>
      </c>
      <c r="AG15" s="165"/>
      <c r="AH15" s="168">
        <v>23</v>
      </c>
      <c r="AI15" s="169"/>
    </row>
    <row r="16" spans="1:16380" x14ac:dyDescent="0.25">
      <c r="A16" s="318"/>
      <c r="B16" s="319"/>
      <c r="C16" s="320"/>
      <c r="D16" s="318"/>
      <c r="E16" s="319"/>
      <c r="F16" s="319"/>
      <c r="G16" s="319"/>
      <c r="H16" s="320"/>
      <c r="I16" s="164"/>
      <c r="J16" s="165"/>
      <c r="K16" s="166">
        <v>0</v>
      </c>
      <c r="L16" s="167" t="s">
        <v>11</v>
      </c>
      <c r="M16" s="165"/>
      <c r="N16" s="168">
        <v>23</v>
      </c>
      <c r="O16" s="169"/>
      <c r="P16" s="3">
        <f t="shared" si="0"/>
        <v>0</v>
      </c>
      <c r="R16" s="1" t="s">
        <v>153</v>
      </c>
      <c r="S16" s="3" t="s">
        <v>154</v>
      </c>
      <c r="U16" s="318"/>
      <c r="V16" s="319"/>
      <c r="W16" s="320"/>
      <c r="X16" s="318"/>
      <c r="Y16" s="319"/>
      <c r="Z16" s="319"/>
      <c r="AA16" s="319"/>
      <c r="AB16" s="320"/>
      <c r="AC16" s="164"/>
      <c r="AD16" s="165"/>
      <c r="AE16" s="166">
        <v>0</v>
      </c>
      <c r="AF16" s="167" t="s">
        <v>11</v>
      </c>
      <c r="AG16" s="165"/>
      <c r="AH16" s="168">
        <v>23</v>
      </c>
      <c r="AI16" s="169"/>
    </row>
    <row r="17" spans="1:35" x14ac:dyDescent="0.25">
      <c r="A17" s="318"/>
      <c r="B17" s="319"/>
      <c r="C17" s="320"/>
      <c r="D17" s="318"/>
      <c r="E17" s="319"/>
      <c r="F17" s="319"/>
      <c r="G17" s="319"/>
      <c r="H17" s="320"/>
      <c r="I17" s="164"/>
      <c r="J17" s="165"/>
      <c r="K17" s="166">
        <v>0</v>
      </c>
      <c r="L17" s="167" t="s">
        <v>11</v>
      </c>
      <c r="M17" s="165"/>
      <c r="N17" s="168">
        <v>23</v>
      </c>
      <c r="O17" s="169"/>
      <c r="P17" s="3">
        <f t="shared" si="0"/>
        <v>0</v>
      </c>
      <c r="R17" s="1" t="s">
        <v>155</v>
      </c>
      <c r="S17" s="3" t="s">
        <v>156</v>
      </c>
      <c r="U17" s="318"/>
      <c r="V17" s="319"/>
      <c r="W17" s="320"/>
      <c r="X17" s="318"/>
      <c r="Y17" s="319"/>
      <c r="Z17" s="319"/>
      <c r="AA17" s="319"/>
      <c r="AB17" s="320"/>
      <c r="AC17" s="164"/>
      <c r="AD17" s="165"/>
      <c r="AE17" s="166">
        <v>0</v>
      </c>
      <c r="AF17" s="167" t="s">
        <v>11</v>
      </c>
      <c r="AG17" s="165"/>
      <c r="AH17" s="168">
        <v>23</v>
      </c>
      <c r="AI17" s="169"/>
    </row>
    <row r="18" spans="1:35" x14ac:dyDescent="0.25">
      <c r="A18" s="318"/>
      <c r="B18" s="319"/>
      <c r="C18" s="320"/>
      <c r="D18" s="318"/>
      <c r="E18" s="319"/>
      <c r="F18" s="319"/>
      <c r="G18" s="319"/>
      <c r="H18" s="320"/>
      <c r="I18" s="164"/>
      <c r="J18" s="165"/>
      <c r="K18" s="166">
        <v>0</v>
      </c>
      <c r="L18" s="167" t="s">
        <v>11</v>
      </c>
      <c r="M18" s="165"/>
      <c r="N18" s="168">
        <v>23</v>
      </c>
      <c r="O18" s="169"/>
      <c r="P18" s="3">
        <f t="shared" si="0"/>
        <v>0</v>
      </c>
      <c r="R18" s="1" t="s">
        <v>157</v>
      </c>
      <c r="S18" s="3" t="s">
        <v>158</v>
      </c>
      <c r="U18" s="318"/>
      <c r="V18" s="319"/>
      <c r="W18" s="320"/>
      <c r="X18" s="318"/>
      <c r="Y18" s="319"/>
      <c r="Z18" s="319"/>
      <c r="AA18" s="319"/>
      <c r="AB18" s="320"/>
      <c r="AC18" s="164"/>
      <c r="AD18" s="165"/>
      <c r="AE18" s="166">
        <v>0</v>
      </c>
      <c r="AF18" s="167" t="s">
        <v>11</v>
      </c>
      <c r="AG18" s="165"/>
      <c r="AH18" s="168">
        <v>23</v>
      </c>
      <c r="AI18" s="169"/>
    </row>
    <row r="19" spans="1:35" x14ac:dyDescent="0.25">
      <c r="A19" s="318"/>
      <c r="B19" s="319"/>
      <c r="C19" s="320"/>
      <c r="D19" s="318"/>
      <c r="E19" s="319"/>
      <c r="F19" s="319"/>
      <c r="G19" s="319"/>
      <c r="H19" s="320"/>
      <c r="I19" s="164"/>
      <c r="J19" s="165"/>
      <c r="K19" s="166">
        <v>0</v>
      </c>
      <c r="L19" s="167" t="s">
        <v>11</v>
      </c>
      <c r="M19" s="165"/>
      <c r="N19" s="168">
        <v>23</v>
      </c>
      <c r="O19" s="169"/>
      <c r="P19" s="3">
        <f t="shared" si="0"/>
        <v>0</v>
      </c>
      <c r="R19" s="1" t="s">
        <v>161</v>
      </c>
      <c r="S19" s="3" t="s">
        <v>162</v>
      </c>
      <c r="U19" s="318"/>
      <c r="V19" s="319"/>
      <c r="W19" s="320"/>
      <c r="X19" s="318"/>
      <c r="Y19" s="319"/>
      <c r="Z19" s="319"/>
      <c r="AA19" s="319"/>
      <c r="AB19" s="320"/>
      <c r="AC19" s="164"/>
      <c r="AD19" s="165"/>
      <c r="AE19" s="166">
        <v>0</v>
      </c>
      <c r="AF19" s="167" t="s">
        <v>11</v>
      </c>
      <c r="AG19" s="165"/>
      <c r="AH19" s="168">
        <v>23</v>
      </c>
      <c r="AI19" s="169"/>
    </row>
    <row r="20" spans="1:35" x14ac:dyDescent="0.25">
      <c r="A20" s="318"/>
      <c r="B20" s="319"/>
      <c r="C20" s="320"/>
      <c r="D20" s="318"/>
      <c r="E20" s="319"/>
      <c r="F20" s="319"/>
      <c r="G20" s="319"/>
      <c r="H20" s="320"/>
      <c r="I20" s="164"/>
      <c r="J20" s="165"/>
      <c r="K20" s="166">
        <v>0</v>
      </c>
      <c r="L20" s="167" t="s">
        <v>11</v>
      </c>
      <c r="M20" s="165"/>
      <c r="N20" s="168">
        <v>23</v>
      </c>
      <c r="O20" s="169"/>
      <c r="P20" s="3">
        <f t="shared" si="0"/>
        <v>0</v>
      </c>
      <c r="R20" s="1" t="s">
        <v>165</v>
      </c>
      <c r="S20" s="3" t="s">
        <v>166</v>
      </c>
      <c r="U20" s="318"/>
      <c r="V20" s="319"/>
      <c r="W20" s="320"/>
      <c r="X20" s="318"/>
      <c r="Y20" s="319"/>
      <c r="Z20" s="319"/>
      <c r="AA20" s="319"/>
      <c r="AB20" s="320"/>
      <c r="AC20" s="164"/>
      <c r="AD20" s="165"/>
      <c r="AE20" s="166">
        <v>0</v>
      </c>
      <c r="AF20" s="167" t="s">
        <v>11</v>
      </c>
      <c r="AG20" s="165"/>
      <c r="AH20" s="168">
        <v>23</v>
      </c>
      <c r="AI20" s="169"/>
    </row>
    <row r="21" spans="1:35" x14ac:dyDescent="0.25">
      <c r="A21" s="318"/>
      <c r="B21" s="319"/>
      <c r="C21" s="320"/>
      <c r="D21" s="318"/>
      <c r="E21" s="319"/>
      <c r="F21" s="319"/>
      <c r="G21" s="319"/>
      <c r="H21" s="320"/>
      <c r="I21" s="164"/>
      <c r="J21" s="165"/>
      <c r="K21" s="166">
        <v>0</v>
      </c>
      <c r="L21" s="167" t="s">
        <v>11</v>
      </c>
      <c r="M21" s="165"/>
      <c r="N21" s="168">
        <v>23</v>
      </c>
      <c r="O21" s="169"/>
      <c r="P21" s="3">
        <f t="shared" si="0"/>
        <v>0</v>
      </c>
      <c r="R21" s="1" t="s">
        <v>167</v>
      </c>
      <c r="S21" s="3" t="s">
        <v>168</v>
      </c>
      <c r="U21" s="318"/>
      <c r="V21" s="319"/>
      <c r="W21" s="320"/>
      <c r="X21" s="318"/>
      <c r="Y21" s="319"/>
      <c r="Z21" s="319"/>
      <c r="AA21" s="319"/>
      <c r="AB21" s="320"/>
      <c r="AC21" s="164"/>
      <c r="AD21" s="165"/>
      <c r="AE21" s="166">
        <v>0</v>
      </c>
      <c r="AF21" s="167" t="s">
        <v>11</v>
      </c>
      <c r="AG21" s="165"/>
      <c r="AH21" s="168">
        <v>23</v>
      </c>
      <c r="AI21" s="169"/>
    </row>
    <row r="22" spans="1:35" x14ac:dyDescent="0.25">
      <c r="A22" s="318"/>
      <c r="B22" s="319"/>
      <c r="C22" s="320"/>
      <c r="D22" s="318"/>
      <c r="E22" s="319"/>
      <c r="F22" s="319"/>
      <c r="G22" s="319"/>
      <c r="H22" s="320"/>
      <c r="I22" s="164"/>
      <c r="J22" s="165"/>
      <c r="K22" s="166"/>
      <c r="L22" s="167"/>
      <c r="M22" s="165"/>
      <c r="N22" s="168"/>
      <c r="O22" s="169"/>
      <c r="P22" s="3">
        <f t="shared" si="0"/>
        <v>0</v>
      </c>
      <c r="R22" s="1" t="s">
        <v>138</v>
      </c>
      <c r="S22" s="3" t="s">
        <v>169</v>
      </c>
      <c r="U22" s="318"/>
      <c r="V22" s="319"/>
      <c r="W22" s="320"/>
      <c r="X22" s="318"/>
      <c r="Y22" s="319"/>
      <c r="Z22" s="319"/>
      <c r="AA22" s="319"/>
      <c r="AB22" s="320"/>
      <c r="AC22" s="164"/>
      <c r="AD22" s="165"/>
      <c r="AE22" s="166"/>
      <c r="AF22" s="167"/>
      <c r="AG22" s="165"/>
      <c r="AH22" s="168"/>
      <c r="AI22" s="169"/>
    </row>
    <row r="23" spans="1:35" x14ac:dyDescent="0.25">
      <c r="A23" s="318"/>
      <c r="B23" s="319"/>
      <c r="C23" s="320"/>
      <c r="D23" s="318"/>
      <c r="E23" s="319"/>
      <c r="F23" s="319"/>
      <c r="G23" s="319"/>
      <c r="H23" s="320"/>
      <c r="I23" s="164"/>
      <c r="J23" s="165"/>
      <c r="K23" s="166"/>
      <c r="L23" s="167"/>
      <c r="M23" s="165"/>
      <c r="N23" s="168"/>
      <c r="O23" s="169"/>
      <c r="P23" s="3">
        <f t="shared" si="0"/>
        <v>0</v>
      </c>
      <c r="R23" s="1" t="s">
        <v>164</v>
      </c>
      <c r="S23" s="3" t="s">
        <v>163</v>
      </c>
      <c r="U23" s="318"/>
      <c r="V23" s="319"/>
      <c r="W23" s="320"/>
      <c r="X23" s="318"/>
      <c r="Y23" s="319"/>
      <c r="Z23" s="319"/>
      <c r="AA23" s="319"/>
      <c r="AB23" s="320"/>
      <c r="AC23" s="164"/>
      <c r="AD23" s="165"/>
      <c r="AE23" s="166"/>
      <c r="AF23" s="167"/>
      <c r="AG23" s="165"/>
      <c r="AH23" s="168"/>
      <c r="AI23" s="169"/>
    </row>
    <row r="24" spans="1:35" x14ac:dyDescent="0.25">
      <c r="A24" s="318"/>
      <c r="B24" s="319"/>
      <c r="C24" s="320"/>
      <c r="D24" s="318"/>
      <c r="E24" s="319"/>
      <c r="F24" s="319"/>
      <c r="G24" s="319"/>
      <c r="H24" s="320"/>
      <c r="I24" s="164"/>
      <c r="J24" s="165"/>
      <c r="K24" s="166"/>
      <c r="L24" s="167"/>
      <c r="M24" s="165"/>
      <c r="N24" s="168"/>
      <c r="O24" s="169"/>
      <c r="P24" s="3">
        <f t="shared" si="0"/>
        <v>0</v>
      </c>
      <c r="R24" s="1" t="s">
        <v>170</v>
      </c>
      <c r="S24" s="3" t="s">
        <v>171</v>
      </c>
      <c r="U24" s="318"/>
      <c r="V24" s="319"/>
      <c r="W24" s="320"/>
      <c r="X24" s="318"/>
      <c r="Y24" s="319"/>
      <c r="Z24" s="319"/>
      <c r="AA24" s="319"/>
      <c r="AB24" s="320"/>
      <c r="AC24" s="164"/>
      <c r="AD24" s="165"/>
      <c r="AE24" s="166"/>
      <c r="AF24" s="167"/>
      <c r="AG24" s="165"/>
      <c r="AH24" s="168"/>
      <c r="AI24" s="169"/>
    </row>
    <row r="25" spans="1:35" x14ac:dyDescent="0.25">
      <c r="A25" s="318"/>
      <c r="B25" s="319"/>
      <c r="C25" s="320"/>
      <c r="D25" s="318"/>
      <c r="E25" s="319"/>
      <c r="F25" s="319"/>
      <c r="G25" s="319"/>
      <c r="H25" s="320"/>
      <c r="I25" s="164"/>
      <c r="J25" s="165"/>
      <c r="K25" s="166"/>
      <c r="L25" s="167"/>
      <c r="M25" s="165"/>
      <c r="N25" s="168"/>
      <c r="O25" s="169"/>
      <c r="P25" s="3">
        <f t="shared" si="0"/>
        <v>0</v>
      </c>
      <c r="R25" s="1" t="s">
        <v>160</v>
      </c>
      <c r="S25" s="3" t="s">
        <v>159</v>
      </c>
      <c r="U25" s="318"/>
      <c r="V25" s="319"/>
      <c r="W25" s="320"/>
      <c r="X25" s="318"/>
      <c r="Y25" s="319"/>
      <c r="Z25" s="319"/>
      <c r="AA25" s="319"/>
      <c r="AB25" s="320"/>
      <c r="AC25" s="164"/>
      <c r="AD25" s="165"/>
      <c r="AE25" s="166"/>
      <c r="AF25" s="167"/>
      <c r="AG25" s="165"/>
      <c r="AH25" s="168"/>
      <c r="AI25" s="169"/>
    </row>
    <row r="26" spans="1:35" x14ac:dyDescent="0.25">
      <c r="R26" s="1" t="s">
        <v>172</v>
      </c>
      <c r="S26" s="3" t="s">
        <v>173</v>
      </c>
    </row>
    <row r="27" spans="1:35" ht="23.25" x14ac:dyDescent="0.25">
      <c r="A27" s="342" t="s">
        <v>174</v>
      </c>
      <c r="B27" s="343"/>
      <c r="C27" s="343"/>
      <c r="D27" s="343"/>
      <c r="E27" s="343"/>
      <c r="F27" s="343"/>
      <c r="G27" s="343"/>
      <c r="H27" s="343"/>
      <c r="I27" s="343"/>
      <c r="J27" s="343"/>
      <c r="K27" s="343"/>
      <c r="L27" s="343"/>
      <c r="M27" s="343"/>
      <c r="N27" s="343"/>
      <c r="O27" s="343"/>
      <c r="P27" s="344"/>
      <c r="R27" s="1" t="s">
        <v>175</v>
      </c>
      <c r="S27" s="3" t="s">
        <v>121</v>
      </c>
      <c r="U27" s="329" t="s">
        <v>174</v>
      </c>
      <c r="V27" s="330"/>
      <c r="W27" s="330"/>
      <c r="X27" s="330"/>
      <c r="Y27" s="330"/>
      <c r="Z27" s="330"/>
      <c r="AA27" s="330"/>
      <c r="AB27" s="330"/>
      <c r="AC27" s="330"/>
      <c r="AD27" s="330"/>
      <c r="AE27" s="330"/>
      <c r="AF27" s="330"/>
      <c r="AG27" s="330"/>
      <c r="AH27" s="330"/>
      <c r="AI27" s="331"/>
    </row>
    <row r="28" spans="1:35" x14ac:dyDescent="0.25">
      <c r="A28" s="154"/>
      <c r="B28" s="154"/>
      <c r="E28" s="154"/>
      <c r="F28" s="154"/>
      <c r="G28" s="154"/>
      <c r="H28" s="154"/>
      <c r="I28" s="155"/>
      <c r="J28" s="326" t="s">
        <v>129</v>
      </c>
      <c r="K28" s="327"/>
      <c r="L28" s="327"/>
      <c r="M28" s="327"/>
      <c r="N28" s="328"/>
      <c r="R28" s="1" t="s">
        <v>176</v>
      </c>
      <c r="S28" s="3" t="s">
        <v>177</v>
      </c>
      <c r="U28" s="154"/>
      <c r="V28" s="154"/>
      <c r="Y28" s="154"/>
      <c r="Z28" s="154"/>
      <c r="AA28" s="154"/>
      <c r="AB28" s="154"/>
      <c r="AC28" s="155"/>
      <c r="AD28" s="332" t="s">
        <v>129</v>
      </c>
      <c r="AE28" s="333"/>
      <c r="AF28" s="333"/>
      <c r="AG28" s="333"/>
      <c r="AH28" s="334"/>
    </row>
    <row r="29" spans="1:35" x14ac:dyDescent="0.25">
      <c r="A29" s="326" t="s">
        <v>132</v>
      </c>
      <c r="B29" s="327"/>
      <c r="C29" s="328"/>
      <c r="D29" s="326" t="s">
        <v>133</v>
      </c>
      <c r="E29" s="327"/>
      <c r="F29" s="327"/>
      <c r="G29" s="327"/>
      <c r="H29" s="328"/>
      <c r="I29" s="218" t="s">
        <v>134</v>
      </c>
      <c r="J29" s="159" t="s">
        <v>6</v>
      </c>
      <c r="K29" s="160" t="s">
        <v>10</v>
      </c>
      <c r="L29" s="219" t="s">
        <v>11</v>
      </c>
      <c r="M29" s="160" t="s">
        <v>6</v>
      </c>
      <c r="N29" s="162" t="s">
        <v>10</v>
      </c>
      <c r="O29" s="218" t="s">
        <v>135</v>
      </c>
      <c r="P29" s="216" t="s">
        <v>303</v>
      </c>
      <c r="R29" s="1" t="s">
        <v>144</v>
      </c>
      <c r="S29" s="3" t="s">
        <v>143</v>
      </c>
      <c r="U29" s="335" t="s">
        <v>132</v>
      </c>
      <c r="V29" s="336"/>
      <c r="W29" s="337"/>
      <c r="X29" s="335" t="s">
        <v>133</v>
      </c>
      <c r="Y29" s="336"/>
      <c r="Z29" s="336"/>
      <c r="AA29" s="336"/>
      <c r="AB29" s="337"/>
      <c r="AC29" s="158" t="s">
        <v>134</v>
      </c>
      <c r="AD29" s="159" t="s">
        <v>6</v>
      </c>
      <c r="AE29" s="160" t="s">
        <v>10</v>
      </c>
      <c r="AF29" s="161" t="s">
        <v>11</v>
      </c>
      <c r="AG29" s="160" t="s">
        <v>6</v>
      </c>
      <c r="AH29" s="162" t="s">
        <v>10</v>
      </c>
      <c r="AI29" s="158" t="s">
        <v>135</v>
      </c>
    </row>
    <row r="30" spans="1:35" x14ac:dyDescent="0.25">
      <c r="A30" s="318"/>
      <c r="B30" s="319"/>
      <c r="C30" s="320"/>
      <c r="D30" s="318"/>
      <c r="E30" s="319"/>
      <c r="F30" s="319"/>
      <c r="G30" s="319"/>
      <c r="H30" s="320"/>
      <c r="I30" s="164"/>
      <c r="J30" s="165"/>
      <c r="K30" s="166">
        <v>0</v>
      </c>
      <c r="L30" s="167" t="s">
        <v>11</v>
      </c>
      <c r="M30" s="165"/>
      <c r="N30" s="168">
        <v>23</v>
      </c>
      <c r="O30" s="169"/>
      <c r="P30" s="3">
        <f>IF(ISBLANK(J30),,((M30+N30)-(J30+K30))*24+1)</f>
        <v>0</v>
      </c>
      <c r="U30" s="318"/>
      <c r="V30" s="319"/>
      <c r="W30" s="320"/>
      <c r="X30" s="318"/>
      <c r="Y30" s="319"/>
      <c r="Z30" s="319"/>
      <c r="AA30" s="319"/>
      <c r="AB30" s="320"/>
      <c r="AC30" s="164"/>
      <c r="AD30" s="165"/>
      <c r="AE30" s="166">
        <v>0</v>
      </c>
      <c r="AF30" s="167" t="s">
        <v>11</v>
      </c>
      <c r="AG30" s="165"/>
      <c r="AH30" s="168">
        <v>23</v>
      </c>
      <c r="AI30" s="169"/>
    </row>
    <row r="31" spans="1:35" x14ac:dyDescent="0.25">
      <c r="A31" s="318"/>
      <c r="B31" s="319"/>
      <c r="C31" s="320"/>
      <c r="D31" s="318"/>
      <c r="E31" s="319"/>
      <c r="F31" s="319"/>
      <c r="G31" s="319"/>
      <c r="H31" s="320"/>
      <c r="I31" s="164"/>
      <c r="J31" s="165"/>
      <c r="K31" s="166">
        <v>0</v>
      </c>
      <c r="L31" s="167" t="s">
        <v>11</v>
      </c>
      <c r="M31" s="165"/>
      <c r="N31" s="168">
        <v>23</v>
      </c>
      <c r="O31" s="169"/>
      <c r="P31" s="3">
        <f t="shared" ref="P31:P56" si="1">IF(ISBLANK(J31),,((M31+N31)-(J31+K31))*24+1)</f>
        <v>0</v>
      </c>
      <c r="U31" s="318"/>
      <c r="V31" s="319"/>
      <c r="W31" s="320"/>
      <c r="X31" s="318"/>
      <c r="Y31" s="319"/>
      <c r="Z31" s="319"/>
      <c r="AA31" s="319"/>
      <c r="AB31" s="320"/>
      <c r="AC31" s="164"/>
      <c r="AD31" s="165"/>
      <c r="AE31" s="166">
        <v>0</v>
      </c>
      <c r="AF31" s="167" t="s">
        <v>11</v>
      </c>
      <c r="AG31" s="165"/>
      <c r="AH31" s="168">
        <v>23</v>
      </c>
      <c r="AI31" s="169"/>
    </row>
    <row r="32" spans="1:35" x14ac:dyDescent="0.25">
      <c r="A32" s="318"/>
      <c r="B32" s="319"/>
      <c r="C32" s="320"/>
      <c r="D32" s="318"/>
      <c r="E32" s="319"/>
      <c r="F32" s="319"/>
      <c r="G32" s="319"/>
      <c r="H32" s="320"/>
      <c r="I32" s="164"/>
      <c r="J32" s="165"/>
      <c r="K32" s="166">
        <v>0</v>
      </c>
      <c r="L32" s="167" t="s">
        <v>11</v>
      </c>
      <c r="M32" s="165"/>
      <c r="N32" s="168">
        <v>23</v>
      </c>
      <c r="O32" s="169"/>
      <c r="P32" s="3">
        <f t="shared" si="1"/>
        <v>0</v>
      </c>
      <c r="U32" s="318"/>
      <c r="V32" s="319"/>
      <c r="W32" s="320"/>
      <c r="X32" s="318"/>
      <c r="Y32" s="319"/>
      <c r="Z32" s="319"/>
      <c r="AA32" s="319"/>
      <c r="AB32" s="320"/>
      <c r="AC32" s="164"/>
      <c r="AD32" s="165"/>
      <c r="AE32" s="166">
        <v>0</v>
      </c>
      <c r="AF32" s="167" t="s">
        <v>11</v>
      </c>
      <c r="AG32" s="165"/>
      <c r="AH32" s="168">
        <v>23</v>
      </c>
      <c r="AI32" s="169"/>
    </row>
    <row r="33" spans="1:35" x14ac:dyDescent="0.25">
      <c r="A33" s="318"/>
      <c r="B33" s="319"/>
      <c r="C33" s="320"/>
      <c r="D33" s="318"/>
      <c r="E33" s="319"/>
      <c r="F33" s="319"/>
      <c r="G33" s="319"/>
      <c r="H33" s="320"/>
      <c r="I33" s="164"/>
      <c r="J33" s="165"/>
      <c r="K33" s="166">
        <v>0</v>
      </c>
      <c r="L33" s="167" t="s">
        <v>11</v>
      </c>
      <c r="M33" s="165"/>
      <c r="N33" s="168">
        <v>23</v>
      </c>
      <c r="O33" s="169"/>
      <c r="P33" s="3">
        <f t="shared" si="1"/>
        <v>0</v>
      </c>
      <c r="U33" s="318"/>
      <c r="V33" s="319"/>
      <c r="W33" s="320"/>
      <c r="X33" s="318"/>
      <c r="Y33" s="319"/>
      <c r="Z33" s="319"/>
      <c r="AA33" s="319"/>
      <c r="AB33" s="320"/>
      <c r="AC33" s="164"/>
      <c r="AD33" s="165"/>
      <c r="AE33" s="166">
        <v>0</v>
      </c>
      <c r="AF33" s="167" t="s">
        <v>11</v>
      </c>
      <c r="AG33" s="165"/>
      <c r="AH33" s="168">
        <v>23</v>
      </c>
      <c r="AI33" s="169"/>
    </row>
    <row r="34" spans="1:35" x14ac:dyDescent="0.25">
      <c r="A34" s="318"/>
      <c r="B34" s="319"/>
      <c r="C34" s="320"/>
      <c r="D34" s="318"/>
      <c r="E34" s="319"/>
      <c r="F34" s="319"/>
      <c r="G34" s="319"/>
      <c r="H34" s="320"/>
      <c r="I34" s="164"/>
      <c r="J34" s="165"/>
      <c r="K34" s="166">
        <v>0</v>
      </c>
      <c r="L34" s="167" t="s">
        <v>11</v>
      </c>
      <c r="M34" s="165"/>
      <c r="N34" s="168">
        <v>23</v>
      </c>
      <c r="O34" s="169"/>
      <c r="P34" s="3">
        <f t="shared" si="1"/>
        <v>0</v>
      </c>
      <c r="R34" s="321" t="s">
        <v>202</v>
      </c>
      <c r="S34" s="322"/>
      <c r="U34" s="318"/>
      <c r="V34" s="319"/>
      <c r="W34" s="320"/>
      <c r="X34" s="318"/>
      <c r="Y34" s="319"/>
      <c r="Z34" s="319"/>
      <c r="AA34" s="319"/>
      <c r="AB34" s="320"/>
      <c r="AC34" s="164"/>
      <c r="AD34" s="165"/>
      <c r="AE34" s="166">
        <v>0</v>
      </c>
      <c r="AF34" s="167" t="s">
        <v>11</v>
      </c>
      <c r="AG34" s="165"/>
      <c r="AH34" s="168">
        <v>23</v>
      </c>
      <c r="AI34" s="169"/>
    </row>
    <row r="35" spans="1:35" x14ac:dyDescent="0.25">
      <c r="A35" s="318"/>
      <c r="B35" s="319"/>
      <c r="C35" s="320"/>
      <c r="D35" s="318"/>
      <c r="E35" s="319"/>
      <c r="F35" s="319"/>
      <c r="G35" s="319"/>
      <c r="H35" s="320"/>
      <c r="I35" s="164"/>
      <c r="J35" s="165"/>
      <c r="K35" s="166"/>
      <c r="L35" s="167" t="s">
        <v>11</v>
      </c>
      <c r="M35" s="165"/>
      <c r="N35" s="168"/>
      <c r="O35" s="169"/>
      <c r="P35" s="3">
        <f t="shared" si="1"/>
        <v>0</v>
      </c>
      <c r="R35" s="156" t="s">
        <v>130</v>
      </c>
      <c r="S35" s="157" t="s">
        <v>131</v>
      </c>
      <c r="U35" s="318"/>
      <c r="V35" s="319"/>
      <c r="W35" s="320"/>
      <c r="X35" s="318"/>
      <c r="Y35" s="319"/>
      <c r="Z35" s="319"/>
      <c r="AA35" s="319"/>
      <c r="AB35" s="320"/>
      <c r="AC35" s="164"/>
      <c r="AD35" s="165"/>
      <c r="AE35" s="166"/>
      <c r="AF35" s="167" t="s">
        <v>11</v>
      </c>
      <c r="AG35" s="165"/>
      <c r="AH35" s="168"/>
      <c r="AI35" s="169"/>
    </row>
    <row r="36" spans="1:35" x14ac:dyDescent="0.25">
      <c r="A36" s="318"/>
      <c r="B36" s="319"/>
      <c r="C36" s="320"/>
      <c r="D36" s="318"/>
      <c r="E36" s="319"/>
      <c r="F36" s="319"/>
      <c r="G36" s="319"/>
      <c r="H36" s="320"/>
      <c r="I36" s="164"/>
      <c r="J36" s="165"/>
      <c r="K36" s="166"/>
      <c r="L36" s="167" t="s">
        <v>11</v>
      </c>
      <c r="M36" s="165"/>
      <c r="N36" s="168"/>
      <c r="O36" s="169"/>
      <c r="P36" s="3">
        <f t="shared" si="1"/>
        <v>0</v>
      </c>
      <c r="R36" s="1" t="s">
        <v>179</v>
      </c>
      <c r="S36" s="3" t="s">
        <v>180</v>
      </c>
      <c r="U36" s="318"/>
      <c r="V36" s="319"/>
      <c r="W36" s="320"/>
      <c r="X36" s="318"/>
      <c r="Y36" s="319"/>
      <c r="Z36" s="319"/>
      <c r="AA36" s="319"/>
      <c r="AB36" s="320"/>
      <c r="AC36" s="164"/>
      <c r="AD36" s="165"/>
      <c r="AE36" s="166"/>
      <c r="AF36" s="167" t="s">
        <v>11</v>
      </c>
      <c r="AG36" s="165"/>
      <c r="AH36" s="168"/>
      <c r="AI36" s="169"/>
    </row>
    <row r="37" spans="1:35" x14ac:dyDescent="0.25">
      <c r="A37" s="318"/>
      <c r="B37" s="319"/>
      <c r="C37" s="320"/>
      <c r="D37" s="318"/>
      <c r="E37" s="319"/>
      <c r="F37" s="319"/>
      <c r="G37" s="319"/>
      <c r="H37" s="320"/>
      <c r="I37" s="164"/>
      <c r="J37" s="165"/>
      <c r="K37" s="166"/>
      <c r="L37" s="167" t="s">
        <v>11</v>
      </c>
      <c r="M37" s="165"/>
      <c r="N37" s="168"/>
      <c r="O37" s="169"/>
      <c r="P37" s="3">
        <f t="shared" si="1"/>
        <v>0</v>
      </c>
      <c r="R37" s="1" t="s">
        <v>181</v>
      </c>
      <c r="S37" s="3" t="s">
        <v>182</v>
      </c>
      <c r="U37" s="318"/>
      <c r="V37" s="319"/>
      <c r="W37" s="320"/>
      <c r="X37" s="318"/>
      <c r="Y37" s="319"/>
      <c r="Z37" s="319"/>
      <c r="AA37" s="319"/>
      <c r="AB37" s="320"/>
      <c r="AC37" s="164"/>
      <c r="AD37" s="165"/>
      <c r="AE37" s="166"/>
      <c r="AF37" s="167" t="s">
        <v>11</v>
      </c>
      <c r="AG37" s="165"/>
      <c r="AH37" s="168"/>
      <c r="AI37" s="169"/>
    </row>
    <row r="38" spans="1:35" x14ac:dyDescent="0.25">
      <c r="A38" s="318"/>
      <c r="B38" s="319"/>
      <c r="C38" s="320"/>
      <c r="D38" s="318"/>
      <c r="E38" s="319"/>
      <c r="F38" s="319"/>
      <c r="G38" s="319"/>
      <c r="H38" s="320"/>
      <c r="I38" s="164"/>
      <c r="J38" s="165"/>
      <c r="K38" s="166"/>
      <c r="L38" s="167" t="s">
        <v>11</v>
      </c>
      <c r="M38" s="165"/>
      <c r="N38" s="168"/>
      <c r="O38" s="169"/>
      <c r="P38" s="3">
        <f t="shared" si="1"/>
        <v>0</v>
      </c>
      <c r="R38" s="1" t="s">
        <v>183</v>
      </c>
      <c r="S38" s="3" t="s">
        <v>184</v>
      </c>
      <c r="U38" s="318"/>
      <c r="V38" s="319"/>
      <c r="W38" s="320"/>
      <c r="X38" s="318"/>
      <c r="Y38" s="319"/>
      <c r="Z38" s="319"/>
      <c r="AA38" s="319"/>
      <c r="AB38" s="320"/>
      <c r="AC38" s="164"/>
      <c r="AD38" s="165"/>
      <c r="AE38" s="166"/>
      <c r="AF38" s="167" t="s">
        <v>11</v>
      </c>
      <c r="AG38" s="165"/>
      <c r="AH38" s="168"/>
      <c r="AI38" s="169"/>
    </row>
    <row r="39" spans="1:35" x14ac:dyDescent="0.25">
      <c r="A39" s="318"/>
      <c r="B39" s="319"/>
      <c r="C39" s="320"/>
      <c r="D39" s="318"/>
      <c r="E39" s="319"/>
      <c r="F39" s="319"/>
      <c r="G39" s="319"/>
      <c r="H39" s="320"/>
      <c r="I39" s="164"/>
      <c r="J39" s="165"/>
      <c r="K39" s="166"/>
      <c r="L39" s="167" t="s">
        <v>11</v>
      </c>
      <c r="M39" s="165"/>
      <c r="N39" s="168"/>
      <c r="O39" s="169"/>
      <c r="P39" s="3">
        <f t="shared" si="1"/>
        <v>0</v>
      </c>
      <c r="R39" s="1" t="s">
        <v>178</v>
      </c>
      <c r="S39" s="3" t="s">
        <v>185</v>
      </c>
      <c r="U39" s="318"/>
      <c r="V39" s="319"/>
      <c r="W39" s="320"/>
      <c r="X39" s="318"/>
      <c r="Y39" s="319"/>
      <c r="Z39" s="319"/>
      <c r="AA39" s="319"/>
      <c r="AB39" s="320"/>
      <c r="AC39" s="164"/>
      <c r="AD39" s="165"/>
      <c r="AE39" s="166"/>
      <c r="AF39" s="167" t="s">
        <v>11</v>
      </c>
      <c r="AG39" s="165"/>
      <c r="AH39" s="168"/>
      <c r="AI39" s="169"/>
    </row>
    <row r="40" spans="1:35" x14ac:dyDescent="0.25">
      <c r="A40" s="318"/>
      <c r="B40" s="319"/>
      <c r="C40" s="320"/>
      <c r="D40" s="318"/>
      <c r="E40" s="319"/>
      <c r="F40" s="319"/>
      <c r="G40" s="319"/>
      <c r="H40" s="320"/>
      <c r="I40" s="164"/>
      <c r="J40" s="165"/>
      <c r="K40" s="166"/>
      <c r="L40" s="167" t="s">
        <v>11</v>
      </c>
      <c r="M40" s="165"/>
      <c r="N40" s="168"/>
      <c r="O40" s="169"/>
      <c r="P40" s="3">
        <f t="shared" si="1"/>
        <v>0</v>
      </c>
      <c r="R40" s="1" t="s">
        <v>186</v>
      </c>
      <c r="S40" s="3" t="s">
        <v>187</v>
      </c>
      <c r="U40" s="318"/>
      <c r="V40" s="319"/>
      <c r="W40" s="320"/>
      <c r="X40" s="318"/>
      <c r="Y40" s="319"/>
      <c r="Z40" s="319"/>
      <c r="AA40" s="319"/>
      <c r="AB40" s="320"/>
      <c r="AC40" s="164"/>
      <c r="AD40" s="165"/>
      <c r="AE40" s="166"/>
      <c r="AF40" s="167" t="s">
        <v>11</v>
      </c>
      <c r="AG40" s="165"/>
      <c r="AH40" s="168"/>
      <c r="AI40" s="169"/>
    </row>
    <row r="41" spans="1:35" x14ac:dyDescent="0.25">
      <c r="A41" s="318"/>
      <c r="B41" s="319"/>
      <c r="C41" s="320"/>
      <c r="D41" s="318"/>
      <c r="E41" s="319"/>
      <c r="F41" s="319"/>
      <c r="G41" s="319"/>
      <c r="H41" s="320"/>
      <c r="I41" s="164"/>
      <c r="J41" s="165"/>
      <c r="K41" s="166"/>
      <c r="L41" s="167" t="s">
        <v>11</v>
      </c>
      <c r="M41" s="165"/>
      <c r="N41" s="168"/>
      <c r="O41" s="169"/>
      <c r="P41" s="3">
        <f t="shared" si="1"/>
        <v>0</v>
      </c>
      <c r="R41" s="1" t="s">
        <v>188</v>
      </c>
      <c r="S41" s="3" t="s">
        <v>189</v>
      </c>
      <c r="U41" s="318"/>
      <c r="V41" s="319"/>
      <c r="W41" s="320"/>
      <c r="X41" s="318"/>
      <c r="Y41" s="319"/>
      <c r="Z41" s="319"/>
      <c r="AA41" s="319"/>
      <c r="AB41" s="320"/>
      <c r="AC41" s="164"/>
      <c r="AD41" s="165"/>
      <c r="AE41" s="166"/>
      <c r="AF41" s="167" t="s">
        <v>11</v>
      </c>
      <c r="AG41" s="165"/>
      <c r="AH41" s="168"/>
      <c r="AI41" s="169"/>
    </row>
    <row r="42" spans="1:35" x14ac:dyDescent="0.25">
      <c r="A42" s="318"/>
      <c r="B42" s="319"/>
      <c r="C42" s="320"/>
      <c r="D42" s="318"/>
      <c r="E42" s="319"/>
      <c r="F42" s="319"/>
      <c r="G42" s="319"/>
      <c r="H42" s="320"/>
      <c r="I42" s="164"/>
      <c r="J42" s="165"/>
      <c r="K42" s="166"/>
      <c r="L42" s="167" t="s">
        <v>11</v>
      </c>
      <c r="M42" s="165"/>
      <c r="N42" s="168"/>
      <c r="O42" s="169"/>
      <c r="P42" s="3">
        <f t="shared" si="1"/>
        <v>0</v>
      </c>
      <c r="R42" s="1" t="s">
        <v>190</v>
      </c>
      <c r="S42" s="3" t="s">
        <v>191</v>
      </c>
      <c r="U42" s="318"/>
      <c r="V42" s="319"/>
      <c r="W42" s="320"/>
      <c r="X42" s="318"/>
      <c r="Y42" s="319"/>
      <c r="Z42" s="319"/>
      <c r="AA42" s="319"/>
      <c r="AB42" s="320"/>
      <c r="AC42" s="164"/>
      <c r="AD42" s="165"/>
      <c r="AE42" s="166"/>
      <c r="AF42" s="167" t="s">
        <v>11</v>
      </c>
      <c r="AG42" s="165"/>
      <c r="AH42" s="168"/>
      <c r="AI42" s="169"/>
    </row>
    <row r="43" spans="1:35" x14ac:dyDescent="0.25">
      <c r="A43" s="318"/>
      <c r="B43" s="319"/>
      <c r="C43" s="320"/>
      <c r="D43" s="318"/>
      <c r="E43" s="319"/>
      <c r="F43" s="319"/>
      <c r="G43" s="319"/>
      <c r="H43" s="320"/>
      <c r="I43" s="164"/>
      <c r="J43" s="165"/>
      <c r="K43" s="166"/>
      <c r="L43" s="167" t="s">
        <v>11</v>
      </c>
      <c r="M43" s="165"/>
      <c r="N43" s="168"/>
      <c r="O43" s="169"/>
      <c r="P43" s="3">
        <f t="shared" si="1"/>
        <v>0</v>
      </c>
      <c r="R43" s="1" t="s">
        <v>192</v>
      </c>
      <c r="S43" s="3" t="s">
        <v>193</v>
      </c>
      <c r="U43" s="318"/>
      <c r="V43" s="319"/>
      <c r="W43" s="320"/>
      <c r="X43" s="318"/>
      <c r="Y43" s="319"/>
      <c r="Z43" s="319"/>
      <c r="AA43" s="319"/>
      <c r="AB43" s="320"/>
      <c r="AC43" s="164"/>
      <c r="AD43" s="165"/>
      <c r="AE43" s="166"/>
      <c r="AF43" s="167" t="s">
        <v>11</v>
      </c>
      <c r="AG43" s="165"/>
      <c r="AH43" s="168"/>
      <c r="AI43" s="169"/>
    </row>
    <row r="44" spans="1:35" x14ac:dyDescent="0.25">
      <c r="A44" s="318"/>
      <c r="B44" s="319"/>
      <c r="C44" s="320"/>
      <c r="D44" s="318"/>
      <c r="E44" s="319"/>
      <c r="F44" s="319"/>
      <c r="G44" s="319"/>
      <c r="H44" s="320"/>
      <c r="I44" s="164"/>
      <c r="J44" s="165"/>
      <c r="K44" s="166"/>
      <c r="L44" s="167" t="s">
        <v>11</v>
      </c>
      <c r="M44" s="165"/>
      <c r="N44" s="168"/>
      <c r="O44" s="169"/>
      <c r="P44" s="3">
        <f t="shared" si="1"/>
        <v>0</v>
      </c>
      <c r="R44" s="1">
        <v>5</v>
      </c>
      <c r="S44" s="3" t="s">
        <v>195</v>
      </c>
      <c r="U44" s="318"/>
      <c r="V44" s="319"/>
      <c r="W44" s="320"/>
      <c r="X44" s="318"/>
      <c r="Y44" s="319"/>
      <c r="Z44" s="319"/>
      <c r="AA44" s="319"/>
      <c r="AB44" s="320"/>
      <c r="AC44" s="164"/>
      <c r="AD44" s="165"/>
      <c r="AE44" s="166"/>
      <c r="AF44" s="167" t="s">
        <v>11</v>
      </c>
      <c r="AG44" s="165"/>
      <c r="AH44" s="168"/>
      <c r="AI44" s="169"/>
    </row>
    <row r="45" spans="1:35" x14ac:dyDescent="0.25">
      <c r="A45" s="318"/>
      <c r="B45" s="319"/>
      <c r="C45" s="320"/>
      <c r="D45" s="318"/>
      <c r="E45" s="319"/>
      <c r="F45" s="319"/>
      <c r="G45" s="319"/>
      <c r="H45" s="320"/>
      <c r="I45" s="164"/>
      <c r="J45" s="165"/>
      <c r="K45" s="166"/>
      <c r="L45" s="167" t="s">
        <v>11</v>
      </c>
      <c r="M45" s="165"/>
      <c r="N45" s="168"/>
      <c r="O45" s="169"/>
      <c r="P45" s="3">
        <f t="shared" si="1"/>
        <v>0</v>
      </c>
      <c r="R45" s="1" t="s">
        <v>38</v>
      </c>
      <c r="S45" s="3" t="s">
        <v>196</v>
      </c>
      <c r="U45" s="318"/>
      <c r="V45" s="319"/>
      <c r="W45" s="320"/>
      <c r="X45" s="318"/>
      <c r="Y45" s="319"/>
      <c r="Z45" s="319"/>
      <c r="AA45" s="319"/>
      <c r="AB45" s="320"/>
      <c r="AC45" s="164"/>
      <c r="AD45" s="165"/>
      <c r="AE45" s="166"/>
      <c r="AF45" s="167" t="s">
        <v>11</v>
      </c>
      <c r="AG45" s="165"/>
      <c r="AH45" s="168"/>
      <c r="AI45" s="169"/>
    </row>
    <row r="46" spans="1:35" x14ac:dyDescent="0.25">
      <c r="A46" s="318"/>
      <c r="B46" s="319"/>
      <c r="C46" s="320"/>
      <c r="D46" s="318"/>
      <c r="E46" s="319"/>
      <c r="F46" s="319"/>
      <c r="G46" s="319"/>
      <c r="H46" s="320"/>
      <c r="I46" s="164"/>
      <c r="J46" s="165"/>
      <c r="K46" s="166"/>
      <c r="L46" s="167" t="s">
        <v>11</v>
      </c>
      <c r="M46" s="165"/>
      <c r="N46" s="168"/>
      <c r="O46" s="169"/>
      <c r="P46" s="3">
        <f t="shared" si="1"/>
        <v>0</v>
      </c>
      <c r="U46" s="318"/>
      <c r="V46" s="319"/>
      <c r="W46" s="320"/>
      <c r="X46" s="318"/>
      <c r="Y46" s="319"/>
      <c r="Z46" s="319"/>
      <c r="AA46" s="319"/>
      <c r="AB46" s="320"/>
      <c r="AC46" s="164"/>
      <c r="AD46" s="165"/>
      <c r="AE46" s="166"/>
      <c r="AF46" s="167" t="s">
        <v>11</v>
      </c>
      <c r="AG46" s="165"/>
      <c r="AH46" s="168"/>
      <c r="AI46" s="169"/>
    </row>
    <row r="47" spans="1:35" x14ac:dyDescent="0.25">
      <c r="A47" s="318"/>
      <c r="B47" s="319"/>
      <c r="C47" s="320"/>
      <c r="D47" s="318"/>
      <c r="E47" s="319"/>
      <c r="F47" s="319"/>
      <c r="G47" s="319"/>
      <c r="H47" s="320"/>
      <c r="I47" s="164"/>
      <c r="J47" s="165"/>
      <c r="K47" s="166"/>
      <c r="L47" s="167" t="s">
        <v>11</v>
      </c>
      <c r="M47" s="165"/>
      <c r="N47" s="168"/>
      <c r="O47" s="169"/>
      <c r="P47" s="3">
        <f t="shared" si="1"/>
        <v>0</v>
      </c>
      <c r="U47" s="318"/>
      <c r="V47" s="319"/>
      <c r="W47" s="320"/>
      <c r="X47" s="318"/>
      <c r="Y47" s="319"/>
      <c r="Z47" s="319"/>
      <c r="AA47" s="319"/>
      <c r="AB47" s="320"/>
      <c r="AC47" s="164"/>
      <c r="AD47" s="165"/>
      <c r="AE47" s="166"/>
      <c r="AF47" s="167" t="s">
        <v>11</v>
      </c>
      <c r="AG47" s="165"/>
      <c r="AH47" s="168"/>
      <c r="AI47" s="169"/>
    </row>
    <row r="48" spans="1:35" x14ac:dyDescent="0.25">
      <c r="A48" s="318"/>
      <c r="B48" s="319"/>
      <c r="C48" s="320"/>
      <c r="D48" s="318"/>
      <c r="E48" s="319"/>
      <c r="F48" s="319"/>
      <c r="G48" s="319"/>
      <c r="H48" s="320"/>
      <c r="I48" s="164"/>
      <c r="J48" s="165"/>
      <c r="K48" s="166"/>
      <c r="L48" s="167" t="s">
        <v>11</v>
      </c>
      <c r="M48" s="165"/>
      <c r="N48" s="168"/>
      <c r="O48" s="169"/>
      <c r="P48" s="3">
        <f t="shared" si="1"/>
        <v>0</v>
      </c>
      <c r="U48" s="318"/>
      <c r="V48" s="319"/>
      <c r="W48" s="320"/>
      <c r="X48" s="318"/>
      <c r="Y48" s="319"/>
      <c r="Z48" s="319"/>
      <c r="AA48" s="319"/>
      <c r="AB48" s="320"/>
      <c r="AC48" s="164"/>
      <c r="AD48" s="165"/>
      <c r="AE48" s="166"/>
      <c r="AF48" s="167" t="s">
        <v>11</v>
      </c>
      <c r="AG48" s="165"/>
      <c r="AH48" s="168"/>
      <c r="AI48" s="169"/>
    </row>
    <row r="49" spans="1:35" x14ac:dyDescent="0.25">
      <c r="A49" s="318"/>
      <c r="B49" s="319"/>
      <c r="C49" s="320"/>
      <c r="D49" s="318"/>
      <c r="E49" s="319"/>
      <c r="F49" s="319"/>
      <c r="G49" s="319"/>
      <c r="H49" s="320"/>
      <c r="I49" s="164"/>
      <c r="J49" s="165"/>
      <c r="K49" s="166"/>
      <c r="L49" s="167" t="s">
        <v>11</v>
      </c>
      <c r="M49" s="165"/>
      <c r="N49" s="168"/>
      <c r="O49" s="169"/>
      <c r="P49" s="3">
        <f t="shared" si="1"/>
        <v>0</v>
      </c>
      <c r="U49" s="318"/>
      <c r="V49" s="319"/>
      <c r="W49" s="320"/>
      <c r="X49" s="318"/>
      <c r="Y49" s="319"/>
      <c r="Z49" s="319"/>
      <c r="AA49" s="319"/>
      <c r="AB49" s="320"/>
      <c r="AC49" s="164"/>
      <c r="AD49" s="165"/>
      <c r="AE49" s="166"/>
      <c r="AF49" s="167" t="s">
        <v>11</v>
      </c>
      <c r="AG49" s="165"/>
      <c r="AH49" s="168"/>
      <c r="AI49" s="169"/>
    </row>
    <row r="50" spans="1:35" x14ac:dyDescent="0.25">
      <c r="A50" s="318"/>
      <c r="B50" s="319"/>
      <c r="C50" s="320"/>
      <c r="D50" s="318"/>
      <c r="E50" s="319"/>
      <c r="F50" s="319"/>
      <c r="G50" s="319"/>
      <c r="H50" s="320"/>
      <c r="I50" s="164"/>
      <c r="J50" s="165"/>
      <c r="K50" s="166"/>
      <c r="L50" s="167" t="s">
        <v>11</v>
      </c>
      <c r="M50" s="165"/>
      <c r="N50" s="168"/>
      <c r="O50" s="169"/>
      <c r="P50" s="3">
        <f t="shared" si="1"/>
        <v>0</v>
      </c>
      <c r="U50" s="318"/>
      <c r="V50" s="319"/>
      <c r="W50" s="320"/>
      <c r="X50" s="318"/>
      <c r="Y50" s="319"/>
      <c r="Z50" s="319"/>
      <c r="AA50" s="319"/>
      <c r="AB50" s="320"/>
      <c r="AC50" s="164"/>
      <c r="AD50" s="165"/>
      <c r="AE50" s="166"/>
      <c r="AF50" s="167" t="s">
        <v>11</v>
      </c>
      <c r="AG50" s="165"/>
      <c r="AH50" s="168"/>
      <c r="AI50" s="169"/>
    </row>
    <row r="51" spans="1:35" x14ac:dyDescent="0.25">
      <c r="A51" s="318"/>
      <c r="B51" s="319"/>
      <c r="C51" s="320"/>
      <c r="D51" s="318"/>
      <c r="E51" s="319"/>
      <c r="F51" s="319"/>
      <c r="G51" s="319"/>
      <c r="H51" s="320"/>
      <c r="I51" s="164"/>
      <c r="J51" s="165"/>
      <c r="K51" s="166"/>
      <c r="L51" s="167" t="s">
        <v>11</v>
      </c>
      <c r="M51" s="165"/>
      <c r="N51" s="168"/>
      <c r="O51" s="169"/>
      <c r="P51" s="3">
        <f t="shared" si="1"/>
        <v>0</v>
      </c>
      <c r="U51" s="318"/>
      <c r="V51" s="319"/>
      <c r="W51" s="320"/>
      <c r="X51" s="318"/>
      <c r="Y51" s="319"/>
      <c r="Z51" s="319"/>
      <c r="AA51" s="319"/>
      <c r="AB51" s="320"/>
      <c r="AC51" s="164"/>
      <c r="AD51" s="165"/>
      <c r="AE51" s="166"/>
      <c r="AF51" s="167" t="s">
        <v>11</v>
      </c>
      <c r="AG51" s="165"/>
      <c r="AH51" s="168"/>
      <c r="AI51" s="169"/>
    </row>
    <row r="52" spans="1:35" x14ac:dyDescent="0.25">
      <c r="A52" s="318"/>
      <c r="B52" s="319"/>
      <c r="C52" s="320"/>
      <c r="D52" s="318"/>
      <c r="E52" s="319"/>
      <c r="F52" s="319"/>
      <c r="G52" s="319"/>
      <c r="H52" s="320"/>
      <c r="I52" s="164"/>
      <c r="J52" s="165"/>
      <c r="K52" s="166"/>
      <c r="L52" s="167" t="s">
        <v>11</v>
      </c>
      <c r="M52" s="165"/>
      <c r="N52" s="168"/>
      <c r="O52" s="169"/>
      <c r="P52" s="3">
        <f t="shared" si="1"/>
        <v>0</v>
      </c>
      <c r="U52" s="318"/>
      <c r="V52" s="319"/>
      <c r="W52" s="320"/>
      <c r="X52" s="318"/>
      <c r="Y52" s="319"/>
      <c r="Z52" s="319"/>
      <c r="AA52" s="319"/>
      <c r="AB52" s="320"/>
      <c r="AC52" s="164"/>
      <c r="AD52" s="165"/>
      <c r="AE52" s="166"/>
      <c r="AF52" s="167" t="s">
        <v>11</v>
      </c>
      <c r="AG52" s="165"/>
      <c r="AH52" s="168"/>
      <c r="AI52" s="169"/>
    </row>
    <row r="53" spans="1:35" x14ac:dyDescent="0.25">
      <c r="A53" s="318"/>
      <c r="B53" s="319"/>
      <c r="C53" s="320"/>
      <c r="D53" s="318"/>
      <c r="E53" s="319"/>
      <c r="F53" s="319"/>
      <c r="G53" s="319"/>
      <c r="H53" s="320"/>
      <c r="I53" s="164"/>
      <c r="J53" s="165"/>
      <c r="K53" s="166"/>
      <c r="L53" s="167" t="s">
        <v>11</v>
      </c>
      <c r="M53" s="165"/>
      <c r="N53" s="168"/>
      <c r="O53" s="169"/>
      <c r="P53" s="3">
        <f t="shared" si="1"/>
        <v>0</v>
      </c>
      <c r="U53" s="318"/>
      <c r="V53" s="319"/>
      <c r="W53" s="320"/>
      <c r="X53" s="318"/>
      <c r="Y53" s="319"/>
      <c r="Z53" s="319"/>
      <c r="AA53" s="319"/>
      <c r="AB53" s="320"/>
      <c r="AC53" s="164"/>
      <c r="AD53" s="165"/>
      <c r="AE53" s="166"/>
      <c r="AF53" s="167" t="s">
        <v>11</v>
      </c>
      <c r="AG53" s="165"/>
      <c r="AH53" s="168"/>
      <c r="AI53" s="169"/>
    </row>
    <row r="54" spans="1:35" ht="30" customHeight="1" x14ac:dyDescent="0.25">
      <c r="A54" s="318"/>
      <c r="B54" s="319"/>
      <c r="C54" s="320"/>
      <c r="D54" s="318"/>
      <c r="E54" s="319"/>
      <c r="F54" s="319"/>
      <c r="G54" s="319"/>
      <c r="H54" s="320"/>
      <c r="I54" s="164"/>
      <c r="J54" s="165"/>
      <c r="K54" s="166"/>
      <c r="L54" s="167" t="s">
        <v>11</v>
      </c>
      <c r="M54" s="165"/>
      <c r="N54" s="168"/>
      <c r="O54" s="169"/>
      <c r="P54" s="3">
        <f t="shared" si="1"/>
        <v>0</v>
      </c>
      <c r="U54" s="318"/>
      <c r="V54" s="319"/>
      <c r="W54" s="320"/>
      <c r="X54" s="318"/>
      <c r="Y54" s="319"/>
      <c r="Z54" s="319"/>
      <c r="AA54" s="319"/>
      <c r="AB54" s="320"/>
      <c r="AC54" s="164"/>
      <c r="AD54" s="165"/>
      <c r="AE54" s="166"/>
      <c r="AF54" s="167" t="s">
        <v>11</v>
      </c>
      <c r="AG54" s="165"/>
      <c r="AH54" s="168"/>
      <c r="AI54" s="169"/>
    </row>
    <row r="55" spans="1:35" ht="30" customHeight="1" x14ac:dyDescent="0.25">
      <c r="A55" s="318"/>
      <c r="B55" s="319"/>
      <c r="C55" s="320"/>
      <c r="D55" s="318"/>
      <c r="E55" s="319"/>
      <c r="F55" s="319"/>
      <c r="G55" s="319"/>
      <c r="H55" s="320"/>
      <c r="I55" s="164"/>
      <c r="J55" s="165"/>
      <c r="K55" s="166"/>
      <c r="L55" s="167" t="s">
        <v>11</v>
      </c>
      <c r="M55" s="165"/>
      <c r="N55" s="168"/>
      <c r="O55" s="169"/>
      <c r="P55" s="3">
        <f t="shared" si="1"/>
        <v>0</v>
      </c>
      <c r="U55" s="318"/>
      <c r="V55" s="319"/>
      <c r="W55" s="320"/>
      <c r="X55" s="318"/>
      <c r="Y55" s="319"/>
      <c r="Z55" s="319"/>
      <c r="AA55" s="319"/>
      <c r="AB55" s="320"/>
      <c r="AC55" s="164"/>
      <c r="AD55" s="165"/>
      <c r="AE55" s="166"/>
      <c r="AF55" s="167" t="s">
        <v>11</v>
      </c>
      <c r="AG55" s="165"/>
      <c r="AH55" s="168"/>
      <c r="AI55" s="169"/>
    </row>
    <row r="56" spans="1:35" ht="30" customHeight="1" x14ac:dyDescent="0.25">
      <c r="A56" s="318"/>
      <c r="B56" s="319"/>
      <c r="C56" s="320"/>
      <c r="D56" s="318"/>
      <c r="E56" s="319"/>
      <c r="F56" s="319"/>
      <c r="G56" s="319"/>
      <c r="H56" s="320"/>
      <c r="I56" s="164"/>
      <c r="J56" s="165"/>
      <c r="K56" s="166"/>
      <c r="L56" s="167" t="s">
        <v>11</v>
      </c>
      <c r="M56" s="165"/>
      <c r="N56" s="168"/>
      <c r="O56" s="169"/>
      <c r="P56" s="3">
        <f t="shared" si="1"/>
        <v>0</v>
      </c>
      <c r="U56" s="318"/>
      <c r="V56" s="319"/>
      <c r="W56" s="320"/>
      <c r="X56" s="318"/>
      <c r="Y56" s="319"/>
      <c r="Z56" s="319"/>
      <c r="AA56" s="319"/>
      <c r="AB56" s="320"/>
      <c r="AC56" s="164"/>
      <c r="AD56" s="165"/>
      <c r="AE56" s="166"/>
      <c r="AF56" s="167" t="s">
        <v>11</v>
      </c>
      <c r="AG56" s="165"/>
      <c r="AH56" s="168"/>
      <c r="AI56" s="169"/>
    </row>
    <row r="57" spans="1:35" ht="30" customHeight="1" x14ac:dyDescent="0.25"/>
    <row r="58" spans="1:35" ht="30" customHeight="1" x14ac:dyDescent="0.25"/>
    <row r="59" spans="1:35" ht="30" customHeight="1" x14ac:dyDescent="0.25"/>
    <row r="60" spans="1:35" ht="30" customHeight="1" x14ac:dyDescent="0.25"/>
    <row r="61" spans="1:35" ht="30" customHeight="1" x14ac:dyDescent="0.25"/>
    <row r="62" spans="1:35" ht="30" customHeight="1" x14ac:dyDescent="0.25"/>
    <row r="63" spans="1:35" ht="30" customHeight="1" x14ac:dyDescent="0.25">
      <c r="A63" s="329" t="s">
        <v>194</v>
      </c>
      <c r="B63" s="330"/>
      <c r="C63" s="330"/>
      <c r="D63" s="330"/>
      <c r="E63" s="330"/>
      <c r="F63" s="330"/>
      <c r="G63" s="330"/>
      <c r="H63" s="330"/>
      <c r="I63" s="330"/>
      <c r="J63" s="330"/>
      <c r="K63" s="330"/>
      <c r="L63" s="330"/>
      <c r="M63" s="330"/>
      <c r="N63" s="330"/>
      <c r="O63" s="331"/>
    </row>
    <row r="64" spans="1:35" ht="30" customHeight="1" x14ac:dyDescent="0.25">
      <c r="A64" s="170"/>
      <c r="B64" s="170"/>
      <c r="E64" s="154"/>
      <c r="F64" s="154"/>
      <c r="G64" s="154"/>
      <c r="H64" s="154"/>
      <c r="I64" s="155"/>
      <c r="J64" s="332" t="s">
        <v>129</v>
      </c>
      <c r="K64" s="333"/>
      <c r="L64" s="333"/>
      <c r="M64" s="333"/>
      <c r="N64" s="334"/>
    </row>
    <row r="65" spans="1:15" ht="30" customHeight="1" x14ac:dyDescent="0.25">
      <c r="A65" s="341" t="s">
        <v>197</v>
      </c>
      <c r="B65" s="341"/>
      <c r="C65" s="341"/>
      <c r="D65" s="341" t="s">
        <v>198</v>
      </c>
      <c r="E65" s="341"/>
      <c r="F65" s="341"/>
      <c r="G65" s="341" t="s">
        <v>199</v>
      </c>
      <c r="H65" s="341"/>
      <c r="I65" s="341"/>
      <c r="J65" s="159" t="s">
        <v>6</v>
      </c>
      <c r="K65" s="160" t="s">
        <v>10</v>
      </c>
      <c r="L65" s="161" t="s">
        <v>11</v>
      </c>
      <c r="M65" s="160" t="s">
        <v>6</v>
      </c>
      <c r="N65" s="162" t="s">
        <v>10</v>
      </c>
      <c r="O65" s="163" t="s">
        <v>200</v>
      </c>
    </row>
    <row r="66" spans="1:15" ht="30" customHeight="1" x14ac:dyDescent="0.25">
      <c r="A66" s="338"/>
      <c r="B66" s="339"/>
      <c r="C66" s="340"/>
      <c r="D66" s="338"/>
      <c r="E66" s="339"/>
      <c r="F66" s="340"/>
      <c r="G66" s="338"/>
      <c r="H66" s="339"/>
      <c r="I66" s="340"/>
      <c r="J66" s="171"/>
      <c r="K66" s="172"/>
      <c r="L66" s="173" t="s">
        <v>11</v>
      </c>
      <c r="M66" s="172"/>
      <c r="N66" s="174"/>
      <c r="O66" s="77"/>
    </row>
    <row r="67" spans="1:15" ht="30" customHeight="1" x14ac:dyDescent="0.25">
      <c r="A67" s="338"/>
      <c r="B67" s="339"/>
      <c r="C67" s="340"/>
      <c r="D67" s="338"/>
      <c r="E67" s="339"/>
      <c r="F67" s="340"/>
      <c r="G67" s="338"/>
      <c r="H67" s="339"/>
      <c r="I67" s="340"/>
      <c r="J67" s="171"/>
      <c r="K67" s="172"/>
      <c r="L67" s="173" t="s">
        <v>11</v>
      </c>
      <c r="M67" s="172"/>
      <c r="N67" s="174"/>
      <c r="O67" s="77"/>
    </row>
    <row r="68" spans="1:15" ht="30" customHeight="1" x14ac:dyDescent="0.25">
      <c r="A68" s="338"/>
      <c r="B68" s="339"/>
      <c r="C68" s="340"/>
      <c r="D68" s="338"/>
      <c r="E68" s="339"/>
      <c r="F68" s="340"/>
      <c r="G68" s="338"/>
      <c r="H68" s="339"/>
      <c r="I68" s="340"/>
      <c r="J68" s="171"/>
      <c r="K68" s="172"/>
      <c r="L68" s="173" t="s">
        <v>11</v>
      </c>
      <c r="M68" s="172"/>
      <c r="N68" s="174"/>
      <c r="O68" s="77"/>
    </row>
    <row r="69" spans="1:15" ht="30" customHeight="1" x14ac:dyDescent="0.25">
      <c r="A69" s="338"/>
      <c r="B69" s="339"/>
      <c r="C69" s="340"/>
      <c r="D69" s="338"/>
      <c r="E69" s="339"/>
      <c r="F69" s="340"/>
      <c r="G69" s="338"/>
      <c r="H69" s="339"/>
      <c r="I69" s="340"/>
      <c r="J69" s="171"/>
      <c r="K69" s="172"/>
      <c r="L69" s="173" t="s">
        <v>11</v>
      </c>
      <c r="M69" s="172"/>
      <c r="N69" s="174"/>
      <c r="O69" s="77"/>
    </row>
    <row r="70" spans="1:15" ht="30" customHeight="1" x14ac:dyDescent="0.25"/>
    <row r="71" spans="1:15" ht="30" customHeight="1" x14ac:dyDescent="0.25"/>
    <row r="72" spans="1:15" ht="30" customHeight="1" x14ac:dyDescent="0.25"/>
    <row r="73" spans="1:15" ht="30" customHeight="1" x14ac:dyDescent="0.25"/>
    <row r="74" spans="1:15" ht="30" customHeight="1" x14ac:dyDescent="0.25"/>
    <row r="75" spans="1:15" ht="30" customHeight="1" x14ac:dyDescent="0.25"/>
    <row r="76" spans="1:15" ht="30" customHeight="1" x14ac:dyDescent="0.25"/>
    <row r="77" spans="1:15" ht="30" customHeight="1" x14ac:dyDescent="0.25"/>
    <row r="78" spans="1:15" ht="30" customHeight="1" x14ac:dyDescent="0.25"/>
    <row r="79" spans="1:15" ht="30" customHeight="1" x14ac:dyDescent="0.25"/>
    <row r="80" spans="1:15" ht="30" customHeight="1" x14ac:dyDescent="0.25"/>
  </sheetData>
  <mergeCells count="1299">
    <mergeCell ref="A7:P7"/>
    <mergeCell ref="A27:P27"/>
    <mergeCell ref="U55:W55"/>
    <mergeCell ref="X55:AB55"/>
    <mergeCell ref="U56:W56"/>
    <mergeCell ref="X56:AB56"/>
    <mergeCell ref="U46:W46"/>
    <mergeCell ref="X46:AB46"/>
    <mergeCell ref="U47:W47"/>
    <mergeCell ref="X47:AB47"/>
    <mergeCell ref="U48:W48"/>
    <mergeCell ref="X48:AB48"/>
    <mergeCell ref="U49:W49"/>
    <mergeCell ref="X49:AB49"/>
    <mergeCell ref="U50:W50"/>
    <mergeCell ref="X50:AB50"/>
    <mergeCell ref="U51:W51"/>
    <mergeCell ref="X51:AB51"/>
    <mergeCell ref="U52:W52"/>
    <mergeCell ref="X52:AB52"/>
    <mergeCell ref="U53:W53"/>
    <mergeCell ref="X53:AB53"/>
    <mergeCell ref="U54:W54"/>
    <mergeCell ref="X54:AB54"/>
    <mergeCell ref="U37:W37"/>
    <mergeCell ref="X37:AB37"/>
    <mergeCell ref="U38:W38"/>
    <mergeCell ref="X38:AB38"/>
    <mergeCell ref="U39:W39"/>
    <mergeCell ref="X39:AB39"/>
    <mergeCell ref="U40:W40"/>
    <mergeCell ref="X40:AB40"/>
    <mergeCell ref="U44:W44"/>
    <mergeCell ref="X44:AB44"/>
    <mergeCell ref="U45:W45"/>
    <mergeCell ref="X45:AB45"/>
    <mergeCell ref="U27:AI27"/>
    <mergeCell ref="AD28:AH28"/>
    <mergeCell ref="U29:W29"/>
    <mergeCell ref="X29:AB29"/>
    <mergeCell ref="U30:W30"/>
    <mergeCell ref="X30:AB30"/>
    <mergeCell ref="U31:W31"/>
    <mergeCell ref="X31:AB31"/>
    <mergeCell ref="U32:W32"/>
    <mergeCell ref="X32:AB32"/>
    <mergeCell ref="U33:W33"/>
    <mergeCell ref="X33:AB33"/>
    <mergeCell ref="U34:W34"/>
    <mergeCell ref="X34:AB34"/>
    <mergeCell ref="U35:W35"/>
    <mergeCell ref="X35:AB35"/>
    <mergeCell ref="U36:W36"/>
    <mergeCell ref="X36:AB36"/>
    <mergeCell ref="U20:W20"/>
    <mergeCell ref="X20:AB20"/>
    <mergeCell ref="U21:W21"/>
    <mergeCell ref="X21:AB21"/>
    <mergeCell ref="U22:W22"/>
    <mergeCell ref="X22:AB22"/>
    <mergeCell ref="U23:W23"/>
    <mergeCell ref="X23:AB23"/>
    <mergeCell ref="U24:W24"/>
    <mergeCell ref="X24:AB24"/>
    <mergeCell ref="U25:W25"/>
    <mergeCell ref="X25:AB25"/>
    <mergeCell ref="U41:W41"/>
    <mergeCell ref="X41:AB41"/>
    <mergeCell ref="U42:W42"/>
    <mergeCell ref="X42:AB42"/>
    <mergeCell ref="U43:W43"/>
    <mergeCell ref="X43:AB43"/>
    <mergeCell ref="U11:W11"/>
    <mergeCell ref="X11:AB11"/>
    <mergeCell ref="U12:W12"/>
    <mergeCell ref="X12:AB12"/>
    <mergeCell ref="U13:W13"/>
    <mergeCell ref="X13:AB13"/>
    <mergeCell ref="U14:W14"/>
    <mergeCell ref="X14:AB14"/>
    <mergeCell ref="U15:W15"/>
    <mergeCell ref="X15:AB15"/>
    <mergeCell ref="U16:W16"/>
    <mergeCell ref="X16:AB16"/>
    <mergeCell ref="U17:W17"/>
    <mergeCell ref="X17:AB17"/>
    <mergeCell ref="U18:W18"/>
    <mergeCell ref="X18:AB18"/>
    <mergeCell ref="U19:W19"/>
    <mergeCell ref="X19:AB19"/>
    <mergeCell ref="A69:C69"/>
    <mergeCell ref="D69:F69"/>
    <mergeCell ref="G69:I69"/>
    <mergeCell ref="A66:C66"/>
    <mergeCell ref="D66:F66"/>
    <mergeCell ref="G66:I66"/>
    <mergeCell ref="A67:C67"/>
    <mergeCell ref="D67:F67"/>
    <mergeCell ref="G67:I67"/>
    <mergeCell ref="A40:C40"/>
    <mergeCell ref="D40:H40"/>
    <mergeCell ref="A63:O63"/>
    <mergeCell ref="J64:N64"/>
    <mergeCell ref="A65:C65"/>
    <mergeCell ref="D65:F65"/>
    <mergeCell ref="G65:I65"/>
    <mergeCell ref="A41:C41"/>
    <mergeCell ref="D41:H41"/>
    <mergeCell ref="A42:C42"/>
    <mergeCell ref="D42:H42"/>
    <mergeCell ref="A43:C43"/>
    <mergeCell ref="D43:H43"/>
    <mergeCell ref="A44:C44"/>
    <mergeCell ref="D44:H44"/>
    <mergeCell ref="A45:C45"/>
    <mergeCell ref="D45:H45"/>
    <mergeCell ref="A46:C46"/>
    <mergeCell ref="D46:H46"/>
    <mergeCell ref="A47:C47"/>
    <mergeCell ref="A39:C39"/>
    <mergeCell ref="D39:H39"/>
    <mergeCell ref="A34:C34"/>
    <mergeCell ref="D34:H34"/>
    <mergeCell ref="R34:S34"/>
    <mergeCell ref="A35:C35"/>
    <mergeCell ref="D35:H35"/>
    <mergeCell ref="A36:C36"/>
    <mergeCell ref="D36:H36"/>
    <mergeCell ref="A31:C31"/>
    <mergeCell ref="D31:H31"/>
    <mergeCell ref="A32:C32"/>
    <mergeCell ref="D32:H32"/>
    <mergeCell ref="A33:C33"/>
    <mergeCell ref="D33:H33"/>
    <mergeCell ref="A68:C68"/>
    <mergeCell ref="D68:F68"/>
    <mergeCell ref="G68:I68"/>
    <mergeCell ref="A30:C30"/>
    <mergeCell ref="D30:H30"/>
    <mergeCell ref="A23:C23"/>
    <mergeCell ref="D23:H23"/>
    <mergeCell ref="A24:C24"/>
    <mergeCell ref="D24:H24"/>
    <mergeCell ref="A25:C25"/>
    <mergeCell ref="D25:H25"/>
    <mergeCell ref="A20:C20"/>
    <mergeCell ref="D20:H20"/>
    <mergeCell ref="A21:C21"/>
    <mergeCell ref="D21:H21"/>
    <mergeCell ref="A22:C22"/>
    <mergeCell ref="D22:H22"/>
    <mergeCell ref="A37:C37"/>
    <mergeCell ref="D37:H37"/>
    <mergeCell ref="A38:C38"/>
    <mergeCell ref="D38:H38"/>
    <mergeCell ref="WRP1:WSD1"/>
    <mergeCell ref="WSE1:WSS1"/>
    <mergeCell ref="WST1:WTH1"/>
    <mergeCell ref="WTI1:WTW1"/>
    <mergeCell ref="WTX1:WUL1"/>
    <mergeCell ref="WUM1:WVA1"/>
    <mergeCell ref="WOD1:WOR1"/>
    <mergeCell ref="WOS1:WPG1"/>
    <mergeCell ref="A17:C17"/>
    <mergeCell ref="D17:H17"/>
    <mergeCell ref="A18:C18"/>
    <mergeCell ref="D18:H18"/>
    <mergeCell ref="A19:C19"/>
    <mergeCell ref="D19:H19"/>
    <mergeCell ref="A14:C14"/>
    <mergeCell ref="D14:H14"/>
    <mergeCell ref="A15:C15"/>
    <mergeCell ref="D15:H15"/>
    <mergeCell ref="A16:C16"/>
    <mergeCell ref="D16:H16"/>
    <mergeCell ref="A11:C11"/>
    <mergeCell ref="D11:H11"/>
    <mergeCell ref="A12:C12"/>
    <mergeCell ref="D12:H12"/>
    <mergeCell ref="A13:C13"/>
    <mergeCell ref="D13:H13"/>
    <mergeCell ref="U7:AI7"/>
    <mergeCell ref="AD8:AH8"/>
    <mergeCell ref="U9:W9"/>
    <mergeCell ref="X9:AB9"/>
    <mergeCell ref="U10:W10"/>
    <mergeCell ref="X10:AB10"/>
    <mergeCell ref="XBZ1:XCN1"/>
    <mergeCell ref="XCO1:XDC1"/>
    <mergeCell ref="XDD1:XDR1"/>
    <mergeCell ref="XDS1:XEG1"/>
    <mergeCell ref="XEH1:XEV1"/>
    <mergeCell ref="XEW1:XEZ1"/>
    <mergeCell ref="WYN1:WZB1"/>
    <mergeCell ref="WZC1:WZQ1"/>
    <mergeCell ref="WZR1:XAF1"/>
    <mergeCell ref="XAG1:XAU1"/>
    <mergeCell ref="XAV1:XBJ1"/>
    <mergeCell ref="XBK1:XBY1"/>
    <mergeCell ref="WVB1:WVP1"/>
    <mergeCell ref="WVQ1:WWE1"/>
    <mergeCell ref="WWF1:WWT1"/>
    <mergeCell ref="WWU1:WXI1"/>
    <mergeCell ref="WXJ1:WXX1"/>
    <mergeCell ref="WXY1:WYM1"/>
    <mergeCell ref="WPH1:WPV1"/>
    <mergeCell ref="WPW1:WQK1"/>
    <mergeCell ref="WQL1:WQZ1"/>
    <mergeCell ref="WRA1:WRO1"/>
    <mergeCell ref="WKR1:WLF1"/>
    <mergeCell ref="WLG1:WLU1"/>
    <mergeCell ref="WLV1:WMJ1"/>
    <mergeCell ref="WMK1:WMY1"/>
    <mergeCell ref="WMZ1:WNN1"/>
    <mergeCell ref="WNO1:WOC1"/>
    <mergeCell ref="WHF1:WHT1"/>
    <mergeCell ref="WHU1:WII1"/>
    <mergeCell ref="WIJ1:WIX1"/>
    <mergeCell ref="WIY1:WJM1"/>
    <mergeCell ref="WJN1:WKB1"/>
    <mergeCell ref="WKC1:WKQ1"/>
    <mergeCell ref="WDT1:WEH1"/>
    <mergeCell ref="WEI1:WEW1"/>
    <mergeCell ref="WEX1:WFL1"/>
    <mergeCell ref="WFM1:WGA1"/>
    <mergeCell ref="WGB1:WGP1"/>
    <mergeCell ref="WGQ1:WHE1"/>
    <mergeCell ref="WAH1:WAV1"/>
    <mergeCell ref="WAW1:WBK1"/>
    <mergeCell ref="WBL1:WBZ1"/>
    <mergeCell ref="WCA1:WCO1"/>
    <mergeCell ref="WCP1:WDD1"/>
    <mergeCell ref="WDE1:WDS1"/>
    <mergeCell ref="VWV1:VXJ1"/>
    <mergeCell ref="VXK1:VXY1"/>
    <mergeCell ref="VXZ1:VYN1"/>
    <mergeCell ref="VYO1:VZC1"/>
    <mergeCell ref="VZD1:VZR1"/>
    <mergeCell ref="VZS1:WAG1"/>
    <mergeCell ref="VTJ1:VTX1"/>
    <mergeCell ref="VTY1:VUM1"/>
    <mergeCell ref="VUN1:VVB1"/>
    <mergeCell ref="VVC1:VVQ1"/>
    <mergeCell ref="VVR1:VWF1"/>
    <mergeCell ref="VWG1:VWU1"/>
    <mergeCell ref="VPX1:VQL1"/>
    <mergeCell ref="VQM1:VRA1"/>
    <mergeCell ref="VRB1:VRP1"/>
    <mergeCell ref="VRQ1:VSE1"/>
    <mergeCell ref="VSF1:VST1"/>
    <mergeCell ref="VSU1:VTI1"/>
    <mergeCell ref="VML1:VMZ1"/>
    <mergeCell ref="VNA1:VNO1"/>
    <mergeCell ref="VNP1:VOD1"/>
    <mergeCell ref="VOE1:VOS1"/>
    <mergeCell ref="VOT1:VPH1"/>
    <mergeCell ref="VPI1:VPW1"/>
    <mergeCell ref="VIZ1:VJN1"/>
    <mergeCell ref="VJO1:VKC1"/>
    <mergeCell ref="VKD1:VKR1"/>
    <mergeCell ref="VKS1:VLG1"/>
    <mergeCell ref="VLH1:VLV1"/>
    <mergeCell ref="VLW1:VMK1"/>
    <mergeCell ref="VFN1:VGB1"/>
    <mergeCell ref="VGC1:VGQ1"/>
    <mergeCell ref="VGR1:VHF1"/>
    <mergeCell ref="VHG1:VHU1"/>
    <mergeCell ref="VHV1:VIJ1"/>
    <mergeCell ref="VIK1:VIY1"/>
    <mergeCell ref="VCB1:VCP1"/>
    <mergeCell ref="VCQ1:VDE1"/>
    <mergeCell ref="VDF1:VDT1"/>
    <mergeCell ref="VDU1:VEI1"/>
    <mergeCell ref="VEJ1:VEX1"/>
    <mergeCell ref="VEY1:VFM1"/>
    <mergeCell ref="UYP1:UZD1"/>
    <mergeCell ref="UZE1:UZS1"/>
    <mergeCell ref="UZT1:VAH1"/>
    <mergeCell ref="VAI1:VAW1"/>
    <mergeCell ref="VAX1:VBL1"/>
    <mergeCell ref="VBM1:VCA1"/>
    <mergeCell ref="UVD1:UVR1"/>
    <mergeCell ref="UVS1:UWG1"/>
    <mergeCell ref="UWH1:UWV1"/>
    <mergeCell ref="UWW1:UXK1"/>
    <mergeCell ref="UXL1:UXZ1"/>
    <mergeCell ref="UYA1:UYO1"/>
    <mergeCell ref="URR1:USF1"/>
    <mergeCell ref="USG1:USU1"/>
    <mergeCell ref="USV1:UTJ1"/>
    <mergeCell ref="UTK1:UTY1"/>
    <mergeCell ref="UTZ1:UUN1"/>
    <mergeCell ref="UUO1:UVC1"/>
    <mergeCell ref="UOF1:UOT1"/>
    <mergeCell ref="UOU1:UPI1"/>
    <mergeCell ref="UPJ1:UPX1"/>
    <mergeCell ref="UPY1:UQM1"/>
    <mergeCell ref="UQN1:URB1"/>
    <mergeCell ref="URC1:URQ1"/>
    <mergeCell ref="UKT1:ULH1"/>
    <mergeCell ref="ULI1:ULW1"/>
    <mergeCell ref="ULX1:UML1"/>
    <mergeCell ref="UMM1:UNA1"/>
    <mergeCell ref="UNB1:UNP1"/>
    <mergeCell ref="UNQ1:UOE1"/>
    <mergeCell ref="UHH1:UHV1"/>
    <mergeCell ref="UHW1:UIK1"/>
    <mergeCell ref="UIL1:UIZ1"/>
    <mergeCell ref="UJA1:UJO1"/>
    <mergeCell ref="UJP1:UKD1"/>
    <mergeCell ref="UKE1:UKS1"/>
    <mergeCell ref="UDV1:UEJ1"/>
    <mergeCell ref="UEK1:UEY1"/>
    <mergeCell ref="UEZ1:UFN1"/>
    <mergeCell ref="UFO1:UGC1"/>
    <mergeCell ref="UGD1:UGR1"/>
    <mergeCell ref="UGS1:UHG1"/>
    <mergeCell ref="UAJ1:UAX1"/>
    <mergeCell ref="UAY1:UBM1"/>
    <mergeCell ref="UBN1:UCB1"/>
    <mergeCell ref="UCC1:UCQ1"/>
    <mergeCell ref="UCR1:UDF1"/>
    <mergeCell ref="UDG1:UDU1"/>
    <mergeCell ref="TWX1:TXL1"/>
    <mergeCell ref="TXM1:TYA1"/>
    <mergeCell ref="TYB1:TYP1"/>
    <mergeCell ref="TYQ1:TZE1"/>
    <mergeCell ref="TZF1:TZT1"/>
    <mergeCell ref="TZU1:UAI1"/>
    <mergeCell ref="TTL1:TTZ1"/>
    <mergeCell ref="TUA1:TUO1"/>
    <mergeCell ref="TUP1:TVD1"/>
    <mergeCell ref="TVE1:TVS1"/>
    <mergeCell ref="TVT1:TWH1"/>
    <mergeCell ref="TWI1:TWW1"/>
    <mergeCell ref="TPZ1:TQN1"/>
    <mergeCell ref="TQO1:TRC1"/>
    <mergeCell ref="TRD1:TRR1"/>
    <mergeCell ref="TRS1:TSG1"/>
    <mergeCell ref="TSH1:TSV1"/>
    <mergeCell ref="TSW1:TTK1"/>
    <mergeCell ref="TMN1:TNB1"/>
    <mergeCell ref="TNC1:TNQ1"/>
    <mergeCell ref="TNR1:TOF1"/>
    <mergeCell ref="TOG1:TOU1"/>
    <mergeCell ref="TOV1:TPJ1"/>
    <mergeCell ref="TPK1:TPY1"/>
    <mergeCell ref="TJB1:TJP1"/>
    <mergeCell ref="TJQ1:TKE1"/>
    <mergeCell ref="TKF1:TKT1"/>
    <mergeCell ref="TKU1:TLI1"/>
    <mergeCell ref="TLJ1:TLX1"/>
    <mergeCell ref="TLY1:TMM1"/>
    <mergeCell ref="TFP1:TGD1"/>
    <mergeCell ref="TGE1:TGS1"/>
    <mergeCell ref="TGT1:THH1"/>
    <mergeCell ref="THI1:THW1"/>
    <mergeCell ref="THX1:TIL1"/>
    <mergeCell ref="TIM1:TJA1"/>
    <mergeCell ref="TCD1:TCR1"/>
    <mergeCell ref="TCS1:TDG1"/>
    <mergeCell ref="TDH1:TDV1"/>
    <mergeCell ref="TDW1:TEK1"/>
    <mergeCell ref="TEL1:TEZ1"/>
    <mergeCell ref="TFA1:TFO1"/>
    <mergeCell ref="SYR1:SZF1"/>
    <mergeCell ref="SZG1:SZU1"/>
    <mergeCell ref="SZV1:TAJ1"/>
    <mergeCell ref="TAK1:TAY1"/>
    <mergeCell ref="TAZ1:TBN1"/>
    <mergeCell ref="TBO1:TCC1"/>
    <mergeCell ref="SVF1:SVT1"/>
    <mergeCell ref="SVU1:SWI1"/>
    <mergeCell ref="SWJ1:SWX1"/>
    <mergeCell ref="SWY1:SXM1"/>
    <mergeCell ref="SXN1:SYB1"/>
    <mergeCell ref="SYC1:SYQ1"/>
    <mergeCell ref="SRT1:SSH1"/>
    <mergeCell ref="SSI1:SSW1"/>
    <mergeCell ref="SSX1:STL1"/>
    <mergeCell ref="STM1:SUA1"/>
    <mergeCell ref="SUB1:SUP1"/>
    <mergeCell ref="SUQ1:SVE1"/>
    <mergeCell ref="SOH1:SOV1"/>
    <mergeCell ref="SOW1:SPK1"/>
    <mergeCell ref="SPL1:SPZ1"/>
    <mergeCell ref="SQA1:SQO1"/>
    <mergeCell ref="SQP1:SRD1"/>
    <mergeCell ref="SRE1:SRS1"/>
    <mergeCell ref="SKV1:SLJ1"/>
    <mergeCell ref="SLK1:SLY1"/>
    <mergeCell ref="SLZ1:SMN1"/>
    <mergeCell ref="SMO1:SNC1"/>
    <mergeCell ref="SND1:SNR1"/>
    <mergeCell ref="SNS1:SOG1"/>
    <mergeCell ref="SHJ1:SHX1"/>
    <mergeCell ref="SHY1:SIM1"/>
    <mergeCell ref="SIN1:SJB1"/>
    <mergeCell ref="SJC1:SJQ1"/>
    <mergeCell ref="SJR1:SKF1"/>
    <mergeCell ref="SKG1:SKU1"/>
    <mergeCell ref="SDX1:SEL1"/>
    <mergeCell ref="SEM1:SFA1"/>
    <mergeCell ref="SFB1:SFP1"/>
    <mergeCell ref="SFQ1:SGE1"/>
    <mergeCell ref="SGF1:SGT1"/>
    <mergeCell ref="SGU1:SHI1"/>
    <mergeCell ref="SAL1:SAZ1"/>
    <mergeCell ref="SBA1:SBO1"/>
    <mergeCell ref="SBP1:SCD1"/>
    <mergeCell ref="SCE1:SCS1"/>
    <mergeCell ref="SCT1:SDH1"/>
    <mergeCell ref="SDI1:SDW1"/>
    <mergeCell ref="RWZ1:RXN1"/>
    <mergeCell ref="RXO1:RYC1"/>
    <mergeCell ref="RYD1:RYR1"/>
    <mergeCell ref="RYS1:RZG1"/>
    <mergeCell ref="RZH1:RZV1"/>
    <mergeCell ref="RZW1:SAK1"/>
    <mergeCell ref="RTN1:RUB1"/>
    <mergeCell ref="RUC1:RUQ1"/>
    <mergeCell ref="RUR1:RVF1"/>
    <mergeCell ref="RVG1:RVU1"/>
    <mergeCell ref="RVV1:RWJ1"/>
    <mergeCell ref="RWK1:RWY1"/>
    <mergeCell ref="RQB1:RQP1"/>
    <mergeCell ref="RQQ1:RRE1"/>
    <mergeCell ref="RRF1:RRT1"/>
    <mergeCell ref="RRU1:RSI1"/>
    <mergeCell ref="RSJ1:RSX1"/>
    <mergeCell ref="RSY1:RTM1"/>
    <mergeCell ref="RMP1:RND1"/>
    <mergeCell ref="RNE1:RNS1"/>
    <mergeCell ref="RNT1:ROH1"/>
    <mergeCell ref="ROI1:ROW1"/>
    <mergeCell ref="ROX1:RPL1"/>
    <mergeCell ref="RPM1:RQA1"/>
    <mergeCell ref="RJD1:RJR1"/>
    <mergeCell ref="RJS1:RKG1"/>
    <mergeCell ref="RKH1:RKV1"/>
    <mergeCell ref="RKW1:RLK1"/>
    <mergeCell ref="RLL1:RLZ1"/>
    <mergeCell ref="RMA1:RMO1"/>
    <mergeCell ref="RFR1:RGF1"/>
    <mergeCell ref="RGG1:RGU1"/>
    <mergeCell ref="RGV1:RHJ1"/>
    <mergeCell ref="RHK1:RHY1"/>
    <mergeCell ref="RHZ1:RIN1"/>
    <mergeCell ref="RIO1:RJC1"/>
    <mergeCell ref="RCF1:RCT1"/>
    <mergeCell ref="RCU1:RDI1"/>
    <mergeCell ref="RDJ1:RDX1"/>
    <mergeCell ref="RDY1:REM1"/>
    <mergeCell ref="REN1:RFB1"/>
    <mergeCell ref="RFC1:RFQ1"/>
    <mergeCell ref="QYT1:QZH1"/>
    <mergeCell ref="QZI1:QZW1"/>
    <mergeCell ref="QZX1:RAL1"/>
    <mergeCell ref="RAM1:RBA1"/>
    <mergeCell ref="RBB1:RBP1"/>
    <mergeCell ref="RBQ1:RCE1"/>
    <mergeCell ref="QVH1:QVV1"/>
    <mergeCell ref="QVW1:QWK1"/>
    <mergeCell ref="QWL1:QWZ1"/>
    <mergeCell ref="QXA1:QXO1"/>
    <mergeCell ref="QXP1:QYD1"/>
    <mergeCell ref="QYE1:QYS1"/>
    <mergeCell ref="QRV1:QSJ1"/>
    <mergeCell ref="QSK1:QSY1"/>
    <mergeCell ref="QSZ1:QTN1"/>
    <mergeCell ref="QTO1:QUC1"/>
    <mergeCell ref="QUD1:QUR1"/>
    <mergeCell ref="QUS1:QVG1"/>
    <mergeCell ref="QOJ1:QOX1"/>
    <mergeCell ref="QOY1:QPM1"/>
    <mergeCell ref="QPN1:QQB1"/>
    <mergeCell ref="QQC1:QQQ1"/>
    <mergeCell ref="QQR1:QRF1"/>
    <mergeCell ref="QRG1:QRU1"/>
    <mergeCell ref="QKX1:QLL1"/>
    <mergeCell ref="QLM1:QMA1"/>
    <mergeCell ref="QMB1:QMP1"/>
    <mergeCell ref="QMQ1:QNE1"/>
    <mergeCell ref="QNF1:QNT1"/>
    <mergeCell ref="QNU1:QOI1"/>
    <mergeCell ref="QHL1:QHZ1"/>
    <mergeCell ref="QIA1:QIO1"/>
    <mergeCell ref="QIP1:QJD1"/>
    <mergeCell ref="QJE1:QJS1"/>
    <mergeCell ref="QJT1:QKH1"/>
    <mergeCell ref="QKI1:QKW1"/>
    <mergeCell ref="QDZ1:QEN1"/>
    <mergeCell ref="QEO1:QFC1"/>
    <mergeCell ref="QFD1:QFR1"/>
    <mergeCell ref="QFS1:QGG1"/>
    <mergeCell ref="QGH1:QGV1"/>
    <mergeCell ref="QGW1:QHK1"/>
    <mergeCell ref="QAN1:QBB1"/>
    <mergeCell ref="QBC1:QBQ1"/>
    <mergeCell ref="QBR1:QCF1"/>
    <mergeCell ref="QCG1:QCU1"/>
    <mergeCell ref="QCV1:QDJ1"/>
    <mergeCell ref="QDK1:QDY1"/>
    <mergeCell ref="PXB1:PXP1"/>
    <mergeCell ref="PXQ1:PYE1"/>
    <mergeCell ref="PYF1:PYT1"/>
    <mergeCell ref="PYU1:PZI1"/>
    <mergeCell ref="PZJ1:PZX1"/>
    <mergeCell ref="PZY1:QAM1"/>
    <mergeCell ref="PTP1:PUD1"/>
    <mergeCell ref="PUE1:PUS1"/>
    <mergeCell ref="PUT1:PVH1"/>
    <mergeCell ref="PVI1:PVW1"/>
    <mergeCell ref="PVX1:PWL1"/>
    <mergeCell ref="PWM1:PXA1"/>
    <mergeCell ref="PQD1:PQR1"/>
    <mergeCell ref="PQS1:PRG1"/>
    <mergeCell ref="PRH1:PRV1"/>
    <mergeCell ref="PRW1:PSK1"/>
    <mergeCell ref="PSL1:PSZ1"/>
    <mergeCell ref="PTA1:PTO1"/>
    <mergeCell ref="PMR1:PNF1"/>
    <mergeCell ref="PNG1:PNU1"/>
    <mergeCell ref="PNV1:POJ1"/>
    <mergeCell ref="POK1:POY1"/>
    <mergeCell ref="POZ1:PPN1"/>
    <mergeCell ref="PPO1:PQC1"/>
    <mergeCell ref="PJF1:PJT1"/>
    <mergeCell ref="PJU1:PKI1"/>
    <mergeCell ref="PKJ1:PKX1"/>
    <mergeCell ref="PKY1:PLM1"/>
    <mergeCell ref="PLN1:PMB1"/>
    <mergeCell ref="PMC1:PMQ1"/>
    <mergeCell ref="PFT1:PGH1"/>
    <mergeCell ref="PGI1:PGW1"/>
    <mergeCell ref="PGX1:PHL1"/>
    <mergeCell ref="PHM1:PIA1"/>
    <mergeCell ref="PIB1:PIP1"/>
    <mergeCell ref="PIQ1:PJE1"/>
    <mergeCell ref="PCH1:PCV1"/>
    <mergeCell ref="PCW1:PDK1"/>
    <mergeCell ref="PDL1:PDZ1"/>
    <mergeCell ref="PEA1:PEO1"/>
    <mergeCell ref="PEP1:PFD1"/>
    <mergeCell ref="PFE1:PFS1"/>
    <mergeCell ref="OYV1:OZJ1"/>
    <mergeCell ref="OZK1:OZY1"/>
    <mergeCell ref="OZZ1:PAN1"/>
    <mergeCell ref="PAO1:PBC1"/>
    <mergeCell ref="PBD1:PBR1"/>
    <mergeCell ref="PBS1:PCG1"/>
    <mergeCell ref="OVJ1:OVX1"/>
    <mergeCell ref="OVY1:OWM1"/>
    <mergeCell ref="OWN1:OXB1"/>
    <mergeCell ref="OXC1:OXQ1"/>
    <mergeCell ref="OXR1:OYF1"/>
    <mergeCell ref="OYG1:OYU1"/>
    <mergeCell ref="ORX1:OSL1"/>
    <mergeCell ref="OSM1:OTA1"/>
    <mergeCell ref="OTB1:OTP1"/>
    <mergeCell ref="OTQ1:OUE1"/>
    <mergeCell ref="OUF1:OUT1"/>
    <mergeCell ref="OUU1:OVI1"/>
    <mergeCell ref="OOL1:OOZ1"/>
    <mergeCell ref="OPA1:OPO1"/>
    <mergeCell ref="OPP1:OQD1"/>
    <mergeCell ref="OQE1:OQS1"/>
    <mergeCell ref="OQT1:ORH1"/>
    <mergeCell ref="ORI1:ORW1"/>
    <mergeCell ref="OKZ1:OLN1"/>
    <mergeCell ref="OLO1:OMC1"/>
    <mergeCell ref="OMD1:OMR1"/>
    <mergeCell ref="OMS1:ONG1"/>
    <mergeCell ref="ONH1:ONV1"/>
    <mergeCell ref="ONW1:OOK1"/>
    <mergeCell ref="OHN1:OIB1"/>
    <mergeCell ref="OIC1:OIQ1"/>
    <mergeCell ref="OIR1:OJF1"/>
    <mergeCell ref="OJG1:OJU1"/>
    <mergeCell ref="OJV1:OKJ1"/>
    <mergeCell ref="OKK1:OKY1"/>
    <mergeCell ref="OEB1:OEP1"/>
    <mergeCell ref="OEQ1:OFE1"/>
    <mergeCell ref="OFF1:OFT1"/>
    <mergeCell ref="OFU1:OGI1"/>
    <mergeCell ref="OGJ1:OGX1"/>
    <mergeCell ref="OGY1:OHM1"/>
    <mergeCell ref="OAP1:OBD1"/>
    <mergeCell ref="OBE1:OBS1"/>
    <mergeCell ref="OBT1:OCH1"/>
    <mergeCell ref="OCI1:OCW1"/>
    <mergeCell ref="OCX1:ODL1"/>
    <mergeCell ref="ODM1:OEA1"/>
    <mergeCell ref="NXD1:NXR1"/>
    <mergeCell ref="NXS1:NYG1"/>
    <mergeCell ref="NYH1:NYV1"/>
    <mergeCell ref="NYW1:NZK1"/>
    <mergeCell ref="NZL1:NZZ1"/>
    <mergeCell ref="OAA1:OAO1"/>
    <mergeCell ref="NTR1:NUF1"/>
    <mergeCell ref="NUG1:NUU1"/>
    <mergeCell ref="NUV1:NVJ1"/>
    <mergeCell ref="NVK1:NVY1"/>
    <mergeCell ref="NVZ1:NWN1"/>
    <mergeCell ref="NWO1:NXC1"/>
    <mergeCell ref="NQF1:NQT1"/>
    <mergeCell ref="NQU1:NRI1"/>
    <mergeCell ref="NRJ1:NRX1"/>
    <mergeCell ref="NRY1:NSM1"/>
    <mergeCell ref="NSN1:NTB1"/>
    <mergeCell ref="NTC1:NTQ1"/>
    <mergeCell ref="NMT1:NNH1"/>
    <mergeCell ref="NNI1:NNW1"/>
    <mergeCell ref="NNX1:NOL1"/>
    <mergeCell ref="NOM1:NPA1"/>
    <mergeCell ref="NPB1:NPP1"/>
    <mergeCell ref="NPQ1:NQE1"/>
    <mergeCell ref="NJH1:NJV1"/>
    <mergeCell ref="NJW1:NKK1"/>
    <mergeCell ref="NKL1:NKZ1"/>
    <mergeCell ref="NLA1:NLO1"/>
    <mergeCell ref="NLP1:NMD1"/>
    <mergeCell ref="NME1:NMS1"/>
    <mergeCell ref="NFV1:NGJ1"/>
    <mergeCell ref="NGK1:NGY1"/>
    <mergeCell ref="NGZ1:NHN1"/>
    <mergeCell ref="NHO1:NIC1"/>
    <mergeCell ref="NID1:NIR1"/>
    <mergeCell ref="NIS1:NJG1"/>
    <mergeCell ref="NCJ1:NCX1"/>
    <mergeCell ref="NCY1:NDM1"/>
    <mergeCell ref="NDN1:NEB1"/>
    <mergeCell ref="NEC1:NEQ1"/>
    <mergeCell ref="NER1:NFF1"/>
    <mergeCell ref="NFG1:NFU1"/>
    <mergeCell ref="MYX1:MZL1"/>
    <mergeCell ref="MZM1:NAA1"/>
    <mergeCell ref="NAB1:NAP1"/>
    <mergeCell ref="NAQ1:NBE1"/>
    <mergeCell ref="NBF1:NBT1"/>
    <mergeCell ref="NBU1:NCI1"/>
    <mergeCell ref="MVL1:MVZ1"/>
    <mergeCell ref="MWA1:MWO1"/>
    <mergeCell ref="MWP1:MXD1"/>
    <mergeCell ref="MXE1:MXS1"/>
    <mergeCell ref="MXT1:MYH1"/>
    <mergeCell ref="MYI1:MYW1"/>
    <mergeCell ref="MRZ1:MSN1"/>
    <mergeCell ref="MSO1:MTC1"/>
    <mergeCell ref="MTD1:MTR1"/>
    <mergeCell ref="MTS1:MUG1"/>
    <mergeCell ref="MUH1:MUV1"/>
    <mergeCell ref="MUW1:MVK1"/>
    <mergeCell ref="MON1:MPB1"/>
    <mergeCell ref="MPC1:MPQ1"/>
    <mergeCell ref="MPR1:MQF1"/>
    <mergeCell ref="MQG1:MQU1"/>
    <mergeCell ref="MQV1:MRJ1"/>
    <mergeCell ref="MRK1:MRY1"/>
    <mergeCell ref="MLB1:MLP1"/>
    <mergeCell ref="MLQ1:MME1"/>
    <mergeCell ref="MMF1:MMT1"/>
    <mergeCell ref="MMU1:MNI1"/>
    <mergeCell ref="MNJ1:MNX1"/>
    <mergeCell ref="MNY1:MOM1"/>
    <mergeCell ref="MHP1:MID1"/>
    <mergeCell ref="MIE1:MIS1"/>
    <mergeCell ref="MIT1:MJH1"/>
    <mergeCell ref="MJI1:MJW1"/>
    <mergeCell ref="MJX1:MKL1"/>
    <mergeCell ref="MKM1:MLA1"/>
    <mergeCell ref="MED1:MER1"/>
    <mergeCell ref="MES1:MFG1"/>
    <mergeCell ref="MFH1:MFV1"/>
    <mergeCell ref="MFW1:MGK1"/>
    <mergeCell ref="MGL1:MGZ1"/>
    <mergeCell ref="MHA1:MHO1"/>
    <mergeCell ref="MAR1:MBF1"/>
    <mergeCell ref="MBG1:MBU1"/>
    <mergeCell ref="MBV1:MCJ1"/>
    <mergeCell ref="MCK1:MCY1"/>
    <mergeCell ref="MCZ1:MDN1"/>
    <mergeCell ref="MDO1:MEC1"/>
    <mergeCell ref="LXF1:LXT1"/>
    <mergeCell ref="LXU1:LYI1"/>
    <mergeCell ref="LYJ1:LYX1"/>
    <mergeCell ref="LYY1:LZM1"/>
    <mergeCell ref="LZN1:MAB1"/>
    <mergeCell ref="MAC1:MAQ1"/>
    <mergeCell ref="LTT1:LUH1"/>
    <mergeCell ref="LUI1:LUW1"/>
    <mergeCell ref="LUX1:LVL1"/>
    <mergeCell ref="LVM1:LWA1"/>
    <mergeCell ref="LWB1:LWP1"/>
    <mergeCell ref="LWQ1:LXE1"/>
    <mergeCell ref="LQH1:LQV1"/>
    <mergeCell ref="LQW1:LRK1"/>
    <mergeCell ref="LRL1:LRZ1"/>
    <mergeCell ref="LSA1:LSO1"/>
    <mergeCell ref="LSP1:LTD1"/>
    <mergeCell ref="LTE1:LTS1"/>
    <mergeCell ref="LMV1:LNJ1"/>
    <mergeCell ref="LNK1:LNY1"/>
    <mergeCell ref="LNZ1:LON1"/>
    <mergeCell ref="LOO1:LPC1"/>
    <mergeCell ref="LPD1:LPR1"/>
    <mergeCell ref="LPS1:LQG1"/>
    <mergeCell ref="LJJ1:LJX1"/>
    <mergeCell ref="LJY1:LKM1"/>
    <mergeCell ref="LKN1:LLB1"/>
    <mergeCell ref="LLC1:LLQ1"/>
    <mergeCell ref="LLR1:LMF1"/>
    <mergeCell ref="LMG1:LMU1"/>
    <mergeCell ref="LFX1:LGL1"/>
    <mergeCell ref="LGM1:LHA1"/>
    <mergeCell ref="LHB1:LHP1"/>
    <mergeCell ref="LHQ1:LIE1"/>
    <mergeCell ref="LIF1:LIT1"/>
    <mergeCell ref="LIU1:LJI1"/>
    <mergeCell ref="LCL1:LCZ1"/>
    <mergeCell ref="LDA1:LDO1"/>
    <mergeCell ref="LDP1:LED1"/>
    <mergeCell ref="LEE1:LES1"/>
    <mergeCell ref="LET1:LFH1"/>
    <mergeCell ref="LFI1:LFW1"/>
    <mergeCell ref="KYZ1:KZN1"/>
    <mergeCell ref="KZO1:LAC1"/>
    <mergeCell ref="LAD1:LAR1"/>
    <mergeCell ref="LAS1:LBG1"/>
    <mergeCell ref="LBH1:LBV1"/>
    <mergeCell ref="LBW1:LCK1"/>
    <mergeCell ref="KVN1:KWB1"/>
    <mergeCell ref="KWC1:KWQ1"/>
    <mergeCell ref="KWR1:KXF1"/>
    <mergeCell ref="KXG1:KXU1"/>
    <mergeCell ref="KXV1:KYJ1"/>
    <mergeCell ref="KYK1:KYY1"/>
    <mergeCell ref="KSB1:KSP1"/>
    <mergeCell ref="KSQ1:KTE1"/>
    <mergeCell ref="KTF1:KTT1"/>
    <mergeCell ref="KTU1:KUI1"/>
    <mergeCell ref="KUJ1:KUX1"/>
    <mergeCell ref="KUY1:KVM1"/>
    <mergeCell ref="KOP1:KPD1"/>
    <mergeCell ref="KPE1:KPS1"/>
    <mergeCell ref="KPT1:KQH1"/>
    <mergeCell ref="KQI1:KQW1"/>
    <mergeCell ref="KQX1:KRL1"/>
    <mergeCell ref="KRM1:KSA1"/>
    <mergeCell ref="KLD1:KLR1"/>
    <mergeCell ref="KLS1:KMG1"/>
    <mergeCell ref="KMH1:KMV1"/>
    <mergeCell ref="KMW1:KNK1"/>
    <mergeCell ref="KNL1:KNZ1"/>
    <mergeCell ref="KOA1:KOO1"/>
    <mergeCell ref="KHR1:KIF1"/>
    <mergeCell ref="KIG1:KIU1"/>
    <mergeCell ref="KIV1:KJJ1"/>
    <mergeCell ref="KJK1:KJY1"/>
    <mergeCell ref="KJZ1:KKN1"/>
    <mergeCell ref="KKO1:KLC1"/>
    <mergeCell ref="KEF1:KET1"/>
    <mergeCell ref="KEU1:KFI1"/>
    <mergeCell ref="KFJ1:KFX1"/>
    <mergeCell ref="KFY1:KGM1"/>
    <mergeCell ref="KGN1:KHB1"/>
    <mergeCell ref="KHC1:KHQ1"/>
    <mergeCell ref="KAT1:KBH1"/>
    <mergeCell ref="KBI1:KBW1"/>
    <mergeCell ref="KBX1:KCL1"/>
    <mergeCell ref="KCM1:KDA1"/>
    <mergeCell ref="KDB1:KDP1"/>
    <mergeCell ref="KDQ1:KEE1"/>
    <mergeCell ref="JXH1:JXV1"/>
    <mergeCell ref="JXW1:JYK1"/>
    <mergeCell ref="JYL1:JYZ1"/>
    <mergeCell ref="JZA1:JZO1"/>
    <mergeCell ref="JZP1:KAD1"/>
    <mergeCell ref="KAE1:KAS1"/>
    <mergeCell ref="JTV1:JUJ1"/>
    <mergeCell ref="JUK1:JUY1"/>
    <mergeCell ref="JUZ1:JVN1"/>
    <mergeCell ref="JVO1:JWC1"/>
    <mergeCell ref="JWD1:JWR1"/>
    <mergeCell ref="JWS1:JXG1"/>
    <mergeCell ref="JQJ1:JQX1"/>
    <mergeCell ref="JQY1:JRM1"/>
    <mergeCell ref="JRN1:JSB1"/>
    <mergeCell ref="JSC1:JSQ1"/>
    <mergeCell ref="JSR1:JTF1"/>
    <mergeCell ref="JTG1:JTU1"/>
    <mergeCell ref="JMX1:JNL1"/>
    <mergeCell ref="JNM1:JOA1"/>
    <mergeCell ref="JOB1:JOP1"/>
    <mergeCell ref="JOQ1:JPE1"/>
    <mergeCell ref="JPF1:JPT1"/>
    <mergeCell ref="JPU1:JQI1"/>
    <mergeCell ref="JJL1:JJZ1"/>
    <mergeCell ref="JKA1:JKO1"/>
    <mergeCell ref="JKP1:JLD1"/>
    <mergeCell ref="JLE1:JLS1"/>
    <mergeCell ref="JLT1:JMH1"/>
    <mergeCell ref="JMI1:JMW1"/>
    <mergeCell ref="JFZ1:JGN1"/>
    <mergeCell ref="JGO1:JHC1"/>
    <mergeCell ref="JHD1:JHR1"/>
    <mergeCell ref="JHS1:JIG1"/>
    <mergeCell ref="JIH1:JIV1"/>
    <mergeCell ref="JIW1:JJK1"/>
    <mergeCell ref="JCN1:JDB1"/>
    <mergeCell ref="JDC1:JDQ1"/>
    <mergeCell ref="JDR1:JEF1"/>
    <mergeCell ref="JEG1:JEU1"/>
    <mergeCell ref="JEV1:JFJ1"/>
    <mergeCell ref="JFK1:JFY1"/>
    <mergeCell ref="IZB1:IZP1"/>
    <mergeCell ref="IZQ1:JAE1"/>
    <mergeCell ref="JAF1:JAT1"/>
    <mergeCell ref="JAU1:JBI1"/>
    <mergeCell ref="JBJ1:JBX1"/>
    <mergeCell ref="JBY1:JCM1"/>
    <mergeCell ref="IVP1:IWD1"/>
    <mergeCell ref="IWE1:IWS1"/>
    <mergeCell ref="IWT1:IXH1"/>
    <mergeCell ref="IXI1:IXW1"/>
    <mergeCell ref="IXX1:IYL1"/>
    <mergeCell ref="IYM1:IZA1"/>
    <mergeCell ref="ISD1:ISR1"/>
    <mergeCell ref="ISS1:ITG1"/>
    <mergeCell ref="ITH1:ITV1"/>
    <mergeCell ref="ITW1:IUK1"/>
    <mergeCell ref="IUL1:IUZ1"/>
    <mergeCell ref="IVA1:IVO1"/>
    <mergeCell ref="IOR1:IPF1"/>
    <mergeCell ref="IPG1:IPU1"/>
    <mergeCell ref="IPV1:IQJ1"/>
    <mergeCell ref="IQK1:IQY1"/>
    <mergeCell ref="IQZ1:IRN1"/>
    <mergeCell ref="IRO1:ISC1"/>
    <mergeCell ref="ILF1:ILT1"/>
    <mergeCell ref="ILU1:IMI1"/>
    <mergeCell ref="IMJ1:IMX1"/>
    <mergeCell ref="IMY1:INM1"/>
    <mergeCell ref="INN1:IOB1"/>
    <mergeCell ref="IOC1:IOQ1"/>
    <mergeCell ref="IHT1:IIH1"/>
    <mergeCell ref="III1:IIW1"/>
    <mergeCell ref="IIX1:IJL1"/>
    <mergeCell ref="IJM1:IKA1"/>
    <mergeCell ref="IKB1:IKP1"/>
    <mergeCell ref="IKQ1:ILE1"/>
    <mergeCell ref="IEH1:IEV1"/>
    <mergeCell ref="IEW1:IFK1"/>
    <mergeCell ref="IFL1:IFZ1"/>
    <mergeCell ref="IGA1:IGO1"/>
    <mergeCell ref="IGP1:IHD1"/>
    <mergeCell ref="IHE1:IHS1"/>
    <mergeCell ref="IAV1:IBJ1"/>
    <mergeCell ref="IBK1:IBY1"/>
    <mergeCell ref="IBZ1:ICN1"/>
    <mergeCell ref="ICO1:IDC1"/>
    <mergeCell ref="IDD1:IDR1"/>
    <mergeCell ref="IDS1:IEG1"/>
    <mergeCell ref="HXJ1:HXX1"/>
    <mergeCell ref="HXY1:HYM1"/>
    <mergeCell ref="HYN1:HZB1"/>
    <mergeCell ref="HZC1:HZQ1"/>
    <mergeCell ref="HZR1:IAF1"/>
    <mergeCell ref="IAG1:IAU1"/>
    <mergeCell ref="HTX1:HUL1"/>
    <mergeCell ref="HUM1:HVA1"/>
    <mergeCell ref="HVB1:HVP1"/>
    <mergeCell ref="HVQ1:HWE1"/>
    <mergeCell ref="HWF1:HWT1"/>
    <mergeCell ref="HWU1:HXI1"/>
    <mergeCell ref="HQL1:HQZ1"/>
    <mergeCell ref="HRA1:HRO1"/>
    <mergeCell ref="HRP1:HSD1"/>
    <mergeCell ref="HSE1:HSS1"/>
    <mergeCell ref="HST1:HTH1"/>
    <mergeCell ref="HTI1:HTW1"/>
    <mergeCell ref="HMZ1:HNN1"/>
    <mergeCell ref="HNO1:HOC1"/>
    <mergeCell ref="HOD1:HOR1"/>
    <mergeCell ref="HOS1:HPG1"/>
    <mergeCell ref="HPH1:HPV1"/>
    <mergeCell ref="HPW1:HQK1"/>
    <mergeCell ref="HJN1:HKB1"/>
    <mergeCell ref="HKC1:HKQ1"/>
    <mergeCell ref="HKR1:HLF1"/>
    <mergeCell ref="HLG1:HLU1"/>
    <mergeCell ref="HLV1:HMJ1"/>
    <mergeCell ref="HMK1:HMY1"/>
    <mergeCell ref="HGB1:HGP1"/>
    <mergeCell ref="HGQ1:HHE1"/>
    <mergeCell ref="HHF1:HHT1"/>
    <mergeCell ref="HHU1:HII1"/>
    <mergeCell ref="HIJ1:HIX1"/>
    <mergeCell ref="HIY1:HJM1"/>
    <mergeCell ref="HCP1:HDD1"/>
    <mergeCell ref="HDE1:HDS1"/>
    <mergeCell ref="HDT1:HEH1"/>
    <mergeCell ref="HEI1:HEW1"/>
    <mergeCell ref="HEX1:HFL1"/>
    <mergeCell ref="HFM1:HGA1"/>
    <mergeCell ref="GZD1:GZR1"/>
    <mergeCell ref="GZS1:HAG1"/>
    <mergeCell ref="HAH1:HAV1"/>
    <mergeCell ref="HAW1:HBK1"/>
    <mergeCell ref="HBL1:HBZ1"/>
    <mergeCell ref="HCA1:HCO1"/>
    <mergeCell ref="GVR1:GWF1"/>
    <mergeCell ref="GWG1:GWU1"/>
    <mergeCell ref="GWV1:GXJ1"/>
    <mergeCell ref="GXK1:GXY1"/>
    <mergeCell ref="GXZ1:GYN1"/>
    <mergeCell ref="GYO1:GZC1"/>
    <mergeCell ref="GSF1:GST1"/>
    <mergeCell ref="GSU1:GTI1"/>
    <mergeCell ref="GTJ1:GTX1"/>
    <mergeCell ref="GTY1:GUM1"/>
    <mergeCell ref="GUN1:GVB1"/>
    <mergeCell ref="GVC1:GVQ1"/>
    <mergeCell ref="GOT1:GPH1"/>
    <mergeCell ref="GPI1:GPW1"/>
    <mergeCell ref="GPX1:GQL1"/>
    <mergeCell ref="GQM1:GRA1"/>
    <mergeCell ref="GRB1:GRP1"/>
    <mergeCell ref="GRQ1:GSE1"/>
    <mergeCell ref="GLH1:GLV1"/>
    <mergeCell ref="GLW1:GMK1"/>
    <mergeCell ref="GML1:GMZ1"/>
    <mergeCell ref="GNA1:GNO1"/>
    <mergeCell ref="GNP1:GOD1"/>
    <mergeCell ref="GOE1:GOS1"/>
    <mergeCell ref="GHV1:GIJ1"/>
    <mergeCell ref="GIK1:GIY1"/>
    <mergeCell ref="GIZ1:GJN1"/>
    <mergeCell ref="GJO1:GKC1"/>
    <mergeCell ref="GKD1:GKR1"/>
    <mergeCell ref="GKS1:GLG1"/>
    <mergeCell ref="GEJ1:GEX1"/>
    <mergeCell ref="GEY1:GFM1"/>
    <mergeCell ref="GFN1:GGB1"/>
    <mergeCell ref="GGC1:GGQ1"/>
    <mergeCell ref="GGR1:GHF1"/>
    <mergeCell ref="GHG1:GHU1"/>
    <mergeCell ref="GAX1:GBL1"/>
    <mergeCell ref="GBM1:GCA1"/>
    <mergeCell ref="GCB1:GCP1"/>
    <mergeCell ref="GCQ1:GDE1"/>
    <mergeCell ref="GDF1:GDT1"/>
    <mergeCell ref="GDU1:GEI1"/>
    <mergeCell ref="FXL1:FXZ1"/>
    <mergeCell ref="FYA1:FYO1"/>
    <mergeCell ref="FYP1:FZD1"/>
    <mergeCell ref="FZE1:FZS1"/>
    <mergeCell ref="FZT1:GAH1"/>
    <mergeCell ref="GAI1:GAW1"/>
    <mergeCell ref="FTZ1:FUN1"/>
    <mergeCell ref="FUO1:FVC1"/>
    <mergeCell ref="FVD1:FVR1"/>
    <mergeCell ref="FVS1:FWG1"/>
    <mergeCell ref="FWH1:FWV1"/>
    <mergeCell ref="FWW1:FXK1"/>
    <mergeCell ref="FQN1:FRB1"/>
    <mergeCell ref="FRC1:FRQ1"/>
    <mergeCell ref="FRR1:FSF1"/>
    <mergeCell ref="FSG1:FSU1"/>
    <mergeCell ref="FSV1:FTJ1"/>
    <mergeCell ref="FTK1:FTY1"/>
    <mergeCell ref="FNB1:FNP1"/>
    <mergeCell ref="FNQ1:FOE1"/>
    <mergeCell ref="FOF1:FOT1"/>
    <mergeCell ref="FOU1:FPI1"/>
    <mergeCell ref="FPJ1:FPX1"/>
    <mergeCell ref="FPY1:FQM1"/>
    <mergeCell ref="FJP1:FKD1"/>
    <mergeCell ref="FKE1:FKS1"/>
    <mergeCell ref="FKT1:FLH1"/>
    <mergeCell ref="FLI1:FLW1"/>
    <mergeCell ref="FLX1:FML1"/>
    <mergeCell ref="FMM1:FNA1"/>
    <mergeCell ref="FGD1:FGR1"/>
    <mergeCell ref="FGS1:FHG1"/>
    <mergeCell ref="FHH1:FHV1"/>
    <mergeCell ref="FHW1:FIK1"/>
    <mergeCell ref="FIL1:FIZ1"/>
    <mergeCell ref="FJA1:FJO1"/>
    <mergeCell ref="FCR1:FDF1"/>
    <mergeCell ref="FDG1:FDU1"/>
    <mergeCell ref="FDV1:FEJ1"/>
    <mergeCell ref="FEK1:FEY1"/>
    <mergeCell ref="FEZ1:FFN1"/>
    <mergeCell ref="FFO1:FGC1"/>
    <mergeCell ref="EZF1:EZT1"/>
    <mergeCell ref="EZU1:FAI1"/>
    <mergeCell ref="FAJ1:FAX1"/>
    <mergeCell ref="FAY1:FBM1"/>
    <mergeCell ref="FBN1:FCB1"/>
    <mergeCell ref="FCC1:FCQ1"/>
    <mergeCell ref="EVT1:EWH1"/>
    <mergeCell ref="EWI1:EWW1"/>
    <mergeCell ref="EWX1:EXL1"/>
    <mergeCell ref="EXM1:EYA1"/>
    <mergeCell ref="EYB1:EYP1"/>
    <mergeCell ref="EYQ1:EZE1"/>
    <mergeCell ref="ESH1:ESV1"/>
    <mergeCell ref="ESW1:ETK1"/>
    <mergeCell ref="ETL1:ETZ1"/>
    <mergeCell ref="EUA1:EUO1"/>
    <mergeCell ref="EUP1:EVD1"/>
    <mergeCell ref="EVE1:EVS1"/>
    <mergeCell ref="EOV1:EPJ1"/>
    <mergeCell ref="EPK1:EPY1"/>
    <mergeCell ref="EPZ1:EQN1"/>
    <mergeCell ref="EQO1:ERC1"/>
    <mergeCell ref="ERD1:ERR1"/>
    <mergeCell ref="ERS1:ESG1"/>
    <mergeCell ref="ELJ1:ELX1"/>
    <mergeCell ref="ELY1:EMM1"/>
    <mergeCell ref="EMN1:ENB1"/>
    <mergeCell ref="ENC1:ENQ1"/>
    <mergeCell ref="ENR1:EOF1"/>
    <mergeCell ref="EOG1:EOU1"/>
    <mergeCell ref="EHX1:EIL1"/>
    <mergeCell ref="EIM1:EJA1"/>
    <mergeCell ref="EJB1:EJP1"/>
    <mergeCell ref="EJQ1:EKE1"/>
    <mergeCell ref="EKF1:EKT1"/>
    <mergeCell ref="EKU1:ELI1"/>
    <mergeCell ref="EEL1:EEZ1"/>
    <mergeCell ref="EFA1:EFO1"/>
    <mergeCell ref="EFP1:EGD1"/>
    <mergeCell ref="EGE1:EGS1"/>
    <mergeCell ref="EGT1:EHH1"/>
    <mergeCell ref="EHI1:EHW1"/>
    <mergeCell ref="EAZ1:EBN1"/>
    <mergeCell ref="EBO1:ECC1"/>
    <mergeCell ref="ECD1:ECR1"/>
    <mergeCell ref="ECS1:EDG1"/>
    <mergeCell ref="EDH1:EDV1"/>
    <mergeCell ref="EDW1:EEK1"/>
    <mergeCell ref="DXN1:DYB1"/>
    <mergeCell ref="DYC1:DYQ1"/>
    <mergeCell ref="DYR1:DZF1"/>
    <mergeCell ref="DZG1:DZU1"/>
    <mergeCell ref="DZV1:EAJ1"/>
    <mergeCell ref="EAK1:EAY1"/>
    <mergeCell ref="DUB1:DUP1"/>
    <mergeCell ref="DUQ1:DVE1"/>
    <mergeCell ref="DVF1:DVT1"/>
    <mergeCell ref="DVU1:DWI1"/>
    <mergeCell ref="DWJ1:DWX1"/>
    <mergeCell ref="DWY1:DXM1"/>
    <mergeCell ref="DQP1:DRD1"/>
    <mergeCell ref="DRE1:DRS1"/>
    <mergeCell ref="DRT1:DSH1"/>
    <mergeCell ref="DSI1:DSW1"/>
    <mergeCell ref="DSX1:DTL1"/>
    <mergeCell ref="DTM1:DUA1"/>
    <mergeCell ref="DND1:DNR1"/>
    <mergeCell ref="DNS1:DOG1"/>
    <mergeCell ref="DOH1:DOV1"/>
    <mergeCell ref="DOW1:DPK1"/>
    <mergeCell ref="DPL1:DPZ1"/>
    <mergeCell ref="DQA1:DQO1"/>
    <mergeCell ref="DJR1:DKF1"/>
    <mergeCell ref="DKG1:DKU1"/>
    <mergeCell ref="DKV1:DLJ1"/>
    <mergeCell ref="DLK1:DLY1"/>
    <mergeCell ref="DLZ1:DMN1"/>
    <mergeCell ref="DMO1:DNC1"/>
    <mergeCell ref="DGF1:DGT1"/>
    <mergeCell ref="DGU1:DHI1"/>
    <mergeCell ref="DHJ1:DHX1"/>
    <mergeCell ref="DHY1:DIM1"/>
    <mergeCell ref="DIN1:DJB1"/>
    <mergeCell ref="DJC1:DJQ1"/>
    <mergeCell ref="DCT1:DDH1"/>
    <mergeCell ref="DDI1:DDW1"/>
    <mergeCell ref="DDX1:DEL1"/>
    <mergeCell ref="DEM1:DFA1"/>
    <mergeCell ref="DFB1:DFP1"/>
    <mergeCell ref="DFQ1:DGE1"/>
    <mergeCell ref="CZH1:CZV1"/>
    <mergeCell ref="CZW1:DAK1"/>
    <mergeCell ref="DAL1:DAZ1"/>
    <mergeCell ref="DBA1:DBO1"/>
    <mergeCell ref="DBP1:DCD1"/>
    <mergeCell ref="DCE1:DCS1"/>
    <mergeCell ref="CVV1:CWJ1"/>
    <mergeCell ref="CWK1:CWY1"/>
    <mergeCell ref="CWZ1:CXN1"/>
    <mergeCell ref="CXO1:CYC1"/>
    <mergeCell ref="CYD1:CYR1"/>
    <mergeCell ref="CYS1:CZG1"/>
    <mergeCell ref="CSJ1:CSX1"/>
    <mergeCell ref="CSY1:CTM1"/>
    <mergeCell ref="CTN1:CUB1"/>
    <mergeCell ref="CUC1:CUQ1"/>
    <mergeCell ref="CUR1:CVF1"/>
    <mergeCell ref="CVG1:CVU1"/>
    <mergeCell ref="COX1:CPL1"/>
    <mergeCell ref="CPM1:CQA1"/>
    <mergeCell ref="CQB1:CQP1"/>
    <mergeCell ref="CQQ1:CRE1"/>
    <mergeCell ref="CRF1:CRT1"/>
    <mergeCell ref="CRU1:CSI1"/>
    <mergeCell ref="CLL1:CLZ1"/>
    <mergeCell ref="CMA1:CMO1"/>
    <mergeCell ref="CMP1:CND1"/>
    <mergeCell ref="CNE1:CNS1"/>
    <mergeCell ref="CNT1:COH1"/>
    <mergeCell ref="COI1:COW1"/>
    <mergeCell ref="CHZ1:CIN1"/>
    <mergeCell ref="CIO1:CJC1"/>
    <mergeCell ref="CJD1:CJR1"/>
    <mergeCell ref="CJS1:CKG1"/>
    <mergeCell ref="CKH1:CKV1"/>
    <mergeCell ref="CKW1:CLK1"/>
    <mergeCell ref="CEN1:CFB1"/>
    <mergeCell ref="CFC1:CFQ1"/>
    <mergeCell ref="CFR1:CGF1"/>
    <mergeCell ref="CGG1:CGU1"/>
    <mergeCell ref="CGV1:CHJ1"/>
    <mergeCell ref="CHK1:CHY1"/>
    <mergeCell ref="CBB1:CBP1"/>
    <mergeCell ref="CBQ1:CCE1"/>
    <mergeCell ref="CCF1:CCT1"/>
    <mergeCell ref="CCU1:CDI1"/>
    <mergeCell ref="CDJ1:CDX1"/>
    <mergeCell ref="CDY1:CEM1"/>
    <mergeCell ref="BXP1:BYD1"/>
    <mergeCell ref="BYE1:BYS1"/>
    <mergeCell ref="BYT1:BZH1"/>
    <mergeCell ref="BZI1:BZW1"/>
    <mergeCell ref="BZX1:CAL1"/>
    <mergeCell ref="CAM1:CBA1"/>
    <mergeCell ref="BUD1:BUR1"/>
    <mergeCell ref="BUS1:BVG1"/>
    <mergeCell ref="BVH1:BVV1"/>
    <mergeCell ref="BVW1:BWK1"/>
    <mergeCell ref="BWL1:BWZ1"/>
    <mergeCell ref="BXA1:BXO1"/>
    <mergeCell ref="BQR1:BRF1"/>
    <mergeCell ref="BRG1:BRU1"/>
    <mergeCell ref="BRV1:BSJ1"/>
    <mergeCell ref="BSK1:BSY1"/>
    <mergeCell ref="BSZ1:BTN1"/>
    <mergeCell ref="BTO1:BUC1"/>
    <mergeCell ref="BNF1:BNT1"/>
    <mergeCell ref="BNU1:BOI1"/>
    <mergeCell ref="BOJ1:BOX1"/>
    <mergeCell ref="BOY1:BPM1"/>
    <mergeCell ref="BPN1:BQB1"/>
    <mergeCell ref="BQC1:BQQ1"/>
    <mergeCell ref="BJT1:BKH1"/>
    <mergeCell ref="BKI1:BKW1"/>
    <mergeCell ref="BKX1:BLL1"/>
    <mergeCell ref="BLM1:BMA1"/>
    <mergeCell ref="BMB1:BMP1"/>
    <mergeCell ref="BMQ1:BNE1"/>
    <mergeCell ref="BGH1:BGV1"/>
    <mergeCell ref="BGW1:BHK1"/>
    <mergeCell ref="BHL1:BHZ1"/>
    <mergeCell ref="BIA1:BIO1"/>
    <mergeCell ref="BIP1:BJD1"/>
    <mergeCell ref="BJE1:BJS1"/>
    <mergeCell ref="BCV1:BDJ1"/>
    <mergeCell ref="BDK1:BDY1"/>
    <mergeCell ref="BDZ1:BEN1"/>
    <mergeCell ref="BEO1:BFC1"/>
    <mergeCell ref="BFD1:BFR1"/>
    <mergeCell ref="BFS1:BGG1"/>
    <mergeCell ref="AZJ1:AZX1"/>
    <mergeCell ref="AZY1:BAM1"/>
    <mergeCell ref="BAN1:BBB1"/>
    <mergeCell ref="BBC1:BBQ1"/>
    <mergeCell ref="BBR1:BCF1"/>
    <mergeCell ref="BCG1:BCU1"/>
    <mergeCell ref="AVX1:AWL1"/>
    <mergeCell ref="AWM1:AXA1"/>
    <mergeCell ref="AXB1:AXP1"/>
    <mergeCell ref="AXQ1:AYE1"/>
    <mergeCell ref="AYF1:AYT1"/>
    <mergeCell ref="AYU1:AZI1"/>
    <mergeCell ref="ASL1:ASZ1"/>
    <mergeCell ref="ATA1:ATO1"/>
    <mergeCell ref="ATP1:AUD1"/>
    <mergeCell ref="AUE1:AUS1"/>
    <mergeCell ref="AUT1:AVH1"/>
    <mergeCell ref="AVI1:AVW1"/>
    <mergeCell ref="AOZ1:APN1"/>
    <mergeCell ref="APO1:AQC1"/>
    <mergeCell ref="AQD1:AQR1"/>
    <mergeCell ref="AQS1:ARG1"/>
    <mergeCell ref="ARH1:ARV1"/>
    <mergeCell ref="ARW1:ASK1"/>
    <mergeCell ref="ALN1:AMB1"/>
    <mergeCell ref="AMC1:AMQ1"/>
    <mergeCell ref="AMR1:ANF1"/>
    <mergeCell ref="ANG1:ANU1"/>
    <mergeCell ref="ANV1:AOJ1"/>
    <mergeCell ref="AOK1:AOY1"/>
    <mergeCell ref="AIB1:AIP1"/>
    <mergeCell ref="AIQ1:AJE1"/>
    <mergeCell ref="AJF1:AJT1"/>
    <mergeCell ref="AJU1:AKI1"/>
    <mergeCell ref="AKJ1:AKX1"/>
    <mergeCell ref="AKY1:ALM1"/>
    <mergeCell ref="AEP1:AFD1"/>
    <mergeCell ref="AFE1:AFS1"/>
    <mergeCell ref="AFT1:AGH1"/>
    <mergeCell ref="AGI1:AGW1"/>
    <mergeCell ref="AGX1:AHL1"/>
    <mergeCell ref="AHM1:AIA1"/>
    <mergeCell ref="ABD1:ABR1"/>
    <mergeCell ref="ABS1:ACG1"/>
    <mergeCell ref="ACH1:ACV1"/>
    <mergeCell ref="ACW1:ADK1"/>
    <mergeCell ref="ADL1:ADZ1"/>
    <mergeCell ref="AEA1:AEO1"/>
    <mergeCell ref="XR1:YF1"/>
    <mergeCell ref="YG1:YU1"/>
    <mergeCell ref="YV1:ZJ1"/>
    <mergeCell ref="ZK1:ZY1"/>
    <mergeCell ref="ZZ1:AAN1"/>
    <mergeCell ref="AAO1:ABC1"/>
    <mergeCell ref="UF1:UT1"/>
    <mergeCell ref="UU1:VI1"/>
    <mergeCell ref="VJ1:VX1"/>
    <mergeCell ref="VY1:WM1"/>
    <mergeCell ref="WN1:XB1"/>
    <mergeCell ref="XC1:XQ1"/>
    <mergeCell ref="QT1:RH1"/>
    <mergeCell ref="RI1:RW1"/>
    <mergeCell ref="RX1:SL1"/>
    <mergeCell ref="SM1:TA1"/>
    <mergeCell ref="TB1:TP1"/>
    <mergeCell ref="TQ1:UE1"/>
    <mergeCell ref="NH1:NV1"/>
    <mergeCell ref="NW1:OK1"/>
    <mergeCell ref="OL1:OZ1"/>
    <mergeCell ref="PA1:PO1"/>
    <mergeCell ref="PP1:QD1"/>
    <mergeCell ref="QE1:QS1"/>
    <mergeCell ref="A1:O1"/>
    <mergeCell ref="AA1:AO1"/>
    <mergeCell ref="AP1:BD1"/>
    <mergeCell ref="BE1:BS1"/>
    <mergeCell ref="BT1:CH1"/>
    <mergeCell ref="CI1:CW1"/>
    <mergeCell ref="JV1:KJ1"/>
    <mergeCell ref="KK1:KY1"/>
    <mergeCell ref="KZ1:LN1"/>
    <mergeCell ref="LO1:MC1"/>
    <mergeCell ref="MD1:MR1"/>
    <mergeCell ref="MS1:NG1"/>
    <mergeCell ref="GJ1:GX1"/>
    <mergeCell ref="GY1:HM1"/>
    <mergeCell ref="HN1:IB1"/>
    <mergeCell ref="IC1:IQ1"/>
    <mergeCell ref="IR1:JF1"/>
    <mergeCell ref="JG1:JU1"/>
    <mergeCell ref="CX1:DL1"/>
    <mergeCell ref="DM1:EA1"/>
    <mergeCell ref="EB1:EP1"/>
    <mergeCell ref="EQ1:FE1"/>
    <mergeCell ref="FF1:FT1"/>
    <mergeCell ref="FU1:GI1"/>
    <mergeCell ref="A56:C56"/>
    <mergeCell ref="D56:H56"/>
    <mergeCell ref="D47:H47"/>
    <mergeCell ref="A48:C48"/>
    <mergeCell ref="D48:H48"/>
    <mergeCell ref="A49:C49"/>
    <mergeCell ref="D49:H49"/>
    <mergeCell ref="A50:C50"/>
    <mergeCell ref="D50:H50"/>
    <mergeCell ref="A51:C51"/>
    <mergeCell ref="D51:H51"/>
    <mergeCell ref="A52:C52"/>
    <mergeCell ref="D52:H52"/>
    <mergeCell ref="A53:C53"/>
    <mergeCell ref="D53:H53"/>
    <mergeCell ref="A54:C54"/>
    <mergeCell ref="D54:H54"/>
    <mergeCell ref="A55:C55"/>
    <mergeCell ref="D55:H55"/>
    <mergeCell ref="R7:S7"/>
    <mergeCell ref="J8:N8"/>
    <mergeCell ref="A9:C9"/>
    <mergeCell ref="D9:H9"/>
    <mergeCell ref="A10:C10"/>
    <mergeCell ref="D10:H10"/>
    <mergeCell ref="J28:N28"/>
    <mergeCell ref="A29:C29"/>
    <mergeCell ref="D29:H29"/>
  </mergeCells>
  <pageMargins left="0.7" right="0.7" top="0.75" bottom="0.75" header="0.3" footer="0.3"/>
  <pageSetup scale="10" fitToHeight="0" orientation="landscape" verticalDpi="1200" r:id="rId1"/>
  <colBreaks count="1" manualBreakCount="1">
    <brk id="15"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F5632-81EF-4F9F-9B67-38731B351ECB}">
  <sheetPr>
    <tabColor theme="9" tint="0.59999389629810485"/>
  </sheetPr>
  <dimension ref="A1:Q43"/>
  <sheetViews>
    <sheetView workbookViewId="0">
      <selection activeCell="B8" sqref="B8"/>
    </sheetView>
  </sheetViews>
  <sheetFormatPr defaultRowHeight="15" x14ac:dyDescent="0.25"/>
  <cols>
    <col min="1" max="2" width="14.140625" style="34" bestFit="1" customWidth="1"/>
    <col min="3" max="4" width="12.28515625" style="34" customWidth="1"/>
    <col min="5" max="6" width="8.5703125" style="34" customWidth="1"/>
    <col min="7" max="7" width="11.85546875" style="34" customWidth="1"/>
    <col min="8" max="8" width="10.28515625" style="34" customWidth="1"/>
    <col min="9" max="10" width="11" style="34" customWidth="1"/>
    <col min="11" max="11" width="11.5703125" customWidth="1"/>
  </cols>
  <sheetData>
    <row r="1" spans="1:17" x14ac:dyDescent="0.25">
      <c r="B1" s="4" t="s">
        <v>0</v>
      </c>
      <c r="C1" s="345">
        <f>'Validator Notes'!B4</f>
        <v>0</v>
      </c>
      <c r="D1" s="345"/>
      <c r="E1" s="347" t="s">
        <v>2</v>
      </c>
      <c r="F1" s="347"/>
      <c r="G1" s="152" t="str">
        <f>'Validator Notes'!B6</f>
        <v>Aengstrom</v>
      </c>
    </row>
    <row r="2" spans="1:17" x14ac:dyDescent="0.25">
      <c r="B2" s="4" t="s">
        <v>1</v>
      </c>
      <c r="C2" s="346">
        <f>'Validator Notes'!B5</f>
        <v>0</v>
      </c>
      <c r="D2" s="346"/>
      <c r="E2" s="52"/>
      <c r="F2" s="52"/>
      <c r="G2" s="59"/>
    </row>
    <row r="3" spans="1:17" x14ac:dyDescent="0.25">
      <c r="B3" s="194" t="s">
        <v>229</v>
      </c>
      <c r="C3" s="193"/>
      <c r="D3" s="193"/>
      <c r="E3" s="52"/>
      <c r="F3" s="52"/>
      <c r="G3" s="59"/>
    </row>
    <row r="4" spans="1:17" x14ac:dyDescent="0.25">
      <c r="A4" s="349" t="s">
        <v>228</v>
      </c>
      <c r="B4" s="349"/>
      <c r="C4" s="349"/>
      <c r="D4" s="349"/>
      <c r="E4" s="350" t="s">
        <v>212</v>
      </c>
      <c r="F4" s="351"/>
      <c r="G4" s="351"/>
      <c r="H4" s="352"/>
      <c r="I4" s="360" t="s">
        <v>216</v>
      </c>
      <c r="J4" s="361"/>
      <c r="K4" s="361"/>
      <c r="L4" s="362"/>
      <c r="M4" s="258" t="s">
        <v>227</v>
      </c>
      <c r="N4" s="258"/>
    </row>
    <row r="5" spans="1:17" ht="33" customHeight="1" x14ac:dyDescent="0.25">
      <c r="A5" s="186" t="s">
        <v>226</v>
      </c>
      <c r="B5" s="186" t="s">
        <v>225</v>
      </c>
      <c r="C5" s="186" t="s">
        <v>224</v>
      </c>
      <c r="D5" s="186" t="s">
        <v>223</v>
      </c>
      <c r="E5" s="192" t="s">
        <v>222</v>
      </c>
      <c r="F5" s="192" t="s">
        <v>220</v>
      </c>
      <c r="G5" s="186" t="s">
        <v>208</v>
      </c>
      <c r="H5" s="186" t="s">
        <v>207</v>
      </c>
      <c r="I5" s="192" t="s">
        <v>221</v>
      </c>
      <c r="J5" s="192" t="s">
        <v>220</v>
      </c>
      <c r="K5" s="186" t="s">
        <v>208</v>
      </c>
      <c r="L5" s="186" t="s">
        <v>207</v>
      </c>
      <c r="M5" s="192" t="s">
        <v>215</v>
      </c>
      <c r="N5" s="192" t="s">
        <v>214</v>
      </c>
      <c r="O5" s="357" t="s">
        <v>47</v>
      </c>
      <c r="P5" s="358"/>
      <c r="Q5" s="359"/>
    </row>
    <row r="6" spans="1:17" x14ac:dyDescent="0.25">
      <c r="A6" s="34" t="s">
        <v>59</v>
      </c>
      <c r="D6" s="189"/>
      <c r="E6" s="191"/>
      <c r="F6" s="191"/>
      <c r="G6" s="188"/>
      <c r="H6" s="188"/>
      <c r="I6" s="191"/>
      <c r="J6" s="191"/>
      <c r="K6" s="188"/>
      <c r="L6" s="188"/>
      <c r="M6" s="6"/>
      <c r="N6" s="6"/>
      <c r="O6" s="355"/>
      <c r="P6" s="355"/>
      <c r="Q6" s="355"/>
    </row>
    <row r="7" spans="1:17" x14ac:dyDescent="0.25">
      <c r="A7" s="34" t="s">
        <v>61</v>
      </c>
      <c r="E7" s="191"/>
      <c r="F7" s="191"/>
      <c r="G7" s="188"/>
      <c r="H7" s="188"/>
      <c r="I7" s="191"/>
      <c r="J7" s="191"/>
      <c r="K7" s="188"/>
      <c r="L7" s="188"/>
      <c r="O7" s="354"/>
      <c r="P7" s="354"/>
      <c r="Q7" s="354"/>
    </row>
    <row r="8" spans="1:17" x14ac:dyDescent="0.25">
      <c r="A8" s="34" t="s">
        <v>62</v>
      </c>
      <c r="D8" s="189"/>
      <c r="E8" s="191"/>
      <c r="F8" s="191"/>
      <c r="G8" s="188"/>
      <c r="H8" s="188"/>
      <c r="I8" s="191"/>
      <c r="J8" s="191"/>
      <c r="K8" s="188"/>
      <c r="L8" s="188"/>
      <c r="O8" s="354"/>
      <c r="P8" s="354"/>
      <c r="Q8" s="354"/>
    </row>
    <row r="9" spans="1:17" x14ac:dyDescent="0.25">
      <c r="E9" s="191"/>
      <c r="F9" s="191"/>
      <c r="G9" s="188"/>
      <c r="H9" s="188"/>
      <c r="I9" s="191"/>
      <c r="J9" s="191"/>
      <c r="O9" s="354"/>
      <c r="P9" s="354"/>
      <c r="Q9" s="354"/>
    </row>
    <row r="10" spans="1:17" x14ac:dyDescent="0.25">
      <c r="E10" s="191"/>
      <c r="F10" s="191"/>
      <c r="G10" s="188"/>
      <c r="H10" s="188"/>
      <c r="I10" s="191"/>
      <c r="J10" s="191"/>
      <c r="O10" s="354"/>
      <c r="P10" s="354"/>
      <c r="Q10" s="354"/>
    </row>
    <row r="11" spans="1:17" x14ac:dyDescent="0.25">
      <c r="E11" s="188"/>
      <c r="F11" s="188"/>
      <c r="G11" s="188"/>
      <c r="H11" s="188"/>
      <c r="I11"/>
      <c r="J11"/>
      <c r="O11" s="354"/>
      <c r="P11" s="354"/>
      <c r="Q11" s="354"/>
    </row>
    <row r="12" spans="1:17" x14ac:dyDescent="0.25">
      <c r="E12" s="188"/>
      <c r="F12" s="188"/>
      <c r="G12" s="188"/>
      <c r="H12" s="188"/>
      <c r="I12"/>
      <c r="J12"/>
      <c r="O12" s="234"/>
      <c r="P12" s="234"/>
    </row>
    <row r="13" spans="1:17" x14ac:dyDescent="0.25">
      <c r="B13" s="348" t="s">
        <v>219</v>
      </c>
      <c r="C13" s="348"/>
      <c r="D13" s="348" t="s">
        <v>218</v>
      </c>
      <c r="E13" s="348"/>
      <c r="F13" s="348"/>
      <c r="G13" s="258" t="s">
        <v>217</v>
      </c>
      <c r="H13" s="258"/>
      <c r="I13" s="190"/>
      <c r="J13" s="190"/>
    </row>
    <row r="14" spans="1:17" x14ac:dyDescent="0.25">
      <c r="A14" s="186" t="s">
        <v>156</v>
      </c>
      <c r="B14" s="186" t="s">
        <v>212</v>
      </c>
      <c r="C14" s="186" t="s">
        <v>216</v>
      </c>
      <c r="D14" s="186" t="s">
        <v>212</v>
      </c>
      <c r="E14" s="258" t="s">
        <v>216</v>
      </c>
      <c r="F14" s="258"/>
      <c r="G14" s="186" t="s">
        <v>215</v>
      </c>
      <c r="H14" s="186" t="s">
        <v>214</v>
      </c>
      <c r="I14" s="258" t="s">
        <v>213</v>
      </c>
      <c r="J14" s="258"/>
      <c r="K14" s="258"/>
      <c r="L14" s="356" t="s">
        <v>47</v>
      </c>
      <c r="M14" s="356"/>
      <c r="N14" s="356"/>
      <c r="O14" s="356"/>
      <c r="P14" s="356"/>
      <c r="Q14" s="356"/>
    </row>
    <row r="15" spans="1:17" x14ac:dyDescent="0.25">
      <c r="A15" s="189"/>
      <c r="D15" s="188"/>
      <c r="E15" s="353"/>
      <c r="F15" s="353"/>
      <c r="I15" s="257"/>
      <c r="J15" s="257"/>
      <c r="K15" s="257"/>
      <c r="L15" s="354"/>
      <c r="M15" s="354"/>
      <c r="N15" s="354"/>
      <c r="O15" s="354"/>
      <c r="P15" s="354"/>
      <c r="Q15" s="354"/>
    </row>
    <row r="16" spans="1:17" x14ac:dyDescent="0.25">
      <c r="A16" s="189"/>
      <c r="D16" s="188"/>
      <c r="E16" s="353"/>
      <c r="F16" s="353"/>
      <c r="I16" s="234"/>
      <c r="J16" s="234"/>
      <c r="K16" s="234"/>
      <c r="L16" s="354"/>
      <c r="M16" s="354"/>
      <c r="N16" s="354"/>
      <c r="O16" s="354"/>
      <c r="P16" s="354"/>
      <c r="Q16" s="354"/>
    </row>
    <row r="17" spans="1:17" x14ac:dyDescent="0.25">
      <c r="E17" s="234"/>
      <c r="F17" s="234"/>
      <c r="I17" s="234"/>
      <c r="J17" s="234"/>
      <c r="K17" s="234"/>
      <c r="L17" s="354"/>
      <c r="M17" s="354"/>
      <c r="N17" s="354"/>
      <c r="O17" s="354"/>
      <c r="P17" s="354"/>
      <c r="Q17" s="354"/>
    </row>
    <row r="18" spans="1:17" x14ac:dyDescent="0.25">
      <c r="E18" s="234"/>
      <c r="F18" s="234"/>
      <c r="I18" s="234"/>
      <c r="J18" s="234"/>
      <c r="K18" s="234"/>
      <c r="L18" s="354"/>
      <c r="M18" s="354"/>
      <c r="N18" s="354"/>
      <c r="O18" s="354"/>
      <c r="P18" s="354"/>
      <c r="Q18" s="354"/>
    </row>
    <row r="19" spans="1:17" x14ac:dyDescent="0.25">
      <c r="E19" s="234"/>
      <c r="F19" s="234"/>
      <c r="I19" s="234"/>
      <c r="J19" s="234"/>
      <c r="K19" s="234"/>
      <c r="L19" s="354"/>
      <c r="M19" s="354"/>
      <c r="N19" s="354"/>
      <c r="O19" s="354"/>
      <c r="P19" s="354"/>
      <c r="Q19" s="354"/>
    </row>
    <row r="20" spans="1:17" x14ac:dyDescent="0.25">
      <c r="E20" s="234"/>
      <c r="F20" s="234"/>
    </row>
    <row r="29" spans="1:17" x14ac:dyDescent="0.25">
      <c r="A29"/>
      <c r="B29"/>
      <c r="C29"/>
      <c r="D29"/>
      <c r="E29"/>
      <c r="F29"/>
      <c r="G29"/>
      <c r="H29"/>
      <c r="I29"/>
      <c r="J29"/>
    </row>
    <row r="30" spans="1:17" x14ac:dyDescent="0.25">
      <c r="A30"/>
      <c r="B30"/>
      <c r="C30"/>
      <c r="D30"/>
      <c r="E30"/>
      <c r="F30"/>
      <c r="G30"/>
      <c r="H30"/>
      <c r="I30"/>
      <c r="J30"/>
    </row>
    <row r="31" spans="1:17" x14ac:dyDescent="0.25">
      <c r="A31"/>
      <c r="B31"/>
      <c r="C31"/>
      <c r="D31"/>
      <c r="E31"/>
      <c r="F31"/>
      <c r="G31"/>
      <c r="H31"/>
      <c r="I31"/>
      <c r="J31"/>
    </row>
    <row r="32" spans="1:17" x14ac:dyDescent="0.25">
      <c r="A32"/>
      <c r="B32"/>
      <c r="C32"/>
      <c r="D32"/>
      <c r="E32"/>
      <c r="F32"/>
      <c r="G32"/>
      <c r="H32"/>
      <c r="I32"/>
      <c r="J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sheetData>
  <mergeCells count="37">
    <mergeCell ref="I19:K19"/>
    <mergeCell ref="L18:Q18"/>
    <mergeCell ref="L19:Q19"/>
    <mergeCell ref="L16:Q16"/>
    <mergeCell ref="O8:Q8"/>
    <mergeCell ref="I14:K14"/>
    <mergeCell ref="O10:Q10"/>
    <mergeCell ref="O11:Q11"/>
    <mergeCell ref="O12:P12"/>
    <mergeCell ref="M4:N4"/>
    <mergeCell ref="I16:K16"/>
    <mergeCell ref="I17:K17"/>
    <mergeCell ref="I18:K18"/>
    <mergeCell ref="L17:Q17"/>
    <mergeCell ref="O6:Q6"/>
    <mergeCell ref="O7:Q7"/>
    <mergeCell ref="O9:Q9"/>
    <mergeCell ref="L14:Q14"/>
    <mergeCell ref="L15:Q15"/>
    <mergeCell ref="O5:Q5"/>
    <mergeCell ref="I4:L4"/>
    <mergeCell ref="I15:K15"/>
    <mergeCell ref="E14:F14"/>
    <mergeCell ref="E15:F15"/>
    <mergeCell ref="E20:F20"/>
    <mergeCell ref="E17:F17"/>
    <mergeCell ref="E18:F18"/>
    <mergeCell ref="E19:F19"/>
    <mergeCell ref="E16:F16"/>
    <mergeCell ref="C1:D1"/>
    <mergeCell ref="C2:D2"/>
    <mergeCell ref="E1:F1"/>
    <mergeCell ref="B13:C13"/>
    <mergeCell ref="A4:D4"/>
    <mergeCell ref="E4:H4"/>
    <mergeCell ref="G13:H13"/>
    <mergeCell ref="D13:F13"/>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23530C-F564-452D-A289-E8F926CC332B}">
  <sheetPr>
    <tabColor theme="9" tint="0.59999389629810485"/>
  </sheetPr>
  <dimension ref="A1:BK64"/>
  <sheetViews>
    <sheetView tabSelected="1" workbookViewId="0">
      <selection activeCell="M16" sqref="M16"/>
    </sheetView>
  </sheetViews>
  <sheetFormatPr defaultRowHeight="15" x14ac:dyDescent="0.25"/>
  <cols>
    <col min="1" max="1" width="14.85546875" bestFit="1" customWidth="1"/>
    <col min="4" max="4" width="12" bestFit="1" customWidth="1"/>
    <col min="7" max="7" width="18.85546875" bestFit="1" customWidth="1"/>
    <col min="8" max="8" width="14.85546875" bestFit="1" customWidth="1"/>
  </cols>
  <sheetData>
    <row r="1" spans="1:18" ht="15.75" thickBot="1" x14ac:dyDescent="0.3">
      <c r="A1" s="230" t="s">
        <v>302</v>
      </c>
      <c r="B1" s="231"/>
      <c r="C1" s="232"/>
      <c r="D1" s="232"/>
      <c r="E1" s="232"/>
      <c r="F1" s="232"/>
      <c r="G1" s="233"/>
      <c r="H1" s="235" t="s">
        <v>301</v>
      </c>
      <c r="I1" s="236"/>
      <c r="J1" s="236"/>
      <c r="K1" s="236"/>
      <c r="L1" s="237"/>
      <c r="M1" s="234"/>
      <c r="N1" s="234"/>
      <c r="O1" s="234"/>
      <c r="P1" s="234"/>
      <c r="Q1" s="234"/>
      <c r="R1" s="234"/>
    </row>
    <row r="2" spans="1:18" x14ac:dyDescent="0.25">
      <c r="A2" s="182"/>
      <c r="B2" s="220" t="s">
        <v>206</v>
      </c>
      <c r="C2" s="225" t="s">
        <v>328</v>
      </c>
      <c r="D2" s="223" t="s">
        <v>329</v>
      </c>
      <c r="E2" s="181" t="s">
        <v>205</v>
      </c>
      <c r="F2" s="223" t="s">
        <v>328</v>
      </c>
      <c r="G2" s="181" t="s">
        <v>329</v>
      </c>
      <c r="H2" s="182"/>
      <c r="I2" s="182" t="s">
        <v>206</v>
      </c>
      <c r="J2" s="222" t="s">
        <v>328</v>
      </c>
      <c r="K2" s="181" t="s">
        <v>205</v>
      </c>
      <c r="L2" s="222" t="s">
        <v>328</v>
      </c>
    </row>
    <row r="3" spans="1:18" ht="15.75" thickBot="1" x14ac:dyDescent="0.3">
      <c r="A3" s="178" t="s">
        <v>209</v>
      </c>
      <c r="B3" s="221">
        <v>43204</v>
      </c>
      <c r="C3" s="226"/>
      <c r="D3" s="224"/>
      <c r="E3" s="177">
        <v>45202</v>
      </c>
      <c r="F3" s="224"/>
      <c r="G3" s="177"/>
      <c r="H3" s="178" t="s">
        <v>209</v>
      </c>
      <c r="I3" s="178">
        <v>43204</v>
      </c>
      <c r="J3" s="176"/>
      <c r="K3" s="177">
        <v>45202</v>
      </c>
      <c r="L3" s="176"/>
      <c r="M3" s="215"/>
      <c r="N3" s="215"/>
      <c r="O3" s="215"/>
      <c r="P3" s="215"/>
      <c r="Q3" s="215"/>
      <c r="R3" s="215"/>
    </row>
    <row r="4" spans="1:18" x14ac:dyDescent="0.25">
      <c r="A4" s="208"/>
      <c r="C4" s="206" t="e">
        <f>B4/'Reference Info'!M$6</f>
        <v>#DIV/0!</v>
      </c>
      <c r="D4" s="206" t="e">
        <f>_xlfn.NORM.DIST(B4,'Reference Info'!F$6,'Reference Info'!E$6,FALSE)</f>
        <v>#NUM!</v>
      </c>
      <c r="F4" s="206" t="e">
        <f>E4/'Reference Info'!N$6</f>
        <v>#DIV/0!</v>
      </c>
      <c r="G4" s="227" t="e">
        <f>_xlfn.NORM.DIST(E4,'Reference Info'!J$6,'Reference Info'!I$6,FALSE)</f>
        <v>#NUM!</v>
      </c>
      <c r="H4" s="208"/>
      <c r="I4" s="180"/>
      <c r="J4" s="179"/>
      <c r="L4" s="179"/>
      <c r="M4" s="215"/>
      <c r="N4" s="215"/>
      <c r="O4" s="215"/>
      <c r="P4" s="215"/>
      <c r="Q4" s="215"/>
      <c r="R4" s="215"/>
    </row>
    <row r="5" spans="1:18" x14ac:dyDescent="0.25">
      <c r="A5" s="208"/>
      <c r="C5" s="206" t="e">
        <f>B5/'Reference Info'!M$6</f>
        <v>#DIV/0!</v>
      </c>
      <c r="D5" s="206" t="e">
        <f>_xlfn.NORM.DIST(B5,'Reference Info'!F$6,'Reference Info'!E$6,FALSE)</f>
        <v>#NUM!</v>
      </c>
      <c r="F5" s="206" t="e">
        <f>E5/'Reference Info'!N$6</f>
        <v>#DIV/0!</v>
      </c>
      <c r="G5" s="227" t="e">
        <f>_xlfn.NORM.DIST(E5,'Reference Info'!J$6,'Reference Info'!I$6,FALSE)</f>
        <v>#NUM!</v>
      </c>
      <c r="H5" s="208"/>
      <c r="I5" s="180"/>
      <c r="J5" s="179"/>
      <c r="L5" s="179"/>
    </row>
    <row r="6" spans="1:18" x14ac:dyDescent="0.25">
      <c r="A6" s="208"/>
      <c r="C6" s="206" t="e">
        <f>B6/'Reference Info'!M$6</f>
        <v>#DIV/0!</v>
      </c>
      <c r="D6" s="206" t="e">
        <f>_xlfn.NORM.DIST(B6,'Reference Info'!F$6,'Reference Info'!E$6,FALSE)</f>
        <v>#NUM!</v>
      </c>
      <c r="F6" s="206" t="e">
        <f>E6/'Reference Info'!N$6</f>
        <v>#DIV/0!</v>
      </c>
      <c r="G6" s="227" t="e">
        <f>_xlfn.NORM.DIST(E6,'Reference Info'!J$6,'Reference Info'!I$6,FALSE)</f>
        <v>#NUM!</v>
      </c>
      <c r="H6" s="208"/>
      <c r="I6" s="180"/>
      <c r="J6" s="179"/>
      <c r="L6" s="179"/>
    </row>
    <row r="7" spans="1:18" x14ac:dyDescent="0.25">
      <c r="A7" s="208"/>
      <c r="C7" s="206" t="e">
        <f>B7/'Reference Info'!M$6</f>
        <v>#DIV/0!</v>
      </c>
      <c r="D7" s="206" t="e">
        <f>_xlfn.NORM.DIST(B7,'Reference Info'!F$6,'Reference Info'!E$6,FALSE)</f>
        <v>#NUM!</v>
      </c>
      <c r="F7" s="206" t="e">
        <f>E7/'Reference Info'!N$6</f>
        <v>#DIV/0!</v>
      </c>
      <c r="G7" s="227" t="e">
        <f>_xlfn.NORM.DIST(E7,'Reference Info'!J$6,'Reference Info'!I$6,FALSE)</f>
        <v>#NUM!</v>
      </c>
      <c r="H7" s="208"/>
      <c r="I7" s="180"/>
      <c r="J7" s="179"/>
      <c r="L7" s="179"/>
    </row>
    <row r="8" spans="1:18" x14ac:dyDescent="0.25">
      <c r="A8" s="208"/>
      <c r="C8" s="206" t="e">
        <f>B8/'Reference Info'!M$6</f>
        <v>#DIV/0!</v>
      </c>
      <c r="D8" s="206" t="e">
        <f>_xlfn.NORM.DIST(B8,'Reference Info'!F$6,'Reference Info'!E$6,FALSE)</f>
        <v>#NUM!</v>
      </c>
      <c r="F8" s="206" t="e">
        <f>E8/'Reference Info'!N$6</f>
        <v>#DIV/0!</v>
      </c>
      <c r="G8" s="227" t="e">
        <f>_xlfn.NORM.DIST(E8,'Reference Info'!J$6,'Reference Info'!I$6,FALSE)</f>
        <v>#NUM!</v>
      </c>
      <c r="H8" s="208"/>
      <c r="I8" s="180"/>
      <c r="J8" s="179"/>
      <c r="L8" s="179"/>
    </row>
    <row r="9" spans="1:18" x14ac:dyDescent="0.25">
      <c r="A9" s="208"/>
      <c r="C9" s="206" t="e">
        <f>B9/'Reference Info'!M$6</f>
        <v>#DIV/0!</v>
      </c>
      <c r="D9" s="206" t="e">
        <f>_xlfn.NORM.DIST(B9,'Reference Info'!F$6,'Reference Info'!E$6,FALSE)</f>
        <v>#NUM!</v>
      </c>
      <c r="F9" s="206" t="e">
        <f>E9/'Reference Info'!N$6</f>
        <v>#DIV/0!</v>
      </c>
      <c r="G9" s="227" t="e">
        <f>_xlfn.NORM.DIST(E9,'Reference Info'!J$6,'Reference Info'!I$6,FALSE)</f>
        <v>#NUM!</v>
      </c>
      <c r="H9" s="214"/>
      <c r="I9" s="228"/>
      <c r="J9" s="179"/>
      <c r="K9" s="207"/>
      <c r="L9" s="179"/>
    </row>
    <row r="10" spans="1:18" x14ac:dyDescent="0.25">
      <c r="A10" s="208"/>
      <c r="C10" s="206" t="e">
        <f>B10/'Reference Info'!M$6</f>
        <v>#DIV/0!</v>
      </c>
      <c r="D10" s="206" t="e">
        <f>_xlfn.NORM.DIST(B10,'Reference Info'!F$6,'Reference Info'!E$6,FALSE)</f>
        <v>#NUM!</v>
      </c>
      <c r="F10" s="206" t="e">
        <f>E10/'Reference Info'!N$6</f>
        <v>#DIV/0!</v>
      </c>
      <c r="G10" s="227" t="e">
        <f>_xlfn.NORM.DIST(E10,'Reference Info'!J$6,'Reference Info'!I$6,FALSE)</f>
        <v>#NUM!</v>
      </c>
      <c r="H10" s="180"/>
      <c r="I10" s="180"/>
      <c r="J10" s="179"/>
      <c r="L10" s="179"/>
    </row>
    <row r="11" spans="1:18" x14ac:dyDescent="0.25">
      <c r="A11" s="208"/>
      <c r="C11" s="206" t="e">
        <f>B11/'Reference Info'!M$6</f>
        <v>#DIV/0!</v>
      </c>
      <c r="D11" s="206" t="e">
        <f>_xlfn.NORM.DIST(B11,'Reference Info'!F$6,'Reference Info'!E$6,FALSE)</f>
        <v>#NUM!</v>
      </c>
      <c r="F11" s="206" t="e">
        <f>E11/'Reference Info'!N$6</f>
        <v>#DIV/0!</v>
      </c>
      <c r="G11" s="227" t="e">
        <f>_xlfn.NORM.DIST(E11,'Reference Info'!J$6,'Reference Info'!I$6,FALSE)</f>
        <v>#NUM!</v>
      </c>
      <c r="H11" s="180"/>
      <c r="I11" s="228"/>
      <c r="J11" s="179"/>
      <c r="K11" s="207"/>
      <c r="L11" s="179"/>
    </row>
    <row r="12" spans="1:18" x14ac:dyDescent="0.25">
      <c r="A12" s="208"/>
      <c r="C12" s="206" t="e">
        <f>B12/'Reference Info'!M$6</f>
        <v>#DIV/0!</v>
      </c>
      <c r="D12" s="206" t="e">
        <f>_xlfn.NORM.DIST(B12,'Reference Info'!F$6,'Reference Info'!E$6,FALSE)</f>
        <v>#NUM!</v>
      </c>
      <c r="F12" s="206" t="e">
        <f>E12/'Reference Info'!N$6</f>
        <v>#DIV/0!</v>
      </c>
      <c r="G12" s="227" t="e">
        <f>_xlfn.NORM.DIST(E12,'Reference Info'!J$6,'Reference Info'!I$6,FALSE)</f>
        <v>#NUM!</v>
      </c>
      <c r="H12" s="180"/>
      <c r="I12" s="180"/>
      <c r="J12" s="179"/>
      <c r="L12" s="179"/>
    </row>
    <row r="13" spans="1:18" x14ac:dyDescent="0.25">
      <c r="A13" s="208"/>
      <c r="C13" s="206" t="e">
        <f>B13/'Reference Info'!M$6</f>
        <v>#DIV/0!</v>
      </c>
      <c r="D13" s="206" t="e">
        <f>_xlfn.NORM.DIST(B13,'Reference Info'!F$6,'Reference Info'!E$6,FALSE)</f>
        <v>#NUM!</v>
      </c>
      <c r="F13" s="206" t="e">
        <f>E13/'Reference Info'!N$6</f>
        <v>#DIV/0!</v>
      </c>
      <c r="G13" s="227" t="e">
        <f>_xlfn.NORM.DIST(E13,'Reference Info'!J$6,'Reference Info'!I$6,FALSE)</f>
        <v>#NUM!</v>
      </c>
      <c r="H13" s="180"/>
      <c r="I13" s="180"/>
      <c r="J13" s="179"/>
      <c r="L13" s="179"/>
    </row>
    <row r="14" spans="1:18" x14ac:dyDescent="0.25">
      <c r="A14" s="208"/>
      <c r="C14" s="206" t="e">
        <f>B14/'Reference Info'!M$6</f>
        <v>#DIV/0!</v>
      </c>
      <c r="D14" s="206" t="e">
        <f>_xlfn.NORM.DIST(B14,'Reference Info'!F$6,'Reference Info'!E$6,FALSE)</f>
        <v>#NUM!</v>
      </c>
      <c r="F14" s="206" t="e">
        <f>E14/'Reference Info'!N$6</f>
        <v>#DIV/0!</v>
      </c>
      <c r="G14" s="227" t="e">
        <f>_xlfn.NORM.DIST(E14,'Reference Info'!J$6,'Reference Info'!I$6,FALSE)</f>
        <v>#NUM!</v>
      </c>
      <c r="H14" s="180"/>
      <c r="I14" s="180"/>
      <c r="J14" s="179"/>
      <c r="L14" s="179"/>
    </row>
    <row r="15" spans="1:18" ht="15.75" thickBot="1" x14ac:dyDescent="0.3">
      <c r="A15" s="208"/>
      <c r="C15" s="206" t="e">
        <f>B15/'Reference Info'!M$6</f>
        <v>#DIV/0!</v>
      </c>
      <c r="D15" s="206" t="e">
        <f>_xlfn.NORM.DIST(B15,'Reference Info'!F$6,'Reference Info'!E$6,FALSE)</f>
        <v>#NUM!</v>
      </c>
      <c r="F15" s="206" t="e">
        <f>E15/'Reference Info'!N$6</f>
        <v>#DIV/0!</v>
      </c>
      <c r="G15" s="227" t="e">
        <f>_xlfn.NORM.DIST(E15,'Reference Info'!J$6,'Reference Info'!I$6,FALSE)</f>
        <v>#NUM!</v>
      </c>
      <c r="H15" s="178"/>
      <c r="I15" s="178"/>
      <c r="J15" s="176"/>
      <c r="K15" s="177"/>
      <c r="L15" s="176"/>
    </row>
    <row r="16" spans="1:18" ht="15.75" thickBot="1" x14ac:dyDescent="0.3">
      <c r="A16" s="208"/>
      <c r="C16" s="206" t="e">
        <f>B16/'Reference Info'!M$6</f>
        <v>#DIV/0!</v>
      </c>
      <c r="D16" s="206" t="e">
        <f>_xlfn.NORM.DIST(B16,'Reference Info'!F$6,'Reference Info'!E$6,FALSE)</f>
        <v>#NUM!</v>
      </c>
      <c r="F16" s="206" t="e">
        <f>E16/'Reference Info'!N$6</f>
        <v>#DIV/0!</v>
      </c>
      <c r="G16" s="205" t="e">
        <f>_xlfn.NORM.DIST(E16,'Reference Info'!J$6,'Reference Info'!I$6,FALSE)</f>
        <v>#NUM!</v>
      </c>
      <c r="H16" s="235" t="s">
        <v>300</v>
      </c>
      <c r="I16" s="236"/>
      <c r="J16" s="236"/>
      <c r="K16" s="236"/>
      <c r="L16" s="237"/>
    </row>
    <row r="17" spans="1:12" x14ac:dyDescent="0.25">
      <c r="A17" s="208"/>
      <c r="C17" s="206" t="e">
        <f>B17/'Reference Info'!M$6</f>
        <v>#DIV/0!</v>
      </c>
      <c r="D17" s="206" t="e">
        <f>_xlfn.NORM.DIST(B17,'Reference Info'!F$6,'Reference Info'!E$6,FALSE)</f>
        <v>#NUM!</v>
      </c>
      <c r="F17" s="206" t="e">
        <f>E17/'Reference Info'!N$6</f>
        <v>#DIV/0!</v>
      </c>
      <c r="G17" s="227" t="e">
        <f>_xlfn.NORM.DIST(E17,'Reference Info'!J$6,'Reference Info'!I$6,FALSE)</f>
        <v>#NUM!</v>
      </c>
      <c r="H17" s="182"/>
      <c r="I17" s="182" t="s">
        <v>206</v>
      </c>
      <c r="J17" s="222" t="s">
        <v>328</v>
      </c>
      <c r="K17" s="181" t="s">
        <v>205</v>
      </c>
      <c r="L17" s="222" t="s">
        <v>328</v>
      </c>
    </row>
    <row r="18" spans="1:12" ht="15.75" thickBot="1" x14ac:dyDescent="0.3">
      <c r="A18" s="208"/>
      <c r="C18" s="206" t="e">
        <f>B18/'Reference Info'!M$6</f>
        <v>#DIV/0!</v>
      </c>
      <c r="D18" s="206" t="e">
        <f>_xlfn.NORM.DIST(B18,'Reference Info'!F$6,'Reference Info'!E$6,FALSE)</f>
        <v>#NUM!</v>
      </c>
      <c r="F18" s="206" t="e">
        <f>E18/'Reference Info'!N$6</f>
        <v>#DIV/0!</v>
      </c>
      <c r="G18" s="227" t="e">
        <f>_xlfn.NORM.DIST(E18,'Reference Info'!J$6,'Reference Info'!I$6,FALSE)</f>
        <v>#NUM!</v>
      </c>
      <c r="H18" s="178" t="s">
        <v>209</v>
      </c>
      <c r="I18" s="178">
        <v>43204</v>
      </c>
      <c r="J18" s="176"/>
      <c r="K18" s="177">
        <v>45202</v>
      </c>
      <c r="L18" s="176"/>
    </row>
    <row r="19" spans="1:12" x14ac:dyDescent="0.25">
      <c r="A19" s="208"/>
      <c r="C19" s="206" t="e">
        <f>B19/'Reference Info'!M$6</f>
        <v>#DIV/0!</v>
      </c>
      <c r="D19" s="206" t="e">
        <f>_xlfn.NORM.DIST(B19,'Reference Info'!F$6,'Reference Info'!E$6,FALSE)</f>
        <v>#NUM!</v>
      </c>
      <c r="F19" s="206" t="e">
        <f>E19/'Reference Info'!N$6</f>
        <v>#DIV/0!</v>
      </c>
      <c r="G19" s="227" t="e">
        <f>_xlfn.NORM.DIST(E19,'Reference Info'!J$6,'Reference Info'!I$6,FALSE)</f>
        <v>#NUM!</v>
      </c>
      <c r="H19" s="363"/>
      <c r="I19" s="182"/>
      <c r="J19" s="222" t="e">
        <f>I19/'Reference Info'!M$7</f>
        <v>#DIV/0!</v>
      </c>
      <c r="K19" s="181"/>
      <c r="L19" s="222" t="e">
        <f>K19/'Reference Info'!N$7</f>
        <v>#DIV/0!</v>
      </c>
    </row>
    <row r="20" spans="1:12" x14ac:dyDescent="0.25">
      <c r="A20" s="208"/>
      <c r="C20" s="206" t="e">
        <f>B20/'Reference Info'!M$6</f>
        <v>#DIV/0!</v>
      </c>
      <c r="D20" s="206" t="e">
        <f>_xlfn.NORM.DIST(B20,'Reference Info'!F$6,'Reference Info'!E$6,FALSE)</f>
        <v>#NUM!</v>
      </c>
      <c r="F20" s="206" t="e">
        <f>E20/'Reference Info'!N$6</f>
        <v>#DIV/0!</v>
      </c>
      <c r="G20" s="227" t="e">
        <f>_xlfn.NORM.DIST(E20,'Reference Info'!J$6,'Reference Info'!I$6,FALSE)</f>
        <v>#NUM!</v>
      </c>
      <c r="H20" s="208"/>
      <c r="I20" s="180"/>
      <c r="J20" s="179" t="e">
        <f>I20/'Reference Info'!M$7</f>
        <v>#DIV/0!</v>
      </c>
      <c r="K20" s="364"/>
      <c r="L20" s="179" t="e">
        <f>K20/'Reference Info'!N$7</f>
        <v>#DIV/0!</v>
      </c>
    </row>
    <row r="21" spans="1:12" x14ac:dyDescent="0.25">
      <c r="A21" s="208"/>
      <c r="C21" s="206" t="e">
        <f>B21/'Reference Info'!M$6</f>
        <v>#DIV/0!</v>
      </c>
      <c r="D21" s="206" t="e">
        <f>_xlfn.NORM.DIST(B21,'Reference Info'!F$6,'Reference Info'!E$6,FALSE)</f>
        <v>#NUM!</v>
      </c>
      <c r="F21" s="206" t="e">
        <f>E21/'Reference Info'!N$6</f>
        <v>#DIV/0!</v>
      </c>
      <c r="G21" s="227" t="e">
        <f>_xlfn.NORM.DIST(E21,'Reference Info'!J$6,'Reference Info'!I$6,FALSE)</f>
        <v>#NUM!</v>
      </c>
      <c r="H21" s="208"/>
      <c r="I21" s="180"/>
      <c r="J21" s="179" t="e">
        <f>I21/'Reference Info'!M$7</f>
        <v>#DIV/0!</v>
      </c>
      <c r="K21" s="364"/>
      <c r="L21" s="179" t="e">
        <f>K21/'Reference Info'!N$7</f>
        <v>#DIV/0!</v>
      </c>
    </row>
    <row r="22" spans="1:12" x14ac:dyDescent="0.25">
      <c r="A22" s="208"/>
      <c r="C22" s="206" t="e">
        <f>B22/'Reference Info'!M$6</f>
        <v>#DIV/0!</v>
      </c>
      <c r="D22" s="206" t="e">
        <f>_xlfn.NORM.DIST(B22,'Reference Info'!F$6,'Reference Info'!E$6,FALSE)</f>
        <v>#NUM!</v>
      </c>
      <c r="F22" s="206" t="e">
        <f>E22/'Reference Info'!N$6</f>
        <v>#DIV/0!</v>
      </c>
      <c r="G22" s="227" t="e">
        <f>_xlfn.NORM.DIST(E22,'Reference Info'!J$6,'Reference Info'!I$6,FALSE)</f>
        <v>#NUM!</v>
      </c>
      <c r="H22" s="208"/>
      <c r="I22" s="180"/>
      <c r="J22" s="179" t="e">
        <f>I22/'Reference Info'!M$7</f>
        <v>#DIV/0!</v>
      </c>
      <c r="K22" s="364"/>
      <c r="L22" s="179" t="e">
        <f>K22/'Reference Info'!N$7</f>
        <v>#DIV/0!</v>
      </c>
    </row>
    <row r="23" spans="1:12" x14ac:dyDescent="0.25">
      <c r="A23" s="208"/>
      <c r="C23" s="206" t="e">
        <f>B23/'Reference Info'!M$6</f>
        <v>#DIV/0!</v>
      </c>
      <c r="D23" s="206" t="e">
        <f>_xlfn.NORM.DIST(B23,'Reference Info'!F$6,'Reference Info'!E$6,FALSE)</f>
        <v>#NUM!</v>
      </c>
      <c r="F23" s="206" t="e">
        <f>E23/'Reference Info'!N$6</f>
        <v>#DIV/0!</v>
      </c>
      <c r="G23" s="227" t="e">
        <f>_xlfn.NORM.DIST(E23,'Reference Info'!J$6,'Reference Info'!I$6,FALSE)</f>
        <v>#NUM!</v>
      </c>
      <c r="H23" s="208"/>
      <c r="I23" s="180"/>
      <c r="J23" s="179" t="e">
        <f>I23/'Reference Info'!M$7</f>
        <v>#DIV/0!</v>
      </c>
      <c r="K23" s="364"/>
      <c r="L23" s="179" t="e">
        <f>K23/'Reference Info'!N$7</f>
        <v>#DIV/0!</v>
      </c>
    </row>
    <row r="24" spans="1:12" x14ac:dyDescent="0.25">
      <c r="A24" s="208"/>
      <c r="C24" s="206" t="e">
        <f>B24/'Reference Info'!M$6</f>
        <v>#DIV/0!</v>
      </c>
      <c r="D24" s="206" t="e">
        <f>_xlfn.NORM.DIST(B24,'Reference Info'!F$6,'Reference Info'!E$6,FALSE)</f>
        <v>#NUM!</v>
      </c>
      <c r="F24" s="206" t="e">
        <f>E24/'Reference Info'!N$6</f>
        <v>#DIV/0!</v>
      </c>
      <c r="G24" s="227" t="e">
        <f>_xlfn.NORM.DIST(E24,'Reference Info'!J$6,'Reference Info'!I$6,FALSE)</f>
        <v>#NUM!</v>
      </c>
      <c r="H24" s="208"/>
      <c r="I24" s="180"/>
      <c r="J24" s="179" t="e">
        <f>I24/'Reference Info'!M$7</f>
        <v>#DIV/0!</v>
      </c>
      <c r="K24" s="364"/>
      <c r="L24" s="179" t="e">
        <f>K24/'Reference Info'!N$7</f>
        <v>#DIV/0!</v>
      </c>
    </row>
    <row r="25" spans="1:12" x14ac:dyDescent="0.25">
      <c r="A25" s="208"/>
      <c r="C25" s="206" t="e">
        <f>B25/'Reference Info'!M$6</f>
        <v>#DIV/0!</v>
      </c>
      <c r="D25" s="206" t="e">
        <f>_xlfn.NORM.DIST(B25,'Reference Info'!F$6,'Reference Info'!E$6,FALSE)</f>
        <v>#NUM!</v>
      </c>
      <c r="F25" s="206" t="e">
        <f>E25/'Reference Info'!N$6</f>
        <v>#DIV/0!</v>
      </c>
      <c r="G25" s="227" t="e">
        <f>_xlfn.NORM.DIST(E25,'Reference Info'!J$6,'Reference Info'!I$6,FALSE)</f>
        <v>#NUM!</v>
      </c>
      <c r="H25" s="180"/>
      <c r="I25" s="228"/>
      <c r="J25" s="179" t="e">
        <f>I25/'Reference Info'!M$7</f>
        <v>#DIV/0!</v>
      </c>
      <c r="K25" s="365"/>
      <c r="L25" s="179" t="e">
        <f>K25/'Reference Info'!N$7</f>
        <v>#DIV/0!</v>
      </c>
    </row>
    <row r="26" spans="1:12" x14ac:dyDescent="0.25">
      <c r="A26" s="208"/>
      <c r="C26" s="206" t="e">
        <f>B26/'Reference Info'!M$6</f>
        <v>#DIV/0!</v>
      </c>
      <c r="D26" s="206" t="e">
        <f>_xlfn.NORM.DIST(B26,'Reference Info'!F$6,'Reference Info'!E$6,FALSE)</f>
        <v>#NUM!</v>
      </c>
      <c r="F26" s="206" t="e">
        <f>E26/'Reference Info'!N$6</f>
        <v>#DIV/0!</v>
      </c>
      <c r="G26" s="227" t="e">
        <f>_xlfn.NORM.DIST(E26,'Reference Info'!J$6,'Reference Info'!I$6,FALSE)</f>
        <v>#NUM!</v>
      </c>
      <c r="H26" s="180"/>
      <c r="I26" s="180"/>
      <c r="J26" s="179" t="e">
        <f>I26/'Reference Info'!M$7</f>
        <v>#DIV/0!</v>
      </c>
      <c r="K26" s="364"/>
      <c r="L26" s="179" t="e">
        <f>K26/'Reference Info'!N$7</f>
        <v>#DIV/0!</v>
      </c>
    </row>
    <row r="27" spans="1:12" ht="15.75" thickBot="1" x14ac:dyDescent="0.3">
      <c r="A27" s="208"/>
      <c r="C27" s="206" t="e">
        <f>B27/'Reference Info'!M$6</f>
        <v>#DIV/0!</v>
      </c>
      <c r="D27" s="206" t="e">
        <f>_xlfn.NORM.DIST(B27,'Reference Info'!F$6,'Reference Info'!E$6,FALSE)</f>
        <v>#NUM!</v>
      </c>
      <c r="F27" s="206" t="e">
        <f>E27/'Reference Info'!N$6</f>
        <v>#DIV/0!</v>
      </c>
      <c r="G27" s="227" t="e">
        <f>_xlfn.NORM.DIST(E27,'Reference Info'!J$6,'Reference Info'!I$6,FALSE)</f>
        <v>#NUM!</v>
      </c>
      <c r="H27" s="178"/>
      <c r="I27" s="229"/>
      <c r="J27" s="176" t="e">
        <f>I27/'Reference Info'!M$7</f>
        <v>#DIV/0!</v>
      </c>
      <c r="K27" s="184"/>
      <c r="L27" s="176" t="e">
        <f>K27/'Reference Info'!N$7</f>
        <v>#DIV/0!</v>
      </c>
    </row>
    <row r="28" spans="1:12" ht="15.75" thickBot="1" x14ac:dyDescent="0.3">
      <c r="A28" s="208"/>
      <c r="C28" s="206" t="e">
        <f>B28/'Reference Info'!M$6</f>
        <v>#DIV/0!</v>
      </c>
      <c r="D28" s="206" t="e">
        <f>_xlfn.NORM.DIST(B28,'Reference Info'!F$6,'Reference Info'!E$6,FALSE)</f>
        <v>#NUM!</v>
      </c>
      <c r="F28" s="206" t="e">
        <f>E28/'Reference Info'!N$6</f>
        <v>#DIV/0!</v>
      </c>
      <c r="G28" s="205" t="e">
        <f>_xlfn.NORM.DIST(E28,'Reference Info'!J$6,'Reference Info'!I$6,FALSE)</f>
        <v>#NUM!</v>
      </c>
      <c r="H28" s="241" t="s">
        <v>299</v>
      </c>
      <c r="I28" s="241"/>
      <c r="J28" s="207"/>
    </row>
    <row r="29" spans="1:12" ht="15.75" thickBot="1" x14ac:dyDescent="0.3">
      <c r="A29" s="208"/>
      <c r="C29" s="206" t="e">
        <f>B29/'Reference Info'!M$6</f>
        <v>#DIV/0!</v>
      </c>
      <c r="D29" s="206" t="e">
        <f>_xlfn.NORM.DIST(B29,'Reference Info'!F$6,'Reference Info'!E$6,FALSE)</f>
        <v>#NUM!</v>
      </c>
      <c r="F29" s="206" t="e">
        <f>E29/'Reference Info'!N$6</f>
        <v>#DIV/0!</v>
      </c>
      <c r="G29" s="205" t="e">
        <f>_xlfn.NORM.DIST(E29,'Reference Info'!J$6,'Reference Info'!I$6,FALSE)</f>
        <v>#NUM!</v>
      </c>
      <c r="H29" s="213" t="s">
        <v>298</v>
      </c>
      <c r="I29" s="212" t="s">
        <v>297</v>
      </c>
      <c r="J29" s="207"/>
    </row>
    <row r="30" spans="1:12" x14ac:dyDescent="0.25">
      <c r="A30" s="208"/>
      <c r="C30" s="206" t="e">
        <f>B30/'Reference Info'!M$6</f>
        <v>#DIV/0!</v>
      </c>
      <c r="D30" s="206" t="e">
        <f>_xlfn.NORM.DIST(B30,'Reference Info'!F$6,'Reference Info'!E$6,FALSE)</f>
        <v>#NUM!</v>
      </c>
      <c r="F30" s="206" t="e">
        <f>E30/'Reference Info'!N$6</f>
        <v>#DIV/0!</v>
      </c>
      <c r="G30" s="205" t="e">
        <f>_xlfn.NORM.DIST(E30,'Reference Info'!J$6,'Reference Info'!I$6,FALSE)</f>
        <v>#NUM!</v>
      </c>
      <c r="H30" s="211">
        <v>12</v>
      </c>
      <c r="I30" s="210">
        <v>1</v>
      </c>
    </row>
    <row r="31" spans="1:12" x14ac:dyDescent="0.25">
      <c r="A31" s="208"/>
      <c r="C31" s="206" t="e">
        <f>B31/'Reference Info'!M$6</f>
        <v>#DIV/0!</v>
      </c>
      <c r="D31" s="206" t="e">
        <f>_xlfn.NORM.DIST(B31,'Reference Info'!F$6,'Reference Info'!E$6,FALSE)</f>
        <v>#NUM!</v>
      </c>
      <c r="F31" s="206" t="e">
        <f>E31/'Reference Info'!N$6</f>
        <v>#DIV/0!</v>
      </c>
      <c r="G31" s="205" t="e">
        <f>_xlfn.NORM.DIST(E31,'Reference Info'!J$6,'Reference Info'!I$6,FALSE)</f>
        <v>#NUM!</v>
      </c>
      <c r="H31" s="185">
        <v>11</v>
      </c>
      <c r="I31" s="209">
        <v>1</v>
      </c>
    </row>
    <row r="32" spans="1:12" x14ac:dyDescent="0.25">
      <c r="A32" s="208"/>
      <c r="C32" s="206" t="e">
        <f>B32/'Reference Info'!M$6</f>
        <v>#DIV/0!</v>
      </c>
      <c r="D32" s="206" t="e">
        <f>_xlfn.NORM.DIST(B32,'Reference Info'!F$6,'Reference Info'!E$6,FALSE)</f>
        <v>#NUM!</v>
      </c>
      <c r="F32" s="206" t="e">
        <f>E32/'Reference Info'!N$6</f>
        <v>#DIV/0!</v>
      </c>
      <c r="G32" s="205" t="e">
        <f>_xlfn.NORM.DIST(E32,'Reference Info'!J$6,'Reference Info'!I$6,FALSE)</f>
        <v>#NUM!</v>
      </c>
      <c r="H32" s="180">
        <v>10</v>
      </c>
      <c r="I32" s="179">
        <v>1</v>
      </c>
    </row>
    <row r="33" spans="1:9" x14ac:dyDescent="0.25">
      <c r="A33" s="208"/>
      <c r="C33" s="206" t="e">
        <f>B33/'Reference Info'!M$6</f>
        <v>#DIV/0!</v>
      </c>
      <c r="D33" s="206" t="e">
        <f>_xlfn.NORM.DIST(B33,'Reference Info'!F$6,'Reference Info'!E$6,FALSE)</f>
        <v>#NUM!</v>
      </c>
      <c r="F33" s="206" t="e">
        <f>E33/'Reference Info'!N$6</f>
        <v>#DIV/0!</v>
      </c>
      <c r="G33" s="205" t="e">
        <f>_xlfn.NORM.DIST(E33,'Reference Info'!J$6,'Reference Info'!I$6,FALSE)</f>
        <v>#NUM!</v>
      </c>
      <c r="H33" s="180">
        <v>9</v>
      </c>
      <c r="I33" s="179">
        <v>1</v>
      </c>
    </row>
    <row r="34" spans="1:9" x14ac:dyDescent="0.25">
      <c r="A34" s="208"/>
      <c r="C34" s="206" t="e">
        <f>B34/'Reference Info'!M$6</f>
        <v>#DIV/0!</v>
      </c>
      <c r="D34" s="206" t="e">
        <f>_xlfn.NORM.DIST(B34,'Reference Info'!F$6,'Reference Info'!E$6,FALSE)</f>
        <v>#NUM!</v>
      </c>
      <c r="F34" s="206" t="e">
        <f>E34/'Reference Info'!N$6</f>
        <v>#DIV/0!</v>
      </c>
      <c r="G34" s="205" t="e">
        <f>_xlfn.NORM.DIST(E34,'Reference Info'!J$6,'Reference Info'!I$6,FALSE)</f>
        <v>#NUM!</v>
      </c>
      <c r="H34" s="180">
        <v>8</v>
      </c>
      <c r="I34" s="179">
        <v>1</v>
      </c>
    </row>
    <row r="35" spans="1:9" x14ac:dyDescent="0.25">
      <c r="A35" s="208"/>
      <c r="C35" s="206" t="e">
        <f>B35/'Reference Info'!M$6</f>
        <v>#DIV/0!</v>
      </c>
      <c r="D35" s="206" t="e">
        <f>_xlfn.NORM.DIST(B35,'Reference Info'!F$6,'Reference Info'!E$6,FALSE)</f>
        <v>#NUM!</v>
      </c>
      <c r="F35" s="206" t="e">
        <f>E35/'Reference Info'!N$6</f>
        <v>#DIV/0!</v>
      </c>
      <c r="G35" s="205" t="e">
        <f>_xlfn.NORM.DIST(E35,'Reference Info'!J$6,'Reference Info'!I$6,FALSE)</f>
        <v>#NUM!</v>
      </c>
      <c r="H35" s="180">
        <v>7</v>
      </c>
      <c r="I35" s="179">
        <v>1</v>
      </c>
    </row>
    <row r="36" spans="1:9" x14ac:dyDescent="0.25">
      <c r="A36" s="208"/>
      <c r="C36" s="206" t="e">
        <f>B36/'Reference Info'!M$6</f>
        <v>#DIV/0!</v>
      </c>
      <c r="D36" s="206" t="e">
        <f>_xlfn.NORM.DIST(B36,'Reference Info'!F$6,'Reference Info'!E$6,FALSE)</f>
        <v>#NUM!</v>
      </c>
      <c r="F36" s="206" t="e">
        <f>E36/'Reference Info'!N$6</f>
        <v>#DIV/0!</v>
      </c>
      <c r="G36" s="205" t="e">
        <f>_xlfn.NORM.DIST(E36,'Reference Info'!J$6,'Reference Info'!I$6,FALSE)</f>
        <v>#NUM!</v>
      </c>
      <c r="H36" s="180">
        <v>6</v>
      </c>
      <c r="I36" s="179">
        <v>1</v>
      </c>
    </row>
    <row r="37" spans="1:9" x14ac:dyDescent="0.25">
      <c r="A37" s="208"/>
      <c r="C37" s="206" t="e">
        <f>B37/'Reference Info'!M$6</f>
        <v>#DIV/0!</v>
      </c>
      <c r="D37" s="206" t="e">
        <f>_xlfn.NORM.DIST(B37,'Reference Info'!F$6,'Reference Info'!E$6,FALSE)</f>
        <v>#NUM!</v>
      </c>
      <c r="F37" s="206" t="e">
        <f>E37/'Reference Info'!N$6</f>
        <v>#DIV/0!</v>
      </c>
      <c r="G37" s="205" t="e">
        <f>_xlfn.NORM.DIST(E37,'Reference Info'!J$6,'Reference Info'!I$6,FALSE)</f>
        <v>#NUM!</v>
      </c>
      <c r="H37" s="180">
        <v>5</v>
      </c>
      <c r="I37" s="179">
        <v>1</v>
      </c>
    </row>
    <row r="38" spans="1:9" x14ac:dyDescent="0.25">
      <c r="A38" s="208"/>
      <c r="C38" s="206" t="e">
        <f>B38/'Reference Info'!M$6</f>
        <v>#DIV/0!</v>
      </c>
      <c r="D38" s="206" t="e">
        <f>_xlfn.NORM.DIST(B38,'Reference Info'!F$6,'Reference Info'!E$6,FALSE)</f>
        <v>#NUM!</v>
      </c>
      <c r="F38" s="206" t="e">
        <f>E38/'Reference Info'!N$6</f>
        <v>#DIV/0!</v>
      </c>
      <c r="G38" s="205" t="e">
        <f>_xlfn.NORM.DIST(E38,'Reference Info'!J$6,'Reference Info'!I$6,FALSE)</f>
        <v>#NUM!</v>
      </c>
      <c r="H38" s="180">
        <v>4</v>
      </c>
      <c r="I38" s="179">
        <v>1</v>
      </c>
    </row>
    <row r="39" spans="1:9" x14ac:dyDescent="0.25">
      <c r="A39" s="208"/>
      <c r="C39" s="206" t="e">
        <f>B39/'Reference Info'!M$6</f>
        <v>#DIV/0!</v>
      </c>
      <c r="D39" s="206" t="e">
        <f>_xlfn.NORM.DIST(B39,'Reference Info'!F$6,'Reference Info'!E$6,FALSE)</f>
        <v>#NUM!</v>
      </c>
      <c r="F39" s="206" t="e">
        <f>E39/'Reference Info'!N$6</f>
        <v>#DIV/0!</v>
      </c>
      <c r="G39" s="205" t="e">
        <f>_xlfn.NORM.DIST(E39,'Reference Info'!J$6,'Reference Info'!I$6,FALSE)</f>
        <v>#NUM!</v>
      </c>
      <c r="H39" s="180">
        <v>3</v>
      </c>
      <c r="I39" s="179">
        <v>1</v>
      </c>
    </row>
    <row r="40" spans="1:9" x14ac:dyDescent="0.25">
      <c r="A40" s="180"/>
      <c r="C40" s="206" t="e">
        <f>B40/'Reference Info'!M$6</f>
        <v>#DIV/0!</v>
      </c>
      <c r="D40" s="206" t="e">
        <f>_xlfn.NORM.DIST(B40,'Reference Info'!F$6,'Reference Info'!E$6,FALSE)</f>
        <v>#NUM!</v>
      </c>
      <c r="F40" s="206" t="e">
        <f>E40/'Reference Info'!N$6</f>
        <v>#DIV/0!</v>
      </c>
      <c r="G40" s="205" t="e">
        <f>_xlfn.NORM.DIST(E40,'Reference Info'!J$6,'Reference Info'!I$6,FALSE)</f>
        <v>#NUM!</v>
      </c>
      <c r="H40" s="180">
        <v>2</v>
      </c>
      <c r="I40" s="179">
        <v>1</v>
      </c>
    </row>
    <row r="41" spans="1:9" x14ac:dyDescent="0.25">
      <c r="A41" s="180"/>
      <c r="C41" s="206" t="e">
        <f>B41/'Reference Info'!M$6</f>
        <v>#DIV/0!</v>
      </c>
      <c r="D41" s="206" t="e">
        <f>_xlfn.NORM.DIST(B41,'Reference Info'!F$6,'Reference Info'!E$6,FALSE)</f>
        <v>#NUM!</v>
      </c>
      <c r="F41" s="206" t="e">
        <f>E41/'Reference Info'!N$6</f>
        <v>#DIV/0!</v>
      </c>
      <c r="G41" s="205" t="e">
        <f>_xlfn.NORM.DIST(E41,'Reference Info'!J$6,'Reference Info'!I$6,FALSE)</f>
        <v>#NUM!</v>
      </c>
      <c r="H41" s="180">
        <v>1</v>
      </c>
      <c r="I41" s="179">
        <v>1</v>
      </c>
    </row>
    <row r="42" spans="1:9" ht="15.75" thickBot="1" x14ac:dyDescent="0.3">
      <c r="A42" s="180"/>
      <c r="C42" s="206" t="e">
        <f>B42/'Reference Info'!M$6</f>
        <v>#DIV/0!</v>
      </c>
      <c r="D42" s="206" t="e">
        <f>_xlfn.NORM.DIST(B42,'Reference Info'!F$6,'Reference Info'!E$6,FALSE)</f>
        <v>#NUM!</v>
      </c>
      <c r="F42" s="206" t="e">
        <f>E42/'Reference Info'!N$6</f>
        <v>#DIV/0!</v>
      </c>
      <c r="G42" s="205" t="e">
        <f>_xlfn.NORM.DIST(E42,'Reference Info'!J$6,'Reference Info'!I$6,FALSE)</f>
        <v>#NUM!</v>
      </c>
      <c r="H42" s="178">
        <v>0</v>
      </c>
      <c r="I42" s="176">
        <v>1</v>
      </c>
    </row>
    <row r="43" spans="1:9" x14ac:dyDescent="0.25">
      <c r="A43" s="208"/>
      <c r="B43" s="207"/>
      <c r="C43" s="206" t="e">
        <f>B43/'Reference Info'!M$6</f>
        <v>#DIV/0!</v>
      </c>
      <c r="D43" s="206" t="e">
        <f>_xlfn.NORM.DIST(B43,'Reference Info'!F$6,'Reference Info'!E$6,FALSE)</f>
        <v>#NUM!</v>
      </c>
      <c r="E43" s="207"/>
      <c r="F43" s="206" t="e">
        <f>E43/'Reference Info'!N$6</f>
        <v>#DIV/0!</v>
      </c>
      <c r="G43" s="205" t="e">
        <f>_xlfn.NORM.DIST(E43,'Reference Info'!J$6,'Reference Info'!I$6,FALSE)</f>
        <v>#NUM!</v>
      </c>
    </row>
    <row r="44" spans="1:9" x14ac:dyDescent="0.25">
      <c r="A44" s="180"/>
      <c r="C44" s="206" t="e">
        <f>B44/'Reference Info'!M$6</f>
        <v>#DIV/0!</v>
      </c>
      <c r="D44" s="206" t="e">
        <f>_xlfn.NORM.DIST(B44,'Reference Info'!F$6,'Reference Info'!E$6,FALSE)</f>
        <v>#NUM!</v>
      </c>
      <c r="F44" s="206" t="e">
        <f>E44/'Reference Info'!N$6</f>
        <v>#DIV/0!</v>
      </c>
      <c r="G44" s="205" t="e">
        <f>_xlfn.NORM.DIST(E44,'Reference Info'!J$6,'Reference Info'!I$6,FALSE)</f>
        <v>#NUM!</v>
      </c>
    </row>
    <row r="45" spans="1:9" ht="15.75" thickBot="1" x14ac:dyDescent="0.3">
      <c r="A45" s="178"/>
      <c r="B45" s="184"/>
      <c r="C45" s="204" t="e">
        <f>B45/'Reference Info'!M$6</f>
        <v>#DIV/0!</v>
      </c>
      <c r="D45" s="204" t="e">
        <f>_xlfn.NORM.DIST(B45,'Reference Info'!F$6,'Reference Info'!E$6,FALSE)</f>
        <v>#NUM!</v>
      </c>
      <c r="E45" s="184"/>
      <c r="F45" s="204" t="e">
        <f>E45/'Reference Info'!N$6</f>
        <v>#DIV/0!</v>
      </c>
      <c r="G45" s="203" t="e">
        <f>_xlfn.NORM.DIST(E45,'Reference Info'!J$6,'Reference Info'!I$6,FALSE)</f>
        <v>#NUM!</v>
      </c>
    </row>
    <row r="46" spans="1:9" ht="15.75" thickBot="1" x14ac:dyDescent="0.3">
      <c r="A46" t="s">
        <v>229</v>
      </c>
    </row>
    <row r="47" spans="1:9" ht="15.75" thickBot="1" x14ac:dyDescent="0.3">
      <c r="A47" s="235" t="s">
        <v>296</v>
      </c>
      <c r="B47" s="236"/>
      <c r="C47" s="236"/>
      <c r="D47" s="236"/>
      <c r="E47" s="236"/>
      <c r="F47" s="236"/>
      <c r="G47" s="236"/>
      <c r="H47" s="237"/>
    </row>
    <row r="48" spans="1:9" ht="15.75" thickBot="1" x14ac:dyDescent="0.3">
      <c r="A48" s="235" t="s">
        <v>295</v>
      </c>
      <c r="B48" s="236"/>
      <c r="C48" s="236"/>
      <c r="D48" s="236"/>
      <c r="E48" s="236"/>
      <c r="F48" s="236"/>
      <c r="G48" s="236"/>
      <c r="H48" s="237"/>
    </row>
    <row r="49" spans="1:63" x14ac:dyDescent="0.25">
      <c r="B49" t="s">
        <v>293</v>
      </c>
      <c r="C49" t="s">
        <v>292</v>
      </c>
      <c r="D49" t="s">
        <v>206</v>
      </c>
      <c r="E49" t="s">
        <v>291</v>
      </c>
      <c r="F49" t="s">
        <v>290</v>
      </c>
      <c r="G49" t="s">
        <v>289</v>
      </c>
      <c r="H49" t="s">
        <v>288</v>
      </c>
      <c r="I49" t="s">
        <v>287</v>
      </c>
      <c r="J49" t="s">
        <v>286</v>
      </c>
      <c r="K49" t="s">
        <v>285</v>
      </c>
      <c r="L49" t="s">
        <v>284</v>
      </c>
      <c r="M49" t="s">
        <v>283</v>
      </c>
      <c r="N49" t="s">
        <v>282</v>
      </c>
      <c r="O49" t="s">
        <v>281</v>
      </c>
      <c r="P49" t="s">
        <v>280</v>
      </c>
      <c r="Q49" t="s">
        <v>279</v>
      </c>
      <c r="R49" t="s">
        <v>278</v>
      </c>
      <c r="S49" t="s">
        <v>277</v>
      </c>
      <c r="T49" t="s">
        <v>276</v>
      </c>
      <c r="U49" t="s">
        <v>275</v>
      </c>
      <c r="V49" t="s">
        <v>274</v>
      </c>
      <c r="W49" t="s">
        <v>273</v>
      </c>
      <c r="X49" t="s">
        <v>272</v>
      </c>
      <c r="Y49" t="s">
        <v>271</v>
      </c>
      <c r="Z49" t="s">
        <v>270</v>
      </c>
      <c r="AA49" t="s">
        <v>269</v>
      </c>
      <c r="AB49" t="s">
        <v>268</v>
      </c>
      <c r="AC49" t="s">
        <v>267</v>
      </c>
      <c r="AD49" t="s">
        <v>266</v>
      </c>
      <c r="AE49" t="s">
        <v>265</v>
      </c>
      <c r="AF49" t="s">
        <v>264</v>
      </c>
      <c r="AG49" t="s">
        <v>263</v>
      </c>
      <c r="AH49" t="s">
        <v>262</v>
      </c>
      <c r="AI49" t="s">
        <v>261</v>
      </c>
      <c r="AJ49" t="s">
        <v>260</v>
      </c>
      <c r="AK49" t="s">
        <v>259</v>
      </c>
      <c r="AL49" t="s">
        <v>205</v>
      </c>
      <c r="AM49" t="s">
        <v>258</v>
      </c>
      <c r="AN49" t="s">
        <v>257</v>
      </c>
      <c r="AO49" t="s">
        <v>256</v>
      </c>
      <c r="AP49" t="s">
        <v>255</v>
      </c>
      <c r="AQ49" t="s">
        <v>254</v>
      </c>
      <c r="AR49" t="s">
        <v>253</v>
      </c>
      <c r="AS49" t="s">
        <v>252</v>
      </c>
      <c r="AT49" t="s">
        <v>251</v>
      </c>
      <c r="AU49" t="s">
        <v>250</v>
      </c>
      <c r="AV49" t="s">
        <v>249</v>
      </c>
      <c r="AW49" t="s">
        <v>248</v>
      </c>
      <c r="AX49" t="s">
        <v>247</v>
      </c>
      <c r="AY49" t="s">
        <v>246</v>
      </c>
      <c r="AZ49" t="s">
        <v>245</v>
      </c>
      <c r="BA49" t="s">
        <v>244</v>
      </c>
      <c r="BB49" t="s">
        <v>243</v>
      </c>
      <c r="BC49" t="s">
        <v>242</v>
      </c>
      <c r="BD49" t="s">
        <v>241</v>
      </c>
      <c r="BE49" t="s">
        <v>240</v>
      </c>
      <c r="BF49" t="s">
        <v>239</v>
      </c>
      <c r="BG49" t="s">
        <v>238</v>
      </c>
      <c r="BH49" t="s">
        <v>237</v>
      </c>
      <c r="BI49" t="s">
        <v>236</v>
      </c>
      <c r="BJ49" t="s">
        <v>235</v>
      </c>
      <c r="BK49" t="s">
        <v>234</v>
      </c>
    </row>
    <row r="50" spans="1:63" x14ac:dyDescent="0.25">
      <c r="A50" s="183"/>
    </row>
    <row r="51" spans="1:63" x14ac:dyDescent="0.25">
      <c r="A51" s="183"/>
    </row>
    <row r="52" spans="1:63" ht="15.75" thickBot="1" x14ac:dyDescent="0.3">
      <c r="A52" s="183"/>
    </row>
    <row r="53" spans="1:63" ht="15.75" thickBot="1" x14ac:dyDescent="0.3">
      <c r="A53" s="199" t="s">
        <v>204</v>
      </c>
      <c r="B53" s="202" t="e">
        <f t="shared" ref="B53:AG53" si="0">AVERAGE(B50:B52)</f>
        <v>#DIV/0!</v>
      </c>
      <c r="C53" s="201" t="e">
        <f t="shared" si="0"/>
        <v>#DIV/0!</v>
      </c>
      <c r="D53" s="201" t="e">
        <f t="shared" si="0"/>
        <v>#DIV/0!</v>
      </c>
      <c r="E53" s="201" t="e">
        <f t="shared" si="0"/>
        <v>#DIV/0!</v>
      </c>
      <c r="F53" s="201" t="e">
        <f t="shared" si="0"/>
        <v>#DIV/0!</v>
      </c>
      <c r="G53" s="201" t="e">
        <f t="shared" si="0"/>
        <v>#DIV/0!</v>
      </c>
      <c r="H53" s="201" t="e">
        <f t="shared" si="0"/>
        <v>#DIV/0!</v>
      </c>
      <c r="I53" s="201" t="e">
        <f t="shared" si="0"/>
        <v>#DIV/0!</v>
      </c>
      <c r="J53" s="201" t="e">
        <f t="shared" si="0"/>
        <v>#DIV/0!</v>
      </c>
      <c r="K53" s="201" t="e">
        <f t="shared" si="0"/>
        <v>#DIV/0!</v>
      </c>
      <c r="L53" s="201" t="e">
        <f t="shared" si="0"/>
        <v>#DIV/0!</v>
      </c>
      <c r="M53" s="201" t="e">
        <f t="shared" si="0"/>
        <v>#DIV/0!</v>
      </c>
      <c r="N53" s="201" t="e">
        <f t="shared" si="0"/>
        <v>#DIV/0!</v>
      </c>
      <c r="O53" s="201" t="e">
        <f t="shared" si="0"/>
        <v>#DIV/0!</v>
      </c>
      <c r="P53" s="201" t="e">
        <f t="shared" si="0"/>
        <v>#DIV/0!</v>
      </c>
      <c r="Q53" s="201" t="e">
        <f t="shared" si="0"/>
        <v>#DIV/0!</v>
      </c>
      <c r="R53" s="201" t="e">
        <f t="shared" si="0"/>
        <v>#DIV/0!</v>
      </c>
      <c r="S53" s="201" t="e">
        <f t="shared" si="0"/>
        <v>#DIV/0!</v>
      </c>
      <c r="T53" s="201" t="e">
        <f t="shared" si="0"/>
        <v>#DIV/0!</v>
      </c>
      <c r="U53" s="201" t="e">
        <f t="shared" si="0"/>
        <v>#DIV/0!</v>
      </c>
      <c r="V53" s="201" t="e">
        <f t="shared" si="0"/>
        <v>#DIV/0!</v>
      </c>
      <c r="W53" s="201" t="e">
        <f t="shared" si="0"/>
        <v>#DIV/0!</v>
      </c>
      <c r="X53" s="201" t="e">
        <f t="shared" si="0"/>
        <v>#DIV/0!</v>
      </c>
      <c r="Y53" s="201" t="e">
        <f t="shared" si="0"/>
        <v>#DIV/0!</v>
      </c>
      <c r="Z53" s="201" t="e">
        <f t="shared" si="0"/>
        <v>#DIV/0!</v>
      </c>
      <c r="AA53" s="201" t="e">
        <f t="shared" si="0"/>
        <v>#DIV/0!</v>
      </c>
      <c r="AB53" s="201" t="e">
        <f t="shared" si="0"/>
        <v>#DIV/0!</v>
      </c>
      <c r="AC53" s="201" t="e">
        <f t="shared" si="0"/>
        <v>#DIV/0!</v>
      </c>
      <c r="AD53" s="201" t="e">
        <f t="shared" si="0"/>
        <v>#DIV/0!</v>
      </c>
      <c r="AE53" s="201" t="e">
        <f t="shared" si="0"/>
        <v>#DIV/0!</v>
      </c>
      <c r="AF53" s="201" t="e">
        <f t="shared" si="0"/>
        <v>#DIV/0!</v>
      </c>
      <c r="AG53" s="201" t="e">
        <f t="shared" si="0"/>
        <v>#DIV/0!</v>
      </c>
      <c r="AH53" s="201" t="e">
        <f t="shared" ref="AH53:BK53" si="1">AVERAGE(AH50:AH52)</f>
        <v>#DIV/0!</v>
      </c>
      <c r="AI53" s="201" t="e">
        <f t="shared" si="1"/>
        <v>#DIV/0!</v>
      </c>
      <c r="AJ53" s="201" t="e">
        <f t="shared" si="1"/>
        <v>#DIV/0!</v>
      </c>
      <c r="AK53" s="201" t="e">
        <f t="shared" si="1"/>
        <v>#DIV/0!</v>
      </c>
      <c r="AL53" s="201" t="e">
        <f t="shared" si="1"/>
        <v>#DIV/0!</v>
      </c>
      <c r="AM53" s="201" t="e">
        <f t="shared" si="1"/>
        <v>#DIV/0!</v>
      </c>
      <c r="AN53" s="201" t="e">
        <f t="shared" si="1"/>
        <v>#DIV/0!</v>
      </c>
      <c r="AO53" s="201" t="e">
        <f t="shared" si="1"/>
        <v>#DIV/0!</v>
      </c>
      <c r="AP53" s="201" t="e">
        <f t="shared" si="1"/>
        <v>#DIV/0!</v>
      </c>
      <c r="AQ53" s="201" t="e">
        <f t="shared" si="1"/>
        <v>#DIV/0!</v>
      </c>
      <c r="AR53" s="201" t="e">
        <f t="shared" si="1"/>
        <v>#DIV/0!</v>
      </c>
      <c r="AS53" s="201" t="e">
        <f t="shared" si="1"/>
        <v>#DIV/0!</v>
      </c>
      <c r="AT53" s="201" t="e">
        <f t="shared" si="1"/>
        <v>#DIV/0!</v>
      </c>
      <c r="AU53" s="201" t="e">
        <f t="shared" si="1"/>
        <v>#DIV/0!</v>
      </c>
      <c r="AV53" s="201" t="e">
        <f t="shared" si="1"/>
        <v>#DIV/0!</v>
      </c>
      <c r="AW53" s="201" t="e">
        <f t="shared" si="1"/>
        <v>#DIV/0!</v>
      </c>
      <c r="AX53" s="201" t="e">
        <f t="shared" si="1"/>
        <v>#DIV/0!</v>
      </c>
      <c r="AY53" s="201" t="e">
        <f t="shared" si="1"/>
        <v>#DIV/0!</v>
      </c>
      <c r="AZ53" s="201" t="e">
        <f t="shared" si="1"/>
        <v>#DIV/0!</v>
      </c>
      <c r="BA53" s="201" t="e">
        <f t="shared" si="1"/>
        <v>#DIV/0!</v>
      </c>
      <c r="BB53" s="201" t="e">
        <f t="shared" si="1"/>
        <v>#DIV/0!</v>
      </c>
      <c r="BC53" s="201" t="e">
        <f t="shared" si="1"/>
        <v>#DIV/0!</v>
      </c>
      <c r="BD53" s="201" t="e">
        <f t="shared" si="1"/>
        <v>#DIV/0!</v>
      </c>
      <c r="BE53" s="201" t="e">
        <f t="shared" si="1"/>
        <v>#DIV/0!</v>
      </c>
      <c r="BF53" s="201" t="e">
        <f t="shared" si="1"/>
        <v>#DIV/0!</v>
      </c>
      <c r="BG53" s="201" t="e">
        <f t="shared" si="1"/>
        <v>#DIV/0!</v>
      </c>
      <c r="BH53" s="201" t="e">
        <f t="shared" si="1"/>
        <v>#DIV/0!</v>
      </c>
      <c r="BI53" s="201" t="e">
        <f t="shared" si="1"/>
        <v>#DIV/0!</v>
      </c>
      <c r="BJ53" s="201" t="e">
        <f t="shared" si="1"/>
        <v>#DIV/0!</v>
      </c>
      <c r="BK53" s="200" t="e">
        <f t="shared" si="1"/>
        <v>#DIV/0!</v>
      </c>
    </row>
    <row r="54" spans="1:63" ht="15.75" thickBot="1" x14ac:dyDescent="0.3">
      <c r="A54" t="s">
        <v>229</v>
      </c>
    </row>
    <row r="55" spans="1:63" ht="15.75" thickBot="1" x14ac:dyDescent="0.3">
      <c r="A55" s="235" t="s">
        <v>294</v>
      </c>
      <c r="B55" s="236"/>
      <c r="C55" s="236"/>
      <c r="D55" s="236"/>
      <c r="E55" s="236"/>
      <c r="F55" s="236"/>
      <c r="G55" s="236"/>
      <c r="H55" s="237"/>
    </row>
    <row r="56" spans="1:63" x14ac:dyDescent="0.25">
      <c r="B56" t="s">
        <v>293</v>
      </c>
      <c r="C56" t="s">
        <v>292</v>
      </c>
      <c r="D56" t="s">
        <v>206</v>
      </c>
      <c r="E56" t="s">
        <v>291</v>
      </c>
      <c r="F56" t="s">
        <v>290</v>
      </c>
      <c r="G56" t="s">
        <v>289</v>
      </c>
      <c r="H56" t="s">
        <v>288</v>
      </c>
      <c r="I56" t="s">
        <v>287</v>
      </c>
      <c r="J56" t="s">
        <v>286</v>
      </c>
      <c r="K56" t="s">
        <v>285</v>
      </c>
      <c r="L56" t="s">
        <v>284</v>
      </c>
      <c r="M56" t="s">
        <v>283</v>
      </c>
      <c r="N56" t="s">
        <v>282</v>
      </c>
      <c r="O56" t="s">
        <v>281</v>
      </c>
      <c r="P56" t="s">
        <v>280</v>
      </c>
      <c r="Q56" t="s">
        <v>279</v>
      </c>
      <c r="R56" t="s">
        <v>278</v>
      </c>
      <c r="S56" t="s">
        <v>277</v>
      </c>
      <c r="T56" t="s">
        <v>276</v>
      </c>
      <c r="U56" t="s">
        <v>275</v>
      </c>
      <c r="V56" t="s">
        <v>274</v>
      </c>
      <c r="W56" t="s">
        <v>273</v>
      </c>
      <c r="X56" t="s">
        <v>272</v>
      </c>
      <c r="Y56" t="s">
        <v>271</v>
      </c>
      <c r="Z56" t="s">
        <v>270</v>
      </c>
      <c r="AA56" t="s">
        <v>269</v>
      </c>
      <c r="AB56" t="s">
        <v>268</v>
      </c>
      <c r="AC56" t="s">
        <v>267</v>
      </c>
      <c r="AD56" t="s">
        <v>266</v>
      </c>
      <c r="AE56" t="s">
        <v>265</v>
      </c>
      <c r="AF56" t="s">
        <v>264</v>
      </c>
      <c r="AG56" t="s">
        <v>263</v>
      </c>
      <c r="AH56" t="s">
        <v>262</v>
      </c>
      <c r="AI56" t="s">
        <v>261</v>
      </c>
      <c r="AJ56" t="s">
        <v>260</v>
      </c>
      <c r="AK56" t="s">
        <v>259</v>
      </c>
      <c r="AL56" t="s">
        <v>205</v>
      </c>
      <c r="AM56" t="s">
        <v>258</v>
      </c>
      <c r="AN56" t="s">
        <v>257</v>
      </c>
      <c r="AO56" t="s">
        <v>256</v>
      </c>
      <c r="AP56" t="s">
        <v>255</v>
      </c>
      <c r="AQ56" t="s">
        <v>254</v>
      </c>
      <c r="AR56" t="s">
        <v>253</v>
      </c>
      <c r="AS56" t="s">
        <v>252</v>
      </c>
      <c r="AT56" t="s">
        <v>251</v>
      </c>
      <c r="AU56" t="s">
        <v>250</v>
      </c>
      <c r="AV56" t="s">
        <v>249</v>
      </c>
      <c r="AW56" t="s">
        <v>248</v>
      </c>
      <c r="AX56" t="s">
        <v>247</v>
      </c>
      <c r="AY56" t="s">
        <v>246</v>
      </c>
      <c r="AZ56" t="s">
        <v>245</v>
      </c>
      <c r="BA56" t="s">
        <v>244</v>
      </c>
      <c r="BB56" t="s">
        <v>243</v>
      </c>
      <c r="BC56" t="s">
        <v>242</v>
      </c>
      <c r="BD56" t="s">
        <v>241</v>
      </c>
      <c r="BE56" t="s">
        <v>240</v>
      </c>
      <c r="BF56" t="s">
        <v>239</v>
      </c>
      <c r="BG56" t="s">
        <v>238</v>
      </c>
      <c r="BH56" t="s">
        <v>237</v>
      </c>
      <c r="BI56" t="s">
        <v>236</v>
      </c>
      <c r="BJ56" t="s">
        <v>235</v>
      </c>
      <c r="BK56" t="s">
        <v>234</v>
      </c>
    </row>
    <row r="57" spans="1:63" ht="15.75" thickBot="1" x14ac:dyDescent="0.3">
      <c r="A57" s="183"/>
    </row>
    <row r="58" spans="1:63" ht="15.75" thickBot="1" x14ac:dyDescent="0.3">
      <c r="A58" s="199" t="s">
        <v>233</v>
      </c>
      <c r="B58" s="202" t="e">
        <f t="shared" ref="B58:AG58" si="2">B57-B53</f>
        <v>#DIV/0!</v>
      </c>
      <c r="C58" s="201" t="e">
        <f t="shared" si="2"/>
        <v>#DIV/0!</v>
      </c>
      <c r="D58" s="201" t="e">
        <f t="shared" si="2"/>
        <v>#DIV/0!</v>
      </c>
      <c r="E58" s="201" t="e">
        <f t="shared" si="2"/>
        <v>#DIV/0!</v>
      </c>
      <c r="F58" s="201" t="e">
        <f t="shared" si="2"/>
        <v>#DIV/0!</v>
      </c>
      <c r="G58" s="201" t="e">
        <f t="shared" si="2"/>
        <v>#DIV/0!</v>
      </c>
      <c r="H58" s="201" t="e">
        <f t="shared" si="2"/>
        <v>#DIV/0!</v>
      </c>
      <c r="I58" s="201" t="e">
        <f t="shared" si="2"/>
        <v>#DIV/0!</v>
      </c>
      <c r="J58" s="201" t="e">
        <f t="shared" si="2"/>
        <v>#DIV/0!</v>
      </c>
      <c r="K58" s="201" t="e">
        <f t="shared" si="2"/>
        <v>#DIV/0!</v>
      </c>
      <c r="L58" s="201" t="e">
        <f t="shared" si="2"/>
        <v>#DIV/0!</v>
      </c>
      <c r="M58" s="201" t="e">
        <f t="shared" si="2"/>
        <v>#DIV/0!</v>
      </c>
      <c r="N58" s="201" t="e">
        <f t="shared" si="2"/>
        <v>#DIV/0!</v>
      </c>
      <c r="O58" s="201" t="e">
        <f t="shared" si="2"/>
        <v>#DIV/0!</v>
      </c>
      <c r="P58" s="201" t="e">
        <f t="shared" si="2"/>
        <v>#DIV/0!</v>
      </c>
      <c r="Q58" s="201" t="e">
        <f t="shared" si="2"/>
        <v>#DIV/0!</v>
      </c>
      <c r="R58" s="201" t="e">
        <f t="shared" si="2"/>
        <v>#DIV/0!</v>
      </c>
      <c r="S58" s="201" t="e">
        <f t="shared" si="2"/>
        <v>#DIV/0!</v>
      </c>
      <c r="T58" s="201" t="e">
        <f t="shared" si="2"/>
        <v>#DIV/0!</v>
      </c>
      <c r="U58" s="201" t="e">
        <f t="shared" si="2"/>
        <v>#DIV/0!</v>
      </c>
      <c r="V58" s="201" t="e">
        <f t="shared" si="2"/>
        <v>#DIV/0!</v>
      </c>
      <c r="W58" s="201" t="e">
        <f t="shared" si="2"/>
        <v>#DIV/0!</v>
      </c>
      <c r="X58" s="201" t="e">
        <f t="shared" si="2"/>
        <v>#DIV/0!</v>
      </c>
      <c r="Y58" s="201" t="e">
        <f t="shared" si="2"/>
        <v>#DIV/0!</v>
      </c>
      <c r="Z58" s="201" t="e">
        <f t="shared" si="2"/>
        <v>#DIV/0!</v>
      </c>
      <c r="AA58" s="201" t="e">
        <f t="shared" si="2"/>
        <v>#DIV/0!</v>
      </c>
      <c r="AB58" s="201" t="e">
        <f t="shared" si="2"/>
        <v>#DIV/0!</v>
      </c>
      <c r="AC58" s="201" t="e">
        <f t="shared" si="2"/>
        <v>#DIV/0!</v>
      </c>
      <c r="AD58" s="201" t="e">
        <f t="shared" si="2"/>
        <v>#DIV/0!</v>
      </c>
      <c r="AE58" s="201" t="e">
        <f t="shared" si="2"/>
        <v>#DIV/0!</v>
      </c>
      <c r="AF58" s="201" t="e">
        <f t="shared" si="2"/>
        <v>#DIV/0!</v>
      </c>
      <c r="AG58" s="201" t="e">
        <f t="shared" si="2"/>
        <v>#DIV/0!</v>
      </c>
      <c r="AH58" s="201" t="e">
        <f t="shared" ref="AH58:BK58" si="3">AH57-AH53</f>
        <v>#DIV/0!</v>
      </c>
      <c r="AI58" s="201" t="e">
        <f t="shared" si="3"/>
        <v>#DIV/0!</v>
      </c>
      <c r="AJ58" s="201" t="e">
        <f t="shared" si="3"/>
        <v>#DIV/0!</v>
      </c>
      <c r="AK58" s="201" t="e">
        <f t="shared" si="3"/>
        <v>#DIV/0!</v>
      </c>
      <c r="AL58" s="201" t="e">
        <f t="shared" si="3"/>
        <v>#DIV/0!</v>
      </c>
      <c r="AM58" s="201" t="e">
        <f t="shared" si="3"/>
        <v>#DIV/0!</v>
      </c>
      <c r="AN58" s="201" t="e">
        <f t="shared" si="3"/>
        <v>#DIV/0!</v>
      </c>
      <c r="AO58" s="201" t="e">
        <f t="shared" si="3"/>
        <v>#DIV/0!</v>
      </c>
      <c r="AP58" s="201" t="e">
        <f t="shared" si="3"/>
        <v>#DIV/0!</v>
      </c>
      <c r="AQ58" s="201" t="e">
        <f t="shared" si="3"/>
        <v>#DIV/0!</v>
      </c>
      <c r="AR58" s="201" t="e">
        <f t="shared" si="3"/>
        <v>#DIV/0!</v>
      </c>
      <c r="AS58" s="201" t="e">
        <f t="shared" si="3"/>
        <v>#DIV/0!</v>
      </c>
      <c r="AT58" s="201" t="e">
        <f t="shared" si="3"/>
        <v>#DIV/0!</v>
      </c>
      <c r="AU58" s="201" t="e">
        <f t="shared" si="3"/>
        <v>#DIV/0!</v>
      </c>
      <c r="AV58" s="201" t="e">
        <f t="shared" si="3"/>
        <v>#DIV/0!</v>
      </c>
      <c r="AW58" s="201" t="e">
        <f t="shared" si="3"/>
        <v>#DIV/0!</v>
      </c>
      <c r="AX58" s="201" t="e">
        <f t="shared" si="3"/>
        <v>#DIV/0!</v>
      </c>
      <c r="AY58" s="201" t="e">
        <f t="shared" si="3"/>
        <v>#DIV/0!</v>
      </c>
      <c r="AZ58" s="201" t="e">
        <f t="shared" si="3"/>
        <v>#DIV/0!</v>
      </c>
      <c r="BA58" s="201" t="e">
        <f t="shared" si="3"/>
        <v>#DIV/0!</v>
      </c>
      <c r="BB58" s="201" t="e">
        <f t="shared" si="3"/>
        <v>#DIV/0!</v>
      </c>
      <c r="BC58" s="201" t="e">
        <f t="shared" si="3"/>
        <v>#DIV/0!</v>
      </c>
      <c r="BD58" s="201" t="e">
        <f t="shared" si="3"/>
        <v>#DIV/0!</v>
      </c>
      <c r="BE58" s="201" t="e">
        <f t="shared" si="3"/>
        <v>#DIV/0!</v>
      </c>
      <c r="BF58" s="201" t="e">
        <f t="shared" si="3"/>
        <v>#DIV/0!</v>
      </c>
      <c r="BG58" s="201" t="e">
        <f t="shared" si="3"/>
        <v>#DIV/0!</v>
      </c>
      <c r="BH58" s="201" t="e">
        <f t="shared" si="3"/>
        <v>#DIV/0!</v>
      </c>
      <c r="BI58" s="201" t="e">
        <f t="shared" si="3"/>
        <v>#DIV/0!</v>
      </c>
      <c r="BJ58" s="201" t="e">
        <f t="shared" si="3"/>
        <v>#DIV/0!</v>
      </c>
      <c r="BK58" s="200" t="e">
        <f t="shared" si="3"/>
        <v>#DIV/0!</v>
      </c>
    </row>
    <row r="59" spans="1:63" ht="15.75" thickBot="1" x14ac:dyDescent="0.3">
      <c r="A59" s="199" t="s">
        <v>203</v>
      </c>
    </row>
    <row r="60" spans="1:63" ht="15.75" thickBot="1" x14ac:dyDescent="0.3">
      <c r="A60" s="199" t="s">
        <v>232</v>
      </c>
      <c r="B60" s="198" t="e">
        <f t="shared" ref="B60:AG60" si="4">B58/B59</f>
        <v>#DIV/0!</v>
      </c>
      <c r="C60" s="197" t="e">
        <f t="shared" si="4"/>
        <v>#DIV/0!</v>
      </c>
      <c r="D60" s="197" t="e">
        <f t="shared" si="4"/>
        <v>#DIV/0!</v>
      </c>
      <c r="E60" s="197" t="e">
        <f t="shared" si="4"/>
        <v>#DIV/0!</v>
      </c>
      <c r="F60" s="197" t="e">
        <f t="shared" si="4"/>
        <v>#DIV/0!</v>
      </c>
      <c r="G60" s="197" t="e">
        <f t="shared" si="4"/>
        <v>#DIV/0!</v>
      </c>
      <c r="H60" s="197" t="e">
        <f t="shared" si="4"/>
        <v>#DIV/0!</v>
      </c>
      <c r="I60" s="197" t="e">
        <f t="shared" si="4"/>
        <v>#DIV/0!</v>
      </c>
      <c r="J60" s="197" t="e">
        <f t="shared" si="4"/>
        <v>#DIV/0!</v>
      </c>
      <c r="K60" s="197" t="e">
        <f t="shared" si="4"/>
        <v>#DIV/0!</v>
      </c>
      <c r="L60" s="197" t="e">
        <f t="shared" si="4"/>
        <v>#DIV/0!</v>
      </c>
      <c r="M60" s="197" t="e">
        <f t="shared" si="4"/>
        <v>#DIV/0!</v>
      </c>
      <c r="N60" s="197" t="e">
        <f t="shared" si="4"/>
        <v>#DIV/0!</v>
      </c>
      <c r="O60" s="197" t="e">
        <f t="shared" si="4"/>
        <v>#DIV/0!</v>
      </c>
      <c r="P60" s="197" t="e">
        <f t="shared" si="4"/>
        <v>#DIV/0!</v>
      </c>
      <c r="Q60" s="197" t="e">
        <f t="shared" si="4"/>
        <v>#DIV/0!</v>
      </c>
      <c r="R60" s="197" t="e">
        <f t="shared" si="4"/>
        <v>#DIV/0!</v>
      </c>
      <c r="S60" s="197" t="e">
        <f t="shared" si="4"/>
        <v>#DIV/0!</v>
      </c>
      <c r="T60" s="197" t="e">
        <f t="shared" si="4"/>
        <v>#DIV/0!</v>
      </c>
      <c r="U60" s="197" t="e">
        <f t="shared" si="4"/>
        <v>#DIV/0!</v>
      </c>
      <c r="V60" s="197" t="e">
        <f t="shared" si="4"/>
        <v>#DIV/0!</v>
      </c>
      <c r="W60" s="197" t="e">
        <f t="shared" si="4"/>
        <v>#DIV/0!</v>
      </c>
      <c r="X60" s="197" t="e">
        <f t="shared" si="4"/>
        <v>#DIV/0!</v>
      </c>
      <c r="Y60" s="197" t="e">
        <f t="shared" si="4"/>
        <v>#DIV/0!</v>
      </c>
      <c r="Z60" s="197" t="e">
        <f t="shared" si="4"/>
        <v>#DIV/0!</v>
      </c>
      <c r="AA60" s="197" t="e">
        <f t="shared" si="4"/>
        <v>#DIV/0!</v>
      </c>
      <c r="AB60" s="197" t="e">
        <f t="shared" si="4"/>
        <v>#DIV/0!</v>
      </c>
      <c r="AC60" s="197" t="e">
        <f t="shared" si="4"/>
        <v>#DIV/0!</v>
      </c>
      <c r="AD60" s="197" t="e">
        <f t="shared" si="4"/>
        <v>#DIV/0!</v>
      </c>
      <c r="AE60" s="197" t="e">
        <f t="shared" si="4"/>
        <v>#DIV/0!</v>
      </c>
      <c r="AF60" s="197" t="e">
        <f t="shared" si="4"/>
        <v>#DIV/0!</v>
      </c>
      <c r="AG60" s="197" t="e">
        <f t="shared" si="4"/>
        <v>#DIV/0!</v>
      </c>
      <c r="AH60" s="197" t="e">
        <f t="shared" ref="AH60:BK60" si="5">AH58/AH59</f>
        <v>#DIV/0!</v>
      </c>
      <c r="AI60" s="197" t="e">
        <f t="shared" si="5"/>
        <v>#DIV/0!</v>
      </c>
      <c r="AJ60" s="197" t="e">
        <f t="shared" si="5"/>
        <v>#DIV/0!</v>
      </c>
      <c r="AK60" s="197" t="e">
        <f t="shared" si="5"/>
        <v>#DIV/0!</v>
      </c>
      <c r="AL60" s="197" t="e">
        <f t="shared" si="5"/>
        <v>#DIV/0!</v>
      </c>
      <c r="AM60" s="197" t="e">
        <f t="shared" si="5"/>
        <v>#DIV/0!</v>
      </c>
      <c r="AN60" s="197" t="e">
        <f t="shared" si="5"/>
        <v>#DIV/0!</v>
      </c>
      <c r="AO60" s="197" t="e">
        <f t="shared" si="5"/>
        <v>#DIV/0!</v>
      </c>
      <c r="AP60" s="197" t="e">
        <f t="shared" si="5"/>
        <v>#DIV/0!</v>
      </c>
      <c r="AQ60" s="197" t="e">
        <f t="shared" si="5"/>
        <v>#DIV/0!</v>
      </c>
      <c r="AR60" s="197" t="e">
        <f t="shared" si="5"/>
        <v>#DIV/0!</v>
      </c>
      <c r="AS60" s="197" t="e">
        <f t="shared" si="5"/>
        <v>#DIV/0!</v>
      </c>
      <c r="AT60" s="197" t="e">
        <f t="shared" si="5"/>
        <v>#DIV/0!</v>
      </c>
      <c r="AU60" s="197" t="e">
        <f t="shared" si="5"/>
        <v>#DIV/0!</v>
      </c>
      <c r="AV60" s="197" t="e">
        <f t="shared" si="5"/>
        <v>#DIV/0!</v>
      </c>
      <c r="AW60" s="197" t="e">
        <f t="shared" si="5"/>
        <v>#DIV/0!</v>
      </c>
      <c r="AX60" s="197" t="e">
        <f t="shared" si="5"/>
        <v>#DIV/0!</v>
      </c>
      <c r="AY60" s="197" t="e">
        <f t="shared" si="5"/>
        <v>#DIV/0!</v>
      </c>
      <c r="AZ60" s="197" t="e">
        <f t="shared" si="5"/>
        <v>#DIV/0!</v>
      </c>
      <c r="BA60" s="197" t="e">
        <f t="shared" si="5"/>
        <v>#DIV/0!</v>
      </c>
      <c r="BB60" s="197" t="e">
        <f t="shared" si="5"/>
        <v>#DIV/0!</v>
      </c>
      <c r="BC60" s="197" t="e">
        <f t="shared" si="5"/>
        <v>#DIV/0!</v>
      </c>
      <c r="BD60" s="197" t="e">
        <f t="shared" si="5"/>
        <v>#DIV/0!</v>
      </c>
      <c r="BE60" s="197" t="e">
        <f t="shared" si="5"/>
        <v>#DIV/0!</v>
      </c>
      <c r="BF60" s="197" t="e">
        <f t="shared" si="5"/>
        <v>#DIV/0!</v>
      </c>
      <c r="BG60" s="197" t="e">
        <f t="shared" si="5"/>
        <v>#DIV/0!</v>
      </c>
      <c r="BH60" s="197" t="e">
        <f t="shared" si="5"/>
        <v>#DIV/0!</v>
      </c>
      <c r="BI60" s="197" t="e">
        <f t="shared" si="5"/>
        <v>#DIV/0!</v>
      </c>
      <c r="BJ60" s="197" t="e">
        <f t="shared" si="5"/>
        <v>#DIV/0!</v>
      </c>
      <c r="BK60" s="196" t="e">
        <f t="shared" si="5"/>
        <v>#DIV/0!</v>
      </c>
    </row>
    <row r="63" spans="1:63" ht="15.75" thickBot="1" x14ac:dyDescent="0.3">
      <c r="A63" s="195" t="s">
        <v>231</v>
      </c>
    </row>
    <row r="64" spans="1:63" ht="15.75" thickBot="1" x14ac:dyDescent="0.3">
      <c r="A64" s="238" t="s">
        <v>230</v>
      </c>
      <c r="B64" s="239"/>
      <c r="C64" s="239"/>
      <c r="D64" s="239"/>
      <c r="E64" s="239"/>
      <c r="F64" s="239"/>
      <c r="G64" s="239"/>
      <c r="H64" s="240"/>
    </row>
  </sheetData>
  <mergeCells count="11">
    <mergeCell ref="A64:H64"/>
    <mergeCell ref="H28:I28"/>
    <mergeCell ref="A47:H47"/>
    <mergeCell ref="A48:H48"/>
    <mergeCell ref="A55:H55"/>
    <mergeCell ref="A1:G1"/>
    <mergeCell ref="Q1:R1"/>
    <mergeCell ref="M1:N1"/>
    <mergeCell ref="O1:P1"/>
    <mergeCell ref="H16:L16"/>
    <mergeCell ref="H1:L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20676F4B55C644F923E04FD4B4BD4C4" ma:contentTypeVersion="9" ma:contentTypeDescription="Create a new document." ma:contentTypeScope="" ma:versionID="0af9f5bd2d93ebe474eef69c7f810150">
  <xsd:schema xmlns:xsd="http://www.w3.org/2001/XMLSchema" xmlns:xs="http://www.w3.org/2001/XMLSchema" xmlns:p="http://schemas.microsoft.com/office/2006/metadata/properties" xmlns:ns2="1025791a-d79c-4e34-beff-e64a4f1071c8" targetNamespace="http://schemas.microsoft.com/office/2006/metadata/properties" ma:root="true" ma:fieldsID="ad5f17b5cb35dde6adfdd0dd9b8d00ee" ns2:_="">
    <xsd:import namespace="1025791a-d79c-4e34-beff-e64a4f1071c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25791a-d79c-4e34-beff-e64a4f1071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408339F-CAE9-4ADC-BD7C-B86BF6E1F160}">
  <ds:schemaRefs>
    <ds:schemaRef ds:uri="http://schemas.microsoft.com/sharepoint/v3/contenttype/forms"/>
  </ds:schemaRefs>
</ds:datastoreItem>
</file>

<file path=customXml/itemProps2.xml><?xml version="1.0" encoding="utf-8"?>
<ds:datastoreItem xmlns:ds="http://schemas.openxmlformats.org/officeDocument/2006/customXml" ds:itemID="{39963E72-D39E-45CB-BF49-56C6C0D9D0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25791a-d79c-4e34-beff-e64a4f1071c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DCC991E-1AD6-4D42-BAF1-24EA4DC6BF24}">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1025791a-d79c-4e34-beff-e64a4f1071c8"/>
    <ds:schemaRef ds:uri="http://purl.org/dc/term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Validator Notes</vt:lpstr>
      <vt:lpstr>QC Review</vt:lpstr>
      <vt:lpstr>Reprocessed Data</vt:lpstr>
      <vt:lpstr>Reprocess Plan</vt:lpstr>
      <vt:lpstr>QUALIFIERS_NULL </vt:lpstr>
      <vt:lpstr>Reference Info</vt:lpstr>
      <vt:lpstr>Calculations</vt:lpstr>
      <vt:lpstr>'QC Review'!Print_Area</vt:lpstr>
      <vt:lpstr>'QUALIFIERS_NULL '!Print_Area</vt:lpstr>
      <vt:lpstr>'Reprocess Plan'!Print_Area</vt:lpstr>
      <vt:lpstr>'Reprocessed Data'!Print_Area</vt:lpstr>
      <vt:lpstr>'Validator Notes'!Print_Area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sighi</dc:creator>
  <cp:lastModifiedBy>Alex Engstrom</cp:lastModifiedBy>
  <cp:lastPrinted>2023-04-04T21:02:08Z</cp:lastPrinted>
  <dcterms:created xsi:type="dcterms:W3CDTF">2019-09-27T22:33:13Z</dcterms:created>
  <dcterms:modified xsi:type="dcterms:W3CDTF">2026-05-07T17:52:44Z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0x010100920676F4B55C644F923E04FD4B4BD4C4</vt:lpwstr>
  </property>
</Properties>
</file>