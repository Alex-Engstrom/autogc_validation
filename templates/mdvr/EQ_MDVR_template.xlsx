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utogc_validation\templates\mdvr\"/>
    </mc:Choice>
  </mc:AlternateContent>
  <xr:revisionPtr revIDLastSave="0" documentId="13_ncr:1_{C0A63373-E38F-4E3E-8607-9D70E8DEA399}" xr6:coauthVersionLast="47" xr6:coauthVersionMax="47" xr10:uidLastSave="{00000000-0000-0000-0000-000000000000}"/>
  <bookViews>
    <workbookView xWindow="-108" yWindow="-108" windowWidth="23256" windowHeight="12456" tabRatio="728" xr2:uid="{E37DDDF8-73F6-4E92-BA4E-6EA5ABD1E492}"/>
  </bookViews>
  <sheets>
    <sheet name="Validator Notes" sheetId="1" r:id="rId1"/>
    <sheet name="QC Review" sheetId="10" r:id="rId2"/>
    <sheet name="Reprocessed Data" sheetId="2" r:id="rId3"/>
    <sheet name="Reprocess Plan" sheetId="3" r:id="rId4"/>
    <sheet name="QUALIFIERS_NULL " sheetId="11" r:id="rId5"/>
    <sheet name="Calculations" sheetId="13" r:id="rId6"/>
  </sheets>
  <definedNames>
    <definedName name="_xlnm.Print_Area" localSheetId="1">'QC Review'!$A$1:$G$119</definedName>
    <definedName name="_xlnm.Print_Area" localSheetId="4">'QUALIFIERS_NULL '!$A$1:$XEZ$52</definedName>
    <definedName name="_xlnm.Print_Area" localSheetId="3">'Reprocess Plan'!$C$1:$BH$188</definedName>
    <definedName name="_xlnm.Print_Area" localSheetId="2">'Reprocessed Data'!$A$1:$L$88</definedName>
    <definedName name="_xlnm.Print_Area" localSheetId="0">'Validator Notes'!$A$1:$M$92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13" l="1"/>
  <c r="D7" i="13"/>
  <c r="G11" i="13"/>
  <c r="T11" i="13"/>
  <c r="AE5" i="13" s="1"/>
  <c r="V11" i="13"/>
  <c r="AE6" i="13" s="1"/>
  <c r="D12" i="13"/>
  <c r="G12" i="13"/>
  <c r="T12" i="13"/>
  <c r="AD5" i="13" s="1"/>
  <c r="V12" i="13"/>
  <c r="W8" i="13" s="1"/>
  <c r="T13" i="13"/>
  <c r="V13" i="13"/>
  <c r="D14" i="13"/>
  <c r="G14" i="13"/>
  <c r="D15" i="13"/>
  <c r="K15" i="13"/>
  <c r="M15" i="13"/>
  <c r="K16" i="13"/>
  <c r="AC5" i="13" s="1"/>
  <c r="M16" i="13"/>
  <c r="N8" i="13" s="1"/>
  <c r="K18" i="13"/>
  <c r="M18" i="13"/>
  <c r="D22" i="13"/>
  <c r="G22" i="13"/>
  <c r="D23" i="13"/>
  <c r="D25" i="13"/>
  <c r="G25" i="13"/>
  <c r="I25" i="13"/>
  <c r="D26" i="13"/>
  <c r="G26" i="13"/>
  <c r="I26" i="13"/>
  <c r="D27" i="13"/>
  <c r="G27" i="13"/>
  <c r="I27" i="13"/>
  <c r="G31" i="13"/>
  <c r="I31" i="13"/>
  <c r="G34" i="13"/>
  <c r="I34" i="13"/>
  <c r="D36" i="13"/>
  <c r="G36" i="13"/>
  <c r="I36" i="13"/>
  <c r="D37" i="13"/>
  <c r="G37" i="13"/>
  <c r="I37" i="13"/>
  <c r="D38" i="13"/>
  <c r="G38" i="13"/>
  <c r="I38" i="13"/>
  <c r="D39" i="13"/>
  <c r="B41" i="13"/>
  <c r="C35" i="13" s="1"/>
  <c r="E41" i="13"/>
  <c r="F29" i="13" s="1"/>
  <c r="B42" i="13"/>
  <c r="D13" i="13" s="1"/>
  <c r="E42" i="13"/>
  <c r="G17" i="13" s="1"/>
  <c r="I42" i="13"/>
  <c r="B43" i="13"/>
  <c r="E43" i="13"/>
  <c r="B44" i="13"/>
  <c r="C29" i="13" s="1"/>
  <c r="E44" i="13"/>
  <c r="F17" i="13" s="1"/>
  <c r="L8" i="13" l="1"/>
  <c r="AB5" i="13"/>
  <c r="I45" i="13"/>
  <c r="G21" i="13"/>
  <c r="I44" i="13"/>
  <c r="D21" i="13"/>
  <c r="D10" i="13"/>
  <c r="I43" i="13"/>
  <c r="G19" i="13"/>
  <c r="D8" i="13"/>
  <c r="D34" i="13"/>
  <c r="D11" i="13"/>
  <c r="I33" i="13"/>
  <c r="G10" i="13"/>
  <c r="G33" i="13"/>
  <c r="G20" i="13"/>
  <c r="D33" i="13"/>
  <c r="D20" i="13"/>
  <c r="I32" i="13"/>
  <c r="G8" i="13"/>
  <c r="G32" i="13"/>
  <c r="D19" i="13"/>
  <c r="D32" i="13"/>
  <c r="G7" i="13"/>
  <c r="D17" i="13"/>
  <c r="Z6" i="13"/>
  <c r="D31" i="13"/>
  <c r="I41" i="13"/>
  <c r="G16" i="13"/>
  <c r="G28" i="13"/>
  <c r="I30" i="13"/>
  <c r="D30" i="13"/>
  <c r="Z5" i="13"/>
  <c r="D29" i="13"/>
  <c r="D16" i="13"/>
  <c r="D40" i="13"/>
  <c r="I28" i="13"/>
  <c r="I39" i="13"/>
  <c r="G39" i="13"/>
  <c r="D28" i="13"/>
  <c r="G15" i="13"/>
  <c r="C23" i="13"/>
  <c r="F28" i="13"/>
  <c r="C8" i="13"/>
  <c r="F12" i="13"/>
  <c r="F16" i="13"/>
  <c r="C39" i="13"/>
  <c r="N7" i="13"/>
  <c r="L7" i="13"/>
  <c r="C33" i="13"/>
  <c r="F27" i="13"/>
  <c r="F7" i="13"/>
  <c r="C7" i="13"/>
  <c r="C32" i="13"/>
  <c r="F26" i="13"/>
  <c r="C20" i="13"/>
  <c r="F15" i="13"/>
  <c r="AD6" i="13"/>
  <c r="C40" i="13"/>
  <c r="C17" i="13"/>
  <c r="F22" i="13"/>
  <c r="F39" i="13"/>
  <c r="C27" i="13"/>
  <c r="C38" i="13"/>
  <c r="F32" i="13"/>
  <c r="F20" i="13"/>
  <c r="F11" i="13"/>
  <c r="C11" i="13"/>
  <c r="C28" i="13"/>
  <c r="C22" i="13"/>
  <c r="C12" i="13"/>
  <c r="F33" i="13"/>
  <c r="F21" i="13"/>
  <c r="C16" i="13"/>
  <c r="F38" i="13"/>
  <c r="C21" i="13"/>
  <c r="F19" i="13"/>
  <c r="F10" i="13"/>
  <c r="F31" i="13"/>
  <c r="AA6" i="13"/>
  <c r="C19" i="13"/>
  <c r="F14" i="13"/>
  <c r="C10" i="13"/>
  <c r="F25" i="13"/>
  <c r="W6" i="13"/>
  <c r="F36" i="13"/>
  <c r="C14" i="13"/>
  <c r="U6" i="13"/>
  <c r="G30" i="13"/>
  <c r="C25" i="13"/>
  <c r="N9" i="13"/>
  <c r="N6" i="13"/>
  <c r="C36" i="13"/>
  <c r="F30" i="13"/>
  <c r="I24" i="13"/>
  <c r="L9" i="13"/>
  <c r="L6" i="13"/>
  <c r="G6" i="13"/>
  <c r="F34" i="13"/>
  <c r="F37" i="13"/>
  <c r="AC6" i="13"/>
  <c r="C26" i="13"/>
  <c r="C15" i="13"/>
  <c r="AB6" i="13"/>
  <c r="C37" i="13"/>
  <c r="C31" i="13"/>
  <c r="W9" i="13"/>
  <c r="U9" i="13"/>
  <c r="I35" i="13"/>
  <c r="G24" i="13"/>
  <c r="G18" i="13"/>
  <c r="G9" i="13"/>
  <c r="G35" i="13"/>
  <c r="C30" i="13"/>
  <c r="F24" i="13"/>
  <c r="F18" i="13"/>
  <c r="F9" i="13"/>
  <c r="F6" i="13"/>
  <c r="F35" i="13"/>
  <c r="I29" i="13"/>
  <c r="D24" i="13"/>
  <c r="D18" i="13"/>
  <c r="G13" i="13"/>
  <c r="D9" i="13"/>
  <c r="D6" i="13"/>
  <c r="I40" i="13"/>
  <c r="D35" i="13"/>
  <c r="G29" i="13"/>
  <c r="C24" i="13"/>
  <c r="C18" i="13"/>
  <c r="F13" i="13"/>
  <c r="C9" i="13"/>
  <c r="C6" i="13"/>
  <c r="G40" i="13"/>
  <c r="G23" i="13"/>
  <c r="C34" i="13"/>
  <c r="F8" i="13"/>
  <c r="F40" i="13"/>
  <c r="F23" i="13"/>
  <c r="C13" i="13"/>
  <c r="U8" i="13"/>
  <c r="W13" i="13" l="1"/>
  <c r="W11" i="13"/>
  <c r="L18" i="13"/>
  <c r="L15" i="13"/>
  <c r="N18" i="13"/>
  <c r="N15" i="13"/>
  <c r="U13" i="13"/>
  <c r="U11" i="13"/>
  <c r="B3" i="11" l="1"/>
  <c r="B4" i="11"/>
  <c r="B5" i="11"/>
  <c r="M33" i="1" l="1"/>
  <c r="D88" i="1" l="1"/>
  <c r="C88" i="1"/>
  <c r="L38" i="1" l="1"/>
  <c r="L34" i="1"/>
  <c r="E88" i="1" l="1"/>
  <c r="L37" i="1" l="1"/>
  <c r="B47" i="1" l="1"/>
  <c r="B48" i="1"/>
  <c r="L33" i="1" l="1"/>
  <c r="B46" i="1" l="1"/>
  <c r="L40" i="1"/>
  <c r="M39" i="1"/>
  <c r="L39" i="1"/>
  <c r="M37" i="1"/>
  <c r="L36" i="1"/>
  <c r="M35" i="1"/>
  <c r="L35" i="1"/>
  <c r="E3" i="10" l="1"/>
  <c r="B4" i="10"/>
  <c r="B3" i="10"/>
  <c r="B4" i="2" l="1"/>
  <c r="B5" i="2"/>
  <c r="B3" i="2"/>
  <c r="Z2" i="3"/>
  <c r="Z49" i="3" s="1"/>
  <c r="P2" i="3"/>
  <c r="P49" i="3" s="1"/>
  <c r="P143" i="3" l="1"/>
  <c r="P96" i="3"/>
  <c r="Z96" i="3"/>
  <c r="Z143" i="3"/>
</calcChain>
</file>

<file path=xl/sharedStrings.xml><?xml version="1.0" encoding="utf-8"?>
<sst xmlns="http://schemas.openxmlformats.org/spreadsheetml/2006/main" count="1383" uniqueCount="268">
  <si>
    <t>Site</t>
  </si>
  <si>
    <t>Month/Year</t>
  </si>
  <si>
    <t>Validator</t>
  </si>
  <si>
    <t>Batch</t>
  </si>
  <si>
    <t>single file rpo</t>
  </si>
  <si>
    <t>Data Range</t>
  </si>
  <si>
    <t>Date</t>
  </si>
  <si>
    <t>Column</t>
  </si>
  <si>
    <t>Corrections Made</t>
  </si>
  <si>
    <t>data file</t>
  </si>
  <si>
    <t>Hour</t>
  </si>
  <si>
    <t>-</t>
  </si>
  <si>
    <t>RPO</t>
  </si>
  <si>
    <t>Reprocess Plan</t>
  </si>
  <si>
    <t>Site:</t>
  </si>
  <si>
    <t>Month/Year:</t>
  </si>
  <si>
    <t>Pg.</t>
  </si>
  <si>
    <t>A</t>
  </si>
  <si>
    <t>B</t>
  </si>
  <si>
    <t>C</t>
  </si>
  <si>
    <t>D</t>
  </si>
  <si>
    <t>E</t>
  </si>
  <si>
    <t>F</t>
  </si>
  <si>
    <t>G</t>
  </si>
  <si>
    <t>H</t>
  </si>
  <si>
    <t>I</t>
  </si>
  <si>
    <t>J</t>
  </si>
  <si>
    <t>K</t>
  </si>
  <si>
    <t>L</t>
  </si>
  <si>
    <t>M</t>
  </si>
  <si>
    <t>N</t>
  </si>
  <si>
    <t>O</t>
  </si>
  <si>
    <t>P</t>
  </si>
  <si>
    <t>Q</t>
  </si>
  <si>
    <t>R</t>
  </si>
  <si>
    <t>S</t>
  </si>
  <si>
    <t>T</t>
  </si>
  <si>
    <t>U</t>
  </si>
  <si>
    <t>V</t>
  </si>
  <si>
    <t>W</t>
  </si>
  <si>
    <t>X</t>
  </si>
  <si>
    <t>Checked PLOT</t>
  </si>
  <si>
    <t>RPO PLOT</t>
  </si>
  <si>
    <t>Checked BP</t>
  </si>
  <si>
    <t>RPO BP</t>
  </si>
  <si>
    <t>Invalid PLOT</t>
  </si>
  <si>
    <t>Invalid BP</t>
  </si>
  <si>
    <t>Notes:</t>
  </si>
  <si>
    <t>Validator Notes</t>
  </si>
  <si>
    <t>Validation Prep:</t>
  </si>
  <si>
    <t>Review Quicklooks:</t>
  </si>
  <si>
    <t>Review Oplog:</t>
  </si>
  <si>
    <t>Dates (1-31) Hours (A-X)</t>
  </si>
  <si>
    <t>Invalidate missing hours</t>
  </si>
  <si>
    <t>Invalidate data collection errors</t>
  </si>
  <si>
    <t>Pick hours to view (1st/last month, surrounding invalidations)</t>
  </si>
  <si>
    <t>Review Chromatography:</t>
  </si>
  <si>
    <t>Review Reprocess Plan:</t>
  </si>
  <si>
    <t>All highlighted hours have been viewed</t>
  </si>
  <si>
    <t>Validation:</t>
  </si>
  <si>
    <t>CVS</t>
  </si>
  <si>
    <t>Blank</t>
  </si>
  <si>
    <t>LCS</t>
  </si>
  <si>
    <t>RTS</t>
  </si>
  <si>
    <t>Missing Data</t>
  </si>
  <si>
    <t>Invalidate</t>
  </si>
  <si>
    <t xml:space="preserve">1) RSD (Plot) = </t>
  </si>
  <si>
    <t xml:space="preserve">2) RSD (BP) = </t>
  </si>
  <si>
    <t xml:space="preserve">1) RSD (BP) = </t>
  </si>
  <si>
    <t xml:space="preserve">2) RSD (Plot) = </t>
  </si>
  <si>
    <t>Op Log</t>
  </si>
  <si>
    <t>All QC samples have been viewed</t>
  </si>
  <si>
    <t>Total # of Records</t>
  </si>
  <si>
    <t>Date data recovery</t>
  </si>
  <si>
    <t>Hours in Time Period</t>
  </si>
  <si>
    <t>% Data Return adjusted for QC</t>
  </si>
  <si>
    <t>Reprocessed Data matches Reprocess Plan</t>
  </si>
  <si>
    <t>AQS File Date</t>
  </si>
  <si>
    <t>Applied Validation Lock</t>
  </si>
  <si>
    <t>Zip data folder (including raw, rst, tx0, mtd, seq)</t>
  </si>
  <si>
    <t>Invalidate TMNHC/TC if invalidating 8+ compounds</t>
  </si>
  <si>
    <t xml:space="preserve">EH = </t>
  </si>
  <si>
    <t>Reprocessed file</t>
  </si>
  <si>
    <t>RP</t>
  </si>
  <si>
    <t>Over-ranges - If valid: remove flag, recal &amp; store, update excel</t>
  </si>
  <si>
    <t>Total Valid Ambient Hours</t>
  </si>
  <si>
    <t>Total Null Flagged QC</t>
  </si>
  <si>
    <t>Total Invalid Hours</t>
  </si>
  <si>
    <t>Valid Ambient Recovery (%)</t>
  </si>
  <si>
    <t>Check this Hour</t>
  </si>
  <si>
    <t>OK</t>
  </si>
  <si>
    <t>Hour reviewed and correct</t>
  </si>
  <si>
    <t>Month Notes</t>
  </si>
  <si>
    <t>method</t>
  </si>
  <si>
    <t>Sequence</t>
  </si>
  <si>
    <t>Stock Cylinder Changes - Verify in MAX</t>
  </si>
  <si>
    <t>Totl Valid Ambient Plus QC</t>
  </si>
  <si>
    <t>Date File Archived</t>
  </si>
  <si>
    <r>
      <t>AQS File Name</t>
    </r>
    <r>
      <rPr>
        <sz val="11"/>
        <rFont val="Calibri"/>
        <family val="2"/>
        <scheme val="minor"/>
      </rPr>
      <t xml:space="preserve"> (MMMYYYYXX)</t>
    </r>
  </si>
  <si>
    <t>QC Type</t>
  </si>
  <si>
    <t>CVS Precision</t>
  </si>
  <si>
    <t>Audit</t>
  </si>
  <si>
    <t>Plot Column Notes</t>
  </si>
  <si>
    <t>BP  Notes</t>
  </si>
  <si>
    <t>Filename</t>
  </si>
  <si>
    <t>Actions</t>
  </si>
  <si>
    <t>Date/Time</t>
  </si>
  <si>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</si>
  <si>
    <t>If reprocessed, viewed reprocessed QC/Ambient</t>
  </si>
  <si>
    <t>View hours before &amp; after reprocessed data</t>
  </si>
  <si>
    <t>View hours before &amp; after invalidations</t>
  </si>
  <si>
    <t>Final QC report reviewed for addition invalidations</t>
  </si>
  <si>
    <t>Review new Quicklooks &amp; compare with Reprocess Plan</t>
  </si>
  <si>
    <t>Flag invalid hours, components</t>
  </si>
  <si>
    <t>QC (CVS, CVS Precision, LCS, RTS, BLANK, Audit) Review</t>
  </si>
  <si>
    <t xml:space="preserve">Verify all Daily-ZIP folders are downloaded into U:\PLAN\AMC\GC-Agilent+Markes\Data\ORIGINAL\{YYYY}\{YYYYMM} </t>
  </si>
  <si>
    <t>Verify Operator Reprocessed zip folders are downloaded into U:\PLAN\AMC\GC-Agilent+Markes\Data\ORIGINAL\{YYYY}\{YYYYMM}</t>
  </si>
  <si>
    <t xml:space="preserve">Verify all data has been extracted to C:\Users\{Username}\Documents\AutoGC Data\{SiteID}\{YYYY}\{YYYYMM} </t>
  </si>
  <si>
    <t>Ensure dates, times, and site names/numbers in files match up and are continuous. document any missing files on the Validation Notes.</t>
  </si>
  <si>
    <t xml:space="preserve">View and Print the Operator Log Book (Desktop), Op Log backup (D:\EZ\HW-meth), and Operator Checklist (Desktop) from the HW-GC computer with 72 hours on either side of the month.  Review and highlight major events in the operator log book such as optimizations, cylinder changes, major events (calibrations), major malfunctions (power failures, trap, oven door failures), etc.  Highlight hours for review during or around major events as necessary per operator log book. </t>
  </si>
  <si>
    <t>Check CVS, Blanks, and LCS Reports  and notate failures</t>
  </si>
  <si>
    <t>Number of tx1s matches Reprocess Data</t>
  </si>
  <si>
    <t>Validate &amp; Lock data in MAX</t>
  </si>
  <si>
    <t>Load and Decode new TX1 files in MAX</t>
  </si>
  <si>
    <t>Archive File Name (HWyymmdd.zip)</t>
  </si>
  <si>
    <t>Data Completeness Report from Orset MAX</t>
  </si>
  <si>
    <t>*Report is based on the sample name in the tx0 or tx1 file.</t>
  </si>
  <si>
    <t>File Archive and AQS Upload</t>
  </si>
  <si>
    <t>All hourly invalidations recorded</t>
  </si>
  <si>
    <t>All QC failures listed as Invalidations or Qualified</t>
  </si>
  <si>
    <t>Correct PE Audit Samples</t>
  </si>
  <si>
    <t>Correct MDL Samples  - Create Spreadsheet</t>
  </si>
  <si>
    <t>Annual PM</t>
  </si>
  <si>
    <t>3pt Curve - Calculated RPD</t>
  </si>
  <si>
    <t>Move Xyymmdd.zip to U:\PLAN\AMC\GC-Agilent+Markes\Data\FINAL</t>
  </si>
  <si>
    <t>Email AQS File to Data uploader (Bart)</t>
  </si>
  <si>
    <t>Calculate and store recoveries below</t>
  </si>
  <si>
    <t>Create AQS file (targets!)  ( Include QA/QC, Include X Run, Do not  Include TNMTC (43000) or Show amount if nulled data)</t>
  </si>
  <si>
    <t>Create AQS Blank file</t>
  </si>
  <si>
    <t>Multipoint</t>
  </si>
  <si>
    <t>Experimental/ Test</t>
  </si>
  <si>
    <t>Detection Limit</t>
  </si>
  <si>
    <t>Highlight at least 3 hours to review daily on each column’s hourly grid page.  Ideally one hour will be reviewed for each of the following time span; Morning Commute (06-09), Afternoon (11-15); Night (0-4, or16-23). Try not to exceede 6hr.</t>
  </si>
  <si>
    <t>Exp. Or Test Sample</t>
  </si>
  <si>
    <t>SB</t>
  </si>
  <si>
    <t>See Below</t>
  </si>
  <si>
    <t>Download Crosstab into MDVR folder pre changes</t>
  </si>
  <si>
    <t>Download Crosstab into MDVR folder post changes</t>
  </si>
  <si>
    <t xml:space="preserve">QUALIFIERS / NULL </t>
  </si>
  <si>
    <t>Null</t>
  </si>
  <si>
    <t>DATE/TIME RANGE</t>
  </si>
  <si>
    <t>Code</t>
  </si>
  <si>
    <t>Description</t>
  </si>
  <si>
    <t>Paramater (s)</t>
  </si>
  <si>
    <t>COMPOUND(S) or WHOLE HOUR(S) - REASON</t>
  </si>
  <si>
    <t>CODE</t>
  </si>
  <si>
    <t>Justification</t>
  </si>
  <si>
    <t>AF</t>
  </si>
  <si>
    <t>Scheduled but not Collected (Lost)</t>
  </si>
  <si>
    <t>BA</t>
  </si>
  <si>
    <t>AG</t>
  </si>
  <si>
    <t>Sample Time Out of Limits</t>
  </si>
  <si>
    <t>AH</t>
  </si>
  <si>
    <t>Sample Flow Rate out of Limits</t>
  </si>
  <si>
    <t>Experimental Data</t>
  </si>
  <si>
    <t>XX</t>
  </si>
  <si>
    <t>AI</t>
  </si>
  <si>
    <t>Insufficient Data (Invalid Sample Time)</t>
  </si>
  <si>
    <t>AM</t>
  </si>
  <si>
    <t>Misc. Void</t>
  </si>
  <si>
    <t>Collection Error</t>
  </si>
  <si>
    <t>AQ</t>
  </si>
  <si>
    <t>AN</t>
  </si>
  <si>
    <t>Machine Malfunction</t>
  </si>
  <si>
    <t>AS</t>
  </si>
  <si>
    <t>Poor QA results</t>
  </si>
  <si>
    <t>AT</t>
  </si>
  <si>
    <t>Calibration</t>
  </si>
  <si>
    <t>AV</t>
  </si>
  <si>
    <t>Power Failure</t>
  </si>
  <si>
    <t>Site Computer, Data Logger Down</t>
  </si>
  <si>
    <t>BK</t>
  </si>
  <si>
    <t>AX</t>
  </si>
  <si>
    <t>Precision Check</t>
  </si>
  <si>
    <t>Interference, Co-elution, Misid</t>
  </si>
  <si>
    <t>BH</t>
  </si>
  <si>
    <t>AY</t>
  </si>
  <si>
    <t>QC Control Points, Zero/Span</t>
  </si>
  <si>
    <t>AZ</t>
  </si>
  <si>
    <t xml:space="preserve">QC Audit (Audit Sample) </t>
  </si>
  <si>
    <t>Maintenances / Routine Repairs</t>
  </si>
  <si>
    <t>BJ</t>
  </si>
  <si>
    <t>Operator Error</t>
  </si>
  <si>
    <t>DA</t>
  </si>
  <si>
    <t>Aberrant Data, Corrupt Files, Spikes, Shifts</t>
  </si>
  <si>
    <t>QUALIFIERS</t>
  </si>
  <si>
    <t>DL</t>
  </si>
  <si>
    <t>TC</t>
  </si>
  <si>
    <t>Component Check &amp; RTS (RTS)</t>
  </si>
  <si>
    <t>QX</t>
  </si>
  <si>
    <t>LJ</t>
  </si>
  <si>
    <t>ID acceptable; Value is Estimate</t>
  </si>
  <si>
    <t>LL</t>
  </si>
  <si>
    <t>ID; Value Biased Low</t>
  </si>
  <si>
    <t>LK</t>
  </si>
  <si>
    <t>ID; Value Biased High</t>
  </si>
  <si>
    <t>Does not Meet QC Criteria</t>
  </si>
  <si>
    <t>EH</t>
  </si>
  <si>
    <t>Estimated; Exceeds Upper Range</t>
  </si>
  <si>
    <t>ND</t>
  </si>
  <si>
    <t>No Value Detected; Non Detect</t>
  </si>
  <si>
    <t>MD</t>
  </si>
  <si>
    <t>Value Less Than MDL (&lt;MDL)</t>
  </si>
  <si>
    <t>SQ</t>
  </si>
  <si>
    <t>Value b/t SQL and MDL (&gt;= MDL and &lt; SQL)</t>
  </si>
  <si>
    <t>SAMPLE TYPE CHANGES</t>
  </si>
  <si>
    <t>Outlier</t>
  </si>
  <si>
    <t>Validated Value</t>
  </si>
  <si>
    <t>FILE NAME</t>
  </si>
  <si>
    <t>OLD TYPE</t>
  </si>
  <si>
    <t>NEW TYPE</t>
  </si>
  <si>
    <t>DATE APPLIED</t>
  </si>
  <si>
    <t>&gt;336 hour, 14-days, of data loss; update Reprocess Plan</t>
  </si>
  <si>
    <t>Send necessary emails and save copy in the MDVR folder for general issues, 336-hr data losses, and ambient over-ranges.</t>
  </si>
  <si>
    <t>Common Null Flags</t>
  </si>
  <si>
    <t>Common Qualifier Flag</t>
  </si>
  <si>
    <t>Std Dev</t>
  </si>
  <si>
    <t>Target</t>
  </si>
  <si>
    <t>Average</t>
  </si>
  <si>
    <t>Toluene</t>
  </si>
  <si>
    <t>Propane</t>
  </si>
  <si>
    <t>% Error</t>
  </si>
  <si>
    <t>% Bias</t>
  </si>
  <si>
    <t xml:space="preserve">   </t>
  </si>
  <si>
    <t>% Recovery Toluene</t>
  </si>
  <si>
    <t>% Recovery Propane</t>
  </si>
  <si>
    <t>DATE TIME</t>
  </si>
  <si>
    <t>DATE/TIME</t>
  </si>
  <si>
    <t>Target 2</t>
  </si>
  <si>
    <t>Target 1</t>
  </si>
  <si>
    <t>TOLUENE ppbC</t>
  </si>
  <si>
    <t>PROPANE (ppbC)</t>
  </si>
  <si>
    <t>Dist</t>
  </si>
  <si>
    <t>TOLUENE PPBC</t>
  </si>
  <si>
    <t>PROPANE PPBC</t>
  </si>
  <si>
    <t>CC731198-0126</t>
  </si>
  <si>
    <t>CC177206-1226</t>
  </si>
  <si>
    <t>CC524930-0626</t>
  </si>
  <si>
    <t>toluene conc (ppbC)</t>
  </si>
  <si>
    <t>Propane conc (ppbC)</t>
  </si>
  <si>
    <t>Dilution ratio</t>
  </si>
  <si>
    <t>Canister</t>
  </si>
  <si>
    <t>toluene conc (ppmV)</t>
  </si>
  <si>
    <t>propane conc (ppmV)</t>
  </si>
  <si>
    <t>Aengstrom</t>
  </si>
  <si>
    <t>Month 2025</t>
  </si>
  <si>
    <t>Verify all Original TX1 files loaded into MAX</t>
  </si>
  <si>
    <t>EQ - Utah Technical Center</t>
  </si>
  <si>
    <t>CVS Std</t>
  </si>
  <si>
    <t>BR</t>
  </si>
  <si>
    <t>LCS Std</t>
  </si>
  <si>
    <t>DF</t>
  </si>
  <si>
    <t>RTS Std</t>
  </si>
  <si>
    <t>Starting RF</t>
  </si>
  <si>
    <t>Ending RF</t>
  </si>
  <si>
    <t>ReCal Date(s)</t>
  </si>
  <si>
    <t>PLOT</t>
  </si>
  <si>
    <t>BP1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</si>
</sst>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20" x14ac:knownFonts="1">
    <font>
      <sz val="11"/>
      <color theme="1"/>
      <name val="Calibri"/>
      <family val="2"/>
      <scheme val="minor"/>
    </font>
    <font>
      <sz val="10"/>
      <name val="Arial"/>
      <family val="2"/>
    </font>
    <font>
      <b/>
      <sz val="11"/>
      <color theme="1"/>
      <name val="Calibri"/>
      <family val="2"/>
      <scheme val="minor"/>
    </font>
    <font>
      <sz val="10"/>
      <name val="Calibri"/>
      <family val="2"/>
      <scheme val="minor"/>
    </font>
    <font>
      <b/>
      <sz val="14"/>
      <name val="Calibri"/>
      <family val="2"/>
      <scheme val="minor"/>
    </font>
    <font>
      <sz val="11"/>
      <name val="Calibri"/>
      <family val="2"/>
      <scheme val="minor"/>
    </font>
    <font>
      <b/>
      <sz val="10"/>
      <name val="Calibri"/>
      <family val="2"/>
      <scheme val="minor"/>
    </font>
    <font>
      <b/>
      <sz val="11"/>
      <name val="Calibri"/>
      <family val="2"/>
      <scheme val="minor"/>
    </font>
    <font>
      <b/>
      <sz val="16"/>
      <name val="Calibri"/>
      <family val="2"/>
      <scheme val="minor"/>
    </font>
    <font>
      <sz val="12"/>
      <color theme="1"/>
      <name val="Calibri"/>
      <family val="2"/>
      <scheme val="minor"/>
    </font>
    <font>
      <b/>
      <sz val="18"/>
      <name val="Calibri"/>
      <family val="2"/>
      <scheme val="minor"/>
    </font>
    <font>
      <b/>
      <sz val="12"/>
      <name val="Calibri"/>
      <family val="2"/>
      <scheme val="minor"/>
    </font>
    <font>
      <sz val="12"/>
      <name val="Calibri"/>
      <family val="2"/>
      <scheme val="minor"/>
    </font>
    <font>
      <b/>
      <sz val="14"/>
      <color indexed="22"/>
      <name val="Calibri"/>
      <family val="2"/>
      <scheme val="minor"/>
    </font>
    <font>
      <sz val="14"/>
      <name val="Calibri"/>
      <family val="2"/>
      <scheme val="minor"/>
    </font>
    <font>
      <sz val="10"/>
      <color theme="1"/>
      <name val="Calibri"/>
      <family val="2"/>
    </font>
    <font>
      <sz val="10"/>
      <color theme="1"/>
      <name val="Calibri"/>
      <family val="2"/>
      <scheme val="minor"/>
    </font>
    <font>
      <sz val="11"/>
      <color theme="1"/>
      <name val="Calibri"/>
      <family val="2"/>
      <scheme val="minor"/>
    </font>
    <font>
      <sz val="9"/>
      <color rgb="FF000000"/>
      <name val="Arial"/>
      <family val="2"/>
    </font>
    <font>
      <sz val="10"/>
      <name val="Arial"/>
      <family val="2"/>
    </font>
  </fonts>
  <fills count="24">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A568D2"/>
        <bgColor indexed="64"/>
      </patternFill>
    </fill>
    <fill>
      <patternFill patternType="solid">
        <fgColor rgb="FFFF0000"/>
        <bgColor indexed="64"/>
      </patternFill>
    </fill>
    <fill>
      <patternFill patternType="solid">
        <fgColor rgb="FFFF99FF"/>
        <bgColor indexed="64"/>
      </patternFill>
    </fill>
    <fill>
      <patternFill patternType="solid">
        <fgColor theme="9" tint="0.59999389629810485"/>
        <bgColor indexed="64"/>
      </patternFill>
    </fill>
    <fill>
      <patternFill patternType="solid">
        <fgColor rgb="FF00FFFF"/>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theme="1"/>
        <bgColor indexed="64"/>
      </patternFill>
    </fill>
    <fill>
      <patternFill patternType="solid">
        <fgColor rgb="FF338583"/>
        <bgColor indexed="64"/>
      </patternFill>
    </fill>
    <fill>
      <patternFill patternType="solid">
        <fgColor rgb="FFFFCC99"/>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4" tint="0.59999389629810485"/>
        <bgColor indexed="64"/>
      </patternFill>
    </fill>
  </fills>
  <borders count="59">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7">
    <xf numFmtId="0" fontId="0" fillId="0" borderId="0"/>
    <xf numFmtId="0" fontId="1" fillId="0" borderId="0"/>
    <xf numFmtId="3" fontId="1" fillId="0" borderId="0"/>
    <xf numFmtId="43" fontId="17" fillId="0" borderId="0" applyFont="0" applyFill="0" applyBorder="0" applyAlignment="0" applyProtection="0"/>
    <xf numFmtId="0" fontId="19" fillId="0" borderId="0"/>
    <xf numFmtId="0" fontId="1" fillId="0" borderId="0"/>
    <xf numFmtId="9" fontId="1" fillId="0" borderId="0" applyFont="0" applyFill="0" applyBorder="0" applyAlignment="0" applyProtection="0"/>
  </cellStyleXfs>
  <cellXfs count="347">
    <xf numFmtId="0" fontId="0" fillId="0" borderId="0" xfId="0"/>
    <xf numFmtId="0" fontId="0" fillId="0" borderId="8" xfId="0" applyBorder="1" applyAlignment="1">
      <alignment horizontal="center"/>
    </xf>
    <xf numFmtId="0" fontId="0" fillId="0" borderId="5" xfId="0" applyBorder="1"/>
    <xf numFmtId="0" fontId="0" fillId="0" borderId="8" xfId="0" applyBorder="1" applyAlignment="1" applyProtection="1">
      <alignment horizontal="center"/>
      <protection locked="0"/>
    </xf>
    <xf numFmtId="0" fontId="0" fillId="0" borderId="8" xfId="0" applyBorder="1"/>
    <xf numFmtId="0" fontId="6" fillId="0" borderId="0" xfId="1" applyFont="1" applyAlignment="1">
      <alignment horizontal="right"/>
    </xf>
    <xf numFmtId="0" fontId="9" fillId="0" borderId="0" xfId="0" applyFont="1" applyAlignment="1">
      <alignment vertical="center" wrapText="1"/>
    </xf>
    <xf numFmtId="0" fontId="0" fillId="0" borderId="13" xfId="0" applyBorder="1"/>
    <xf numFmtId="0" fontId="0" fillId="10" borderId="8" xfId="0" applyFill="1" applyBorder="1" applyProtection="1">
      <protection locked="0"/>
    </xf>
    <xf numFmtId="0" fontId="0" fillId="10" borderId="5" xfId="0" applyFill="1" applyBorder="1" applyProtection="1">
      <protection locked="0"/>
    </xf>
    <xf numFmtId="0" fontId="3" fillId="0" borderId="0" xfId="1" applyFont="1"/>
    <xf numFmtId="0" fontId="3" fillId="0" borderId="0" xfId="1" applyFont="1" applyProtection="1">
      <protection locked="0"/>
    </xf>
    <xf numFmtId="0" fontId="11" fillId="0" borderId="0" xfId="1" applyFont="1"/>
    <xf numFmtId="0" fontId="12" fillId="0" borderId="0" xfId="1" applyFont="1"/>
    <xf numFmtId="0" fontId="12" fillId="0" borderId="0" xfId="1" applyFont="1" applyAlignment="1" applyProtection="1">
      <alignment horizontal="left"/>
      <protection locked="0"/>
    </xf>
    <xf numFmtId="0" fontId="4" fillId="0" borderId="0" xfId="1" applyFont="1"/>
    <xf numFmtId="0" fontId="4" fillId="2" borderId="0" xfId="1" applyFont="1" applyFill="1"/>
    <xf numFmtId="0" fontId="13" fillId="2" borderId="0" xfId="1" applyFont="1" applyFill="1"/>
    <xf numFmtId="0" fontId="4" fillId="0" borderId="0" xfId="1" applyFont="1" applyProtection="1">
      <protection locked="0"/>
    </xf>
    <xf numFmtId="1" fontId="6" fillId="0" borderId="0" xfId="1" applyNumberFormat="1" applyFont="1" applyAlignment="1">
      <alignment horizontal="center"/>
    </xf>
    <xf numFmtId="1" fontId="6" fillId="0" borderId="0" xfId="1" applyNumberFormat="1" applyFont="1" applyAlignment="1" applyProtection="1">
      <alignment horizontal="center"/>
      <protection locked="0"/>
    </xf>
    <xf numFmtId="0" fontId="3" fillId="0" borderId="0" xfId="1" applyFont="1" applyAlignment="1">
      <alignment horizontal="center" vertical="center" readingOrder="1"/>
    </xf>
    <xf numFmtId="0" fontId="3" fillId="0" borderId="0" xfId="1" applyFont="1" applyAlignment="1" applyProtection="1">
      <alignment horizontal="center" vertical="center" readingOrder="1"/>
      <protection locked="0"/>
    </xf>
    <xf numFmtId="0" fontId="12" fillId="0" borderId="0" xfId="1" applyFont="1" applyAlignment="1">
      <alignment horizontal="right"/>
    </xf>
    <xf numFmtId="0" fontId="12" fillId="0" borderId="0" xfId="1" applyFont="1" applyAlignment="1">
      <alignment horizontal="right" vertical="top"/>
    </xf>
    <xf numFmtId="0" fontId="12" fillId="0" borderId="0" xfId="1" applyFont="1" applyAlignment="1">
      <alignment horizontal="center" textRotation="45"/>
    </xf>
    <xf numFmtId="0" fontId="12" fillId="0" borderId="0" xfId="1" applyFont="1" applyAlignment="1" applyProtection="1">
      <alignment horizontal="center" textRotation="45"/>
      <protection locked="0"/>
    </xf>
    <xf numFmtId="0" fontId="12" fillId="0" borderId="0" xfId="1" applyFont="1" applyAlignment="1">
      <alignment horizontal="center"/>
    </xf>
    <xf numFmtId="0" fontId="3" fillId="5" borderId="8" xfId="1" applyFont="1" applyFill="1" applyBorder="1" applyAlignment="1" applyProtection="1">
      <alignment horizontal="center" vertical="center" readingOrder="1"/>
      <protection locked="0"/>
    </xf>
    <xf numFmtId="0" fontId="11" fillId="0" borderId="0" xfId="1" applyFont="1" applyAlignment="1" applyProtection="1">
      <alignment horizontal="left"/>
      <protection locked="0"/>
    </xf>
    <xf numFmtId="1" fontId="11" fillId="0" borderId="0" xfId="1" applyNumberFormat="1" applyFont="1" applyAlignment="1" applyProtection="1">
      <alignment horizontal="left"/>
      <protection locked="0"/>
    </xf>
    <xf numFmtId="0" fontId="12" fillId="0" borderId="0" xfId="1" applyFont="1" applyAlignment="1" applyProtection="1">
      <alignment horizontal="left" vertical="center" readingOrder="1"/>
      <protection locked="0"/>
    </xf>
    <xf numFmtId="0" fontId="3" fillId="0" borderId="0" xfId="1" applyFont="1" applyAlignment="1" applyProtection="1">
      <alignment horizontal="left" vertical="top" wrapText="1"/>
      <protection locked="0"/>
    </xf>
    <xf numFmtId="0" fontId="12" fillId="0" borderId="0" xfId="1" applyFont="1" applyAlignment="1">
      <alignment horizontal="left"/>
    </xf>
    <xf numFmtId="0" fontId="3" fillId="0" borderId="1" xfId="1" applyFont="1" applyBorder="1" applyAlignment="1">
      <alignment horizontal="center"/>
    </xf>
    <xf numFmtId="0" fontId="3" fillId="0" borderId="0" xfId="1" applyFont="1" applyAlignment="1">
      <alignment wrapText="1"/>
    </xf>
    <xf numFmtId="0" fontId="3" fillId="0" borderId="2" xfId="1" applyFont="1" applyBorder="1" applyAlignment="1">
      <alignment horizontal="center"/>
    </xf>
    <xf numFmtId="0" fontId="0" fillId="0" borderId="0" xfId="0" applyAlignment="1">
      <alignment horizontal="center"/>
    </xf>
    <xf numFmtId="0" fontId="3" fillId="0" borderId="0" xfId="1" applyFont="1" applyAlignment="1" applyProtection="1">
      <alignment vertical="top" wrapText="1"/>
      <protection locked="0"/>
    </xf>
    <xf numFmtId="1" fontId="6" fillId="13" borderId="0" xfId="1" applyNumberFormat="1" applyFont="1" applyFill="1" applyAlignment="1">
      <alignment horizontal="center"/>
    </xf>
    <xf numFmtId="0" fontId="6" fillId="13" borderId="0" xfId="1" applyFont="1" applyFill="1" applyAlignment="1">
      <alignment horizontal="center" vertical="center" readingOrder="1"/>
    </xf>
    <xf numFmtId="0" fontId="3" fillId="0" borderId="0" xfId="1" applyFont="1" applyAlignment="1" applyProtection="1">
      <alignment horizontal="center" vertical="center"/>
      <protection locked="0"/>
    </xf>
    <xf numFmtId="0" fontId="3" fillId="0" borderId="0" xfId="1" applyFont="1" applyAlignment="1" applyProtection="1">
      <alignment vertical="center"/>
      <protection locked="0"/>
    </xf>
    <xf numFmtId="0" fontId="3" fillId="0" borderId="0" xfId="1" applyFont="1" applyAlignment="1" applyProtection="1">
      <alignment horizontal="center" vertical="center" wrapText="1"/>
      <protection locked="0"/>
    </xf>
    <xf numFmtId="0" fontId="4" fillId="0" borderId="0" xfId="1" applyFont="1" applyAlignment="1">
      <alignment horizontal="center"/>
    </xf>
    <xf numFmtId="0" fontId="3" fillId="10" borderId="11" xfId="1" applyFont="1" applyFill="1" applyBorder="1" applyAlignment="1" applyProtection="1">
      <alignment horizontal="center"/>
      <protection locked="0"/>
    </xf>
    <xf numFmtId="49" fontId="3" fillId="10" borderId="7" xfId="1" applyNumberFormat="1" applyFont="1" applyFill="1" applyBorder="1" applyAlignment="1" applyProtection="1">
      <alignment horizontal="center"/>
      <protection locked="0"/>
    </xf>
    <xf numFmtId="0" fontId="3" fillId="10" borderId="7" xfId="1" applyFont="1" applyFill="1" applyBorder="1" applyAlignment="1" applyProtection="1">
      <alignment horizontal="center"/>
      <protection locked="0"/>
    </xf>
    <xf numFmtId="0" fontId="3" fillId="0" borderId="8" xfId="1" applyFont="1" applyBorder="1" applyAlignment="1" applyProtection="1">
      <alignment horizontal="center" vertical="center" wrapText="1"/>
      <protection locked="0"/>
    </xf>
    <xf numFmtId="0" fontId="3" fillId="0" borderId="8" xfId="1" applyFont="1" applyBorder="1" applyAlignment="1" applyProtection="1">
      <alignment vertical="center" wrapText="1"/>
      <protection locked="0"/>
    </xf>
    <xf numFmtId="0" fontId="3" fillId="0" borderId="8" xfId="1" applyFont="1" applyBorder="1" applyAlignment="1" applyProtection="1">
      <alignment horizontal="center" vertical="center"/>
      <protection locked="0"/>
    </xf>
    <xf numFmtId="14" fontId="3" fillId="0" borderId="8" xfId="1" applyNumberFormat="1" applyFont="1" applyBorder="1" applyAlignment="1" applyProtection="1">
      <alignment horizontal="center" vertical="center"/>
      <protection locked="0"/>
    </xf>
    <xf numFmtId="20" fontId="3" fillId="0" borderId="8" xfId="1" applyNumberFormat="1" applyFont="1" applyBorder="1" applyAlignment="1" applyProtection="1">
      <alignment horizontal="center" vertical="center"/>
      <protection locked="0"/>
    </xf>
    <xf numFmtId="0" fontId="3" fillId="2" borderId="8" xfId="1" applyFont="1" applyFill="1" applyBorder="1" applyAlignment="1">
      <alignment horizontal="center" vertical="center"/>
    </xf>
    <xf numFmtId="0" fontId="6" fillId="2" borderId="3" xfId="1" applyFont="1" applyFill="1" applyBorder="1" applyAlignment="1">
      <alignment horizontal="center"/>
    </xf>
    <xf numFmtId="0" fontId="3" fillId="0" borderId="0" xfId="1" applyFont="1" applyAlignment="1">
      <alignment horizontal="center"/>
    </xf>
    <xf numFmtId="0" fontId="16" fillId="0" borderId="21" xfId="0" applyFont="1" applyBorder="1" applyAlignment="1">
      <alignment vertical="center" wrapText="1"/>
    </xf>
    <xf numFmtId="0" fontId="16" fillId="0" borderId="23" xfId="0" applyFont="1" applyBorder="1" applyAlignment="1">
      <alignment vertical="center" wrapText="1"/>
    </xf>
    <xf numFmtId="0" fontId="16" fillId="0" borderId="25" xfId="0" applyFont="1" applyBorder="1" applyAlignment="1">
      <alignment vertical="center" wrapText="1"/>
    </xf>
    <xf numFmtId="0" fontId="16" fillId="0" borderId="28" xfId="0" applyFont="1" applyBorder="1" applyAlignment="1">
      <alignment vertical="center" wrapText="1"/>
    </xf>
    <xf numFmtId="14" fontId="16" fillId="0" borderId="19" xfId="0" applyNumberFormat="1" applyFont="1" applyBorder="1" applyAlignment="1">
      <alignment horizontal="center" vertical="center" wrapText="1"/>
    </xf>
    <xf numFmtId="14" fontId="16" fillId="0" borderId="22" xfId="0" applyNumberFormat="1" applyFont="1" applyBorder="1" applyAlignment="1">
      <alignment horizontal="center" vertical="center" wrapText="1"/>
    </xf>
    <xf numFmtId="0" fontId="3" fillId="0" borderId="0" xfId="1" applyFont="1" applyAlignment="1">
      <alignment horizontal="center" vertical="center"/>
    </xf>
    <xf numFmtId="20" fontId="16" fillId="0" borderId="20" xfId="0" applyNumberFormat="1" applyFont="1" applyBorder="1" applyAlignment="1">
      <alignment horizontal="center" vertical="center" wrapText="1"/>
    </xf>
    <xf numFmtId="20" fontId="16" fillId="0" borderId="9" xfId="0" applyNumberFormat="1" applyFont="1" applyBorder="1" applyAlignment="1">
      <alignment horizontal="center" vertical="center" wrapText="1"/>
    </xf>
    <xf numFmtId="20" fontId="16" fillId="0" borderId="24" xfId="0" applyNumberFormat="1" applyFont="1" applyBorder="1" applyAlignment="1">
      <alignment horizontal="center" vertical="center" wrapText="1"/>
    </xf>
    <xf numFmtId="0" fontId="9" fillId="0" borderId="0" xfId="0" applyFont="1" applyAlignment="1">
      <alignment horizontal="center" vertical="center" wrapText="1"/>
    </xf>
    <xf numFmtId="0" fontId="12" fillId="0" borderId="0" xfId="1" applyFont="1" applyProtection="1">
      <protection locked="0"/>
    </xf>
    <xf numFmtId="0" fontId="11" fillId="0" borderId="0" xfId="1" applyFont="1" applyProtection="1">
      <protection locked="0"/>
    </xf>
    <xf numFmtId="0" fontId="8" fillId="0" borderId="0" xfId="0" applyFont="1" applyAlignment="1">
      <alignment horizontal="left"/>
    </xf>
    <xf numFmtId="0" fontId="0" fillId="0" borderId="0" xfId="0" applyAlignment="1">
      <alignment horizontal="left"/>
    </xf>
    <xf numFmtId="0" fontId="3" fillId="2" borderId="19" xfId="1" applyFont="1" applyFill="1" applyBorder="1"/>
    <xf numFmtId="0" fontId="3" fillId="2" borderId="20" xfId="1" applyFont="1" applyFill="1" applyBorder="1"/>
    <xf numFmtId="0" fontId="6" fillId="2" borderId="20" xfId="1" applyFont="1" applyFill="1" applyBorder="1" applyAlignment="1">
      <alignment horizontal="center" vertical="center"/>
    </xf>
    <xf numFmtId="0" fontId="6" fillId="2" borderId="21" xfId="1" applyFont="1" applyFill="1" applyBorder="1" applyAlignment="1">
      <alignment horizontal="center" vertical="center"/>
    </xf>
    <xf numFmtId="0" fontId="6" fillId="2" borderId="3" xfId="1" applyFont="1" applyFill="1" applyBorder="1" applyAlignment="1">
      <alignment horizontal="center" vertical="center"/>
    </xf>
    <xf numFmtId="0" fontId="3" fillId="2" borderId="3" xfId="1" applyFont="1" applyFill="1" applyBorder="1" applyAlignment="1">
      <alignment horizontal="center" vertical="center"/>
    </xf>
    <xf numFmtId="0" fontId="6" fillId="2" borderId="29" xfId="1" applyFont="1" applyFill="1" applyBorder="1" applyAlignment="1">
      <alignment horizontal="center" vertical="center"/>
    </xf>
    <xf numFmtId="0" fontId="0" fillId="0" borderId="0" xfId="0" applyAlignment="1">
      <alignment horizontal="left" wrapText="1"/>
    </xf>
    <xf numFmtId="0" fontId="0" fillId="0" borderId="17" xfId="0" applyBorder="1" applyAlignment="1">
      <alignment horizontal="center"/>
    </xf>
    <xf numFmtId="0" fontId="0" fillId="0" borderId="8" xfId="0" applyBorder="1" applyAlignment="1">
      <alignment vertical="center"/>
    </xf>
    <xf numFmtId="0" fontId="7" fillId="2" borderId="8" xfId="1" applyFont="1" applyFill="1" applyBorder="1"/>
    <xf numFmtId="0" fontId="7" fillId="2" borderId="8" xfId="1" applyFont="1" applyFill="1" applyBorder="1" applyAlignment="1">
      <alignment wrapText="1"/>
    </xf>
    <xf numFmtId="14" fontId="5" fillId="0" borderId="8" xfId="1" applyNumberFormat="1" applyFont="1" applyBorder="1" applyAlignment="1">
      <alignment vertical="center"/>
    </xf>
    <xf numFmtId="0" fontId="5" fillId="0" borderId="8" xfId="1" applyFont="1" applyBorder="1" applyAlignment="1">
      <alignment vertical="center"/>
    </xf>
    <xf numFmtId="0" fontId="2" fillId="15" borderId="8" xfId="0" applyFont="1" applyFill="1" applyBorder="1"/>
    <xf numFmtId="10" fontId="4" fillId="0" borderId="8" xfId="1" applyNumberFormat="1" applyFont="1" applyBorder="1" applyAlignment="1">
      <alignment vertical="center"/>
    </xf>
    <xf numFmtId="0" fontId="5" fillId="0" borderId="8" xfId="1" quotePrefix="1" applyFont="1" applyBorder="1" applyAlignment="1">
      <alignment vertical="center"/>
    </xf>
    <xf numFmtId="10" fontId="5" fillId="0" borderId="8" xfId="1" applyNumberFormat="1" applyFont="1" applyBorder="1" applyAlignment="1">
      <alignment vertical="center"/>
    </xf>
    <xf numFmtId="0" fontId="8" fillId="17" borderId="0" xfId="0" applyFont="1" applyFill="1"/>
    <xf numFmtId="0" fontId="0" fillId="17" borderId="0" xfId="0" applyFill="1"/>
    <xf numFmtId="0" fontId="0" fillId="0" borderId="11" xfId="0" applyBorder="1"/>
    <xf numFmtId="0" fontId="16" fillId="0" borderId="31" xfId="0" applyFont="1" applyBorder="1" applyAlignment="1">
      <alignment vertical="center" wrapText="1"/>
    </xf>
    <xf numFmtId="20" fontId="16" fillId="0" borderId="8" xfId="0" applyNumberFormat="1" applyFont="1" applyBorder="1" applyAlignment="1">
      <alignment horizontal="center" vertical="center" wrapText="1"/>
    </xf>
    <xf numFmtId="14" fontId="16" fillId="0" borderId="37" xfId="0" applyNumberFormat="1" applyFont="1" applyBorder="1" applyAlignment="1">
      <alignment horizontal="center" vertical="center" wrapText="1"/>
    </xf>
    <xf numFmtId="0" fontId="16" fillId="0" borderId="25" xfId="0" applyFont="1" applyBorder="1" applyAlignment="1">
      <alignment horizontal="center" vertical="center" wrapText="1"/>
    </xf>
    <xf numFmtId="14" fontId="16" fillId="0" borderId="38" xfId="0" applyNumberFormat="1" applyFont="1" applyBorder="1" applyAlignment="1">
      <alignment horizontal="center" vertical="center" wrapText="1"/>
    </xf>
    <xf numFmtId="0" fontId="3" fillId="11" borderId="8" xfId="1" applyFont="1" applyFill="1" applyBorder="1" applyAlignment="1">
      <alignment horizontal="center" vertical="center"/>
    </xf>
    <xf numFmtId="0" fontId="6" fillId="2" borderId="36" xfId="1" applyFont="1" applyFill="1" applyBorder="1" applyAlignment="1">
      <alignment horizontal="center" vertical="center"/>
    </xf>
    <xf numFmtId="0" fontId="0" fillId="13" borderId="4" xfId="0" applyFill="1" applyBorder="1" applyProtection="1">
      <protection locked="0"/>
    </xf>
    <xf numFmtId="0" fontId="18" fillId="13" borderId="0" xfId="0" applyFont="1" applyFill="1"/>
    <xf numFmtId="14" fontId="0" fillId="13" borderId="10" xfId="0" applyNumberFormat="1" applyFill="1" applyBorder="1" applyAlignment="1" applyProtection="1">
      <alignment horizontal="left"/>
      <protection locked="0"/>
    </xf>
    <xf numFmtId="14" fontId="0" fillId="13" borderId="12" xfId="0" applyNumberFormat="1" applyFill="1" applyBorder="1" applyAlignment="1" applyProtection="1">
      <alignment horizontal="left"/>
      <protection locked="0"/>
    </xf>
    <xf numFmtId="0" fontId="0" fillId="13" borderId="15" xfId="0" applyFill="1" applyBorder="1" applyProtection="1">
      <protection locked="0"/>
    </xf>
    <xf numFmtId="0" fontId="0" fillId="13" borderId="5" xfId="0" applyFill="1" applyBorder="1"/>
    <xf numFmtId="0" fontId="0" fillId="13" borderId="6" xfId="0" applyFill="1" applyBorder="1"/>
    <xf numFmtId="0" fontId="0" fillId="13" borderId="13" xfId="0" applyFill="1" applyBorder="1" applyProtection="1">
      <protection locked="0"/>
    </xf>
    <xf numFmtId="0" fontId="0" fillId="13" borderId="11" xfId="0" applyFill="1" applyBorder="1" applyAlignment="1">
      <alignment horizontal="left"/>
    </xf>
    <xf numFmtId="0" fontId="0" fillId="13" borderId="7" xfId="0" applyFill="1" applyBorder="1"/>
    <xf numFmtId="0" fontId="18" fillId="0" borderId="0" xfId="0" applyFont="1"/>
    <xf numFmtId="14" fontId="3" fillId="13" borderId="19" xfId="1" applyNumberFormat="1" applyFont="1" applyFill="1" applyBorder="1" applyAlignment="1" applyProtection="1">
      <alignment horizontal="center" vertical="center" wrapText="1"/>
      <protection locked="0"/>
    </xf>
    <xf numFmtId="20" fontId="16" fillId="13" borderId="20" xfId="0" applyNumberFormat="1" applyFont="1" applyFill="1" applyBorder="1" applyAlignment="1">
      <alignment horizontal="center" vertical="center" wrapText="1"/>
    </xf>
    <xf numFmtId="14" fontId="3" fillId="13" borderId="22" xfId="1" applyNumberFormat="1" applyFont="1" applyFill="1" applyBorder="1" applyAlignment="1" applyProtection="1">
      <alignment horizontal="center" vertical="center" wrapText="1"/>
      <protection locked="0"/>
    </xf>
    <xf numFmtId="20" fontId="16" fillId="13" borderId="8" xfId="0" applyNumberFormat="1" applyFont="1" applyFill="1" applyBorder="1" applyAlignment="1">
      <alignment horizontal="center" vertical="center" wrapText="1"/>
    </xf>
    <xf numFmtId="0" fontId="3" fillId="13" borderId="0" xfId="1" applyFont="1" applyFill="1" applyAlignment="1" applyProtection="1">
      <alignment horizontal="left" vertical="top" wrapText="1"/>
      <protection locked="0"/>
    </xf>
    <xf numFmtId="164" fontId="0" fillId="10" borderId="8" xfId="3" applyNumberFormat="1" applyFont="1" applyFill="1" applyBorder="1" applyProtection="1">
      <protection locked="0"/>
    </xf>
    <xf numFmtId="164" fontId="0" fillId="10" borderId="5" xfId="3" applyNumberFormat="1" applyFont="1" applyFill="1" applyBorder="1" applyProtection="1">
      <protection locked="0"/>
    </xf>
    <xf numFmtId="20" fontId="16" fillId="0" borderId="23" xfId="0" applyNumberFormat="1" applyFont="1" applyBorder="1" applyAlignment="1">
      <alignment vertical="center" wrapText="1"/>
    </xf>
    <xf numFmtId="14" fontId="3" fillId="0" borderId="37" xfId="1" applyNumberFormat="1" applyFont="1" applyBorder="1" applyAlignment="1" applyProtection="1">
      <alignment horizontal="center" vertical="center" wrapText="1"/>
      <protection locked="0"/>
    </xf>
    <xf numFmtId="20" fontId="16" fillId="0" borderId="21" xfId="0" applyNumberFormat="1" applyFont="1" applyBorder="1" applyAlignment="1">
      <alignment vertical="center" wrapText="1"/>
    </xf>
    <xf numFmtId="0" fontId="16" fillId="13" borderId="5" xfId="0" applyFont="1" applyFill="1" applyBorder="1" applyAlignment="1">
      <alignment vertical="center" wrapText="1"/>
    </xf>
    <xf numFmtId="0" fontId="16" fillId="0" borderId="42" xfId="0" applyFont="1" applyBorder="1" applyAlignment="1">
      <alignment vertical="center" wrapText="1"/>
    </xf>
    <xf numFmtId="20" fontId="16" fillId="0" borderId="28" xfId="0" applyNumberFormat="1" applyFont="1" applyBorder="1" applyAlignment="1">
      <alignment vertical="center" wrapText="1"/>
    </xf>
    <xf numFmtId="14" fontId="3" fillId="0" borderId="40" xfId="1" applyNumberFormat="1" applyFont="1" applyBorder="1" applyAlignment="1" applyProtection="1">
      <alignment horizontal="center" vertical="center" wrapText="1"/>
      <protection locked="0"/>
    </xf>
    <xf numFmtId="0" fontId="0" fillId="0" borderId="0" xfId="0" applyAlignment="1" applyProtection="1">
      <alignment horizontal="center"/>
      <protection locked="0"/>
    </xf>
    <xf numFmtId="0" fontId="3" fillId="6" borderId="8" xfId="1" applyFont="1" applyFill="1" applyBorder="1" applyAlignment="1" applyProtection="1">
      <alignment horizontal="center" vertical="center"/>
      <protection locked="0"/>
    </xf>
    <xf numFmtId="0" fontId="3" fillId="7" borderId="8" xfId="1" applyFont="1" applyFill="1" applyBorder="1" applyAlignment="1" applyProtection="1">
      <alignment horizontal="center" vertical="center"/>
      <protection locked="0"/>
    </xf>
    <xf numFmtId="0" fontId="3" fillId="8" borderId="8" xfId="1" applyFont="1" applyFill="1" applyBorder="1" applyAlignment="1" applyProtection="1">
      <alignment horizontal="center" vertical="center"/>
      <protection locked="0"/>
    </xf>
    <xf numFmtId="0" fontId="3" fillId="14" borderId="8" xfId="1" applyFont="1" applyFill="1" applyBorder="1" applyAlignment="1" applyProtection="1">
      <alignment horizontal="center" vertical="center"/>
      <protection locked="0"/>
    </xf>
    <xf numFmtId="0" fontId="12" fillId="0" borderId="0" xfId="1" applyFont="1" applyAlignment="1" applyProtection="1">
      <alignment horizontal="center" vertical="center"/>
      <protection locked="0"/>
    </xf>
    <xf numFmtId="1" fontId="3" fillId="4" borderId="8" xfId="1" applyNumberFormat="1" applyFont="1" applyFill="1" applyBorder="1" applyAlignment="1" applyProtection="1">
      <alignment horizontal="center" vertical="center"/>
      <protection locked="0"/>
    </xf>
    <xf numFmtId="0" fontId="3" fillId="9" borderId="8" xfId="1" applyFont="1" applyFill="1" applyBorder="1" applyAlignment="1" applyProtection="1">
      <alignment horizontal="center" vertical="center"/>
      <protection locked="0"/>
    </xf>
    <xf numFmtId="0" fontId="12" fillId="12" borderId="8" xfId="1" applyFont="1" applyFill="1" applyBorder="1" applyAlignment="1" applyProtection="1">
      <alignment horizontal="center" vertical="center"/>
      <protection locked="0"/>
    </xf>
    <xf numFmtId="0" fontId="12" fillId="0" borderId="8" xfId="1" applyFont="1" applyBorder="1" applyAlignment="1" applyProtection="1">
      <alignment horizontal="center" vertical="center"/>
      <protection locked="0"/>
    </xf>
    <xf numFmtId="0" fontId="3" fillId="18" borderId="8" xfId="1" applyFont="1" applyFill="1" applyBorder="1" applyAlignment="1" applyProtection="1">
      <alignment horizontal="center" vertical="center"/>
      <protection locked="0"/>
    </xf>
    <xf numFmtId="0" fontId="12" fillId="19" borderId="8" xfId="1" applyFont="1" applyFill="1" applyBorder="1" applyAlignment="1" applyProtection="1">
      <alignment horizontal="center" vertical="center"/>
      <protection locked="0"/>
    </xf>
    <xf numFmtId="0" fontId="12" fillId="0" borderId="0" xfId="1" applyFont="1" applyAlignment="1">
      <alignment horizontal="center" vertical="center"/>
    </xf>
    <xf numFmtId="0" fontId="11" fillId="0" borderId="0" xfId="1" applyFont="1" applyAlignment="1" applyProtection="1">
      <alignment horizontal="center" vertical="center"/>
      <protection locked="0"/>
    </xf>
    <xf numFmtId="0" fontId="3" fillId="13" borderId="8" xfId="1" applyFont="1" applyFill="1" applyBorder="1" applyAlignment="1">
      <alignment horizontal="center" vertical="center"/>
    </xf>
    <xf numFmtId="0" fontId="16" fillId="13" borderId="23" xfId="0" applyFont="1" applyFill="1" applyBorder="1" applyAlignment="1">
      <alignment vertical="center" wrapText="1"/>
    </xf>
    <xf numFmtId="0" fontId="6" fillId="2" borderId="43" xfId="1" applyFont="1" applyFill="1" applyBorder="1" applyAlignment="1">
      <alignment horizontal="center"/>
    </xf>
    <xf numFmtId="0" fontId="6" fillId="2" borderId="45" xfId="1" applyFont="1" applyFill="1" applyBorder="1" applyAlignment="1">
      <alignment horizontal="center"/>
    </xf>
    <xf numFmtId="0" fontId="15" fillId="16" borderId="33" xfId="0" applyFont="1" applyFill="1" applyBorder="1" applyAlignment="1">
      <alignment horizontal="center" vertical="center" wrapText="1"/>
    </xf>
    <xf numFmtId="20" fontId="3" fillId="0" borderId="8" xfId="1" applyNumberFormat="1" applyFont="1" applyBorder="1" applyAlignment="1" applyProtection="1">
      <alignment horizontal="center" vertical="center" wrapText="1"/>
      <protection locked="0"/>
    </xf>
    <xf numFmtId="0" fontId="16" fillId="0" borderId="47" xfId="0" applyFont="1" applyBorder="1" applyAlignment="1">
      <alignment vertical="center" wrapText="1"/>
    </xf>
    <xf numFmtId="0" fontId="16" fillId="0" borderId="48" xfId="0" applyFont="1" applyBorder="1" applyAlignment="1">
      <alignment horizontal="center" vertical="center" wrapText="1"/>
    </xf>
    <xf numFmtId="14" fontId="16" fillId="0" borderId="39" xfId="0" applyNumberFormat="1" applyFont="1" applyBorder="1" applyAlignment="1">
      <alignment horizontal="center" vertical="center" wrapText="1"/>
    </xf>
    <xf numFmtId="14" fontId="16" fillId="0" borderId="6"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16" fillId="0" borderId="5" xfId="0" applyFont="1" applyBorder="1" applyAlignment="1">
      <alignment vertical="center" wrapText="1"/>
    </xf>
    <xf numFmtId="20" fontId="16" fillId="0" borderId="5" xfId="0" applyNumberFormat="1" applyFont="1" applyBorder="1" applyAlignment="1">
      <alignment vertical="center" wrapText="1"/>
    </xf>
    <xf numFmtId="14" fontId="16" fillId="0" borderId="12" xfId="0" applyNumberFormat="1" applyFont="1" applyBorder="1" applyAlignment="1">
      <alignment horizontal="center" vertical="center" wrapText="1"/>
    </xf>
    <xf numFmtId="0" fontId="16" fillId="0" borderId="10" xfId="0" applyFont="1" applyBorder="1" applyAlignment="1">
      <alignment vertical="center" wrapText="1"/>
    </xf>
    <xf numFmtId="0" fontId="16" fillId="0" borderId="22"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6" xfId="0" applyFont="1" applyBorder="1" applyAlignment="1">
      <alignment horizontal="center" vertical="center" wrapText="1"/>
    </xf>
    <xf numFmtId="0" fontId="16" fillId="13" borderId="22" xfId="0"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6" fillId="0" borderId="40" xfId="0" applyFont="1" applyBorder="1" applyAlignment="1">
      <alignment horizontal="center" vertical="center" wrapText="1"/>
    </xf>
    <xf numFmtId="0" fontId="16" fillId="0" borderId="41" xfId="0" applyFont="1" applyBorder="1" applyAlignment="1">
      <alignment horizontal="center" vertical="center" wrapText="1"/>
    </xf>
    <xf numFmtId="0" fontId="16" fillId="13" borderId="9" xfId="0" applyFont="1" applyFill="1" applyBorder="1" applyAlignment="1">
      <alignment horizontal="center" vertical="center" wrapText="1"/>
    </xf>
    <xf numFmtId="0" fontId="16" fillId="13" borderId="8" xfId="0" applyFont="1" applyFill="1" applyBorder="1" applyAlignment="1">
      <alignment horizontal="center" vertical="center" wrapText="1"/>
    </xf>
    <xf numFmtId="0" fontId="16" fillId="0" borderId="24" xfId="0" applyFont="1" applyBorder="1" applyAlignment="1">
      <alignment horizontal="center" vertical="center" wrapText="1"/>
    </xf>
    <xf numFmtId="0" fontId="6" fillId="2" borderId="45" xfId="1" applyFont="1" applyFill="1" applyBorder="1" applyAlignment="1">
      <alignment horizontal="center" vertical="center"/>
    </xf>
    <xf numFmtId="0" fontId="6" fillId="2" borderId="46" xfId="1" applyFont="1" applyFill="1" applyBorder="1" applyAlignment="1">
      <alignment horizontal="center" wrapText="1"/>
    </xf>
    <xf numFmtId="0" fontId="16" fillId="0" borderId="23" xfId="0" applyFont="1" applyBorder="1" applyAlignment="1">
      <alignment wrapText="1"/>
    </xf>
    <xf numFmtId="0" fontId="16" fillId="0" borderId="21" xfId="0" applyFont="1" applyBorder="1" applyAlignment="1">
      <alignment wrapText="1"/>
    </xf>
    <xf numFmtId="0" fontId="3" fillId="0" borderId="0" xfId="1" applyFont="1" applyAlignment="1">
      <alignment horizontal="left" vertical="center"/>
    </xf>
    <xf numFmtId="0" fontId="10" fillId="0" borderId="0" xfId="1" applyFont="1" applyAlignment="1">
      <alignment vertical="center"/>
    </xf>
    <xf numFmtId="0" fontId="7" fillId="0" borderId="11" xfId="1" applyFont="1" applyBorder="1"/>
    <xf numFmtId="0" fontId="7" fillId="0" borderId="12" xfId="1" applyFont="1" applyBorder="1"/>
    <xf numFmtId="0" fontId="0" fillId="20" borderId="8" xfId="0" applyFill="1" applyBorder="1" applyAlignment="1">
      <alignment horizontal="center"/>
    </xf>
    <xf numFmtId="0" fontId="0" fillId="20" borderId="8" xfId="0" applyFill="1" applyBorder="1"/>
    <xf numFmtId="0" fontId="0" fillId="21" borderId="3" xfId="0" applyFill="1" applyBorder="1" applyAlignment="1">
      <alignment horizontal="center"/>
    </xf>
    <xf numFmtId="0" fontId="7" fillId="2" borderId="15" xfId="1" applyFont="1" applyFill="1" applyBorder="1" applyAlignment="1">
      <alignment horizontal="center"/>
    </xf>
    <xf numFmtId="0" fontId="7" fillId="2" borderId="0" xfId="1" applyFont="1" applyFill="1" applyAlignment="1">
      <alignment horizontal="center"/>
    </xf>
    <xf numFmtId="0" fontId="5" fillId="2" borderId="3" xfId="1" applyFont="1" applyFill="1" applyBorder="1" applyAlignment="1">
      <alignment horizontal="center"/>
    </xf>
    <xf numFmtId="0" fontId="7" fillId="2" borderId="16" xfId="1" applyFont="1" applyFill="1" applyBorder="1" applyAlignment="1">
      <alignment horizontal="center"/>
    </xf>
    <xf numFmtId="0" fontId="0" fillId="21" borderId="8" xfId="0" applyFill="1" applyBorder="1" applyAlignment="1">
      <alignment horizontal="center"/>
    </xf>
    <xf numFmtId="0" fontId="5" fillId="0" borderId="8" xfId="0" applyFont="1" applyBorder="1" applyAlignment="1">
      <alignment horizontal="center" vertical="center" wrapText="1"/>
    </xf>
    <xf numFmtId="14"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5" fillId="2" borderId="8" xfId="1" applyFont="1" applyFill="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vertical="center" wrapText="1"/>
    </xf>
    <xf numFmtId="0" fontId="7" fillId="0" borderId="0" xfId="1" applyFont="1"/>
    <xf numFmtId="22" fontId="0" fillId="0" borderId="5" xfId="0" applyNumberFormat="1" applyBorder="1" applyAlignment="1">
      <alignment horizontal="center" vertical="center"/>
    </xf>
    <xf numFmtId="0" fontId="0" fillId="0" borderId="7" xfId="0" applyBorder="1" applyAlignment="1">
      <alignment horizontal="center" vertical="center"/>
    </xf>
    <xf numFmtId="0" fontId="5" fillId="2" borderId="8" xfId="1" applyFont="1" applyFill="1" applyBorder="1" applyAlignment="1">
      <alignment horizontal="center" vertical="center"/>
    </xf>
    <xf numFmtId="0" fontId="0" fillId="0" borderId="6" xfId="0" applyBorder="1" applyAlignment="1">
      <alignment horizontal="center" vertical="center"/>
    </xf>
    <xf numFmtId="49" fontId="3" fillId="0" borderId="2" xfId="1" applyNumberFormat="1" applyFont="1" applyBorder="1" applyAlignment="1">
      <alignment horizontal="center"/>
    </xf>
    <xf numFmtId="0" fontId="0" fillId="0" borderId="51" xfId="0" applyBorder="1"/>
    <xf numFmtId="0" fontId="0" fillId="0" borderId="1" xfId="0" applyBorder="1"/>
    <xf numFmtId="0" fontId="0" fillId="0" borderId="30" xfId="0" applyBorder="1"/>
    <xf numFmtId="0" fontId="0" fillId="0" borderId="52" xfId="0" applyBorder="1"/>
    <xf numFmtId="0" fontId="0" fillId="0" borderId="33" xfId="0" applyBorder="1"/>
    <xf numFmtId="0" fontId="0" fillId="0" borderId="53" xfId="0" applyBorder="1"/>
    <xf numFmtId="0" fontId="0" fillId="0" borderId="54" xfId="0" applyBorder="1"/>
    <xf numFmtId="0" fontId="0" fillId="0" borderId="32" xfId="0" applyBorder="1"/>
    <xf numFmtId="22" fontId="0" fillId="0" borderId="0" xfId="0" applyNumberFormat="1"/>
    <xf numFmtId="165" fontId="0" fillId="0" borderId="1" xfId="0" applyNumberFormat="1" applyBorder="1"/>
    <xf numFmtId="10" fontId="0" fillId="0" borderId="51" xfId="0" applyNumberFormat="1" applyBorder="1"/>
    <xf numFmtId="10" fontId="0" fillId="0" borderId="1" xfId="0" applyNumberFormat="1" applyBorder="1"/>
    <xf numFmtId="10" fontId="0" fillId="0" borderId="30" xfId="0" applyNumberFormat="1" applyBorder="1"/>
    <xf numFmtId="0" fontId="0" fillId="0" borderId="18" xfId="0" applyBorder="1"/>
    <xf numFmtId="10" fontId="0" fillId="0" borderId="55" xfId="0" applyNumberFormat="1" applyBorder="1"/>
    <xf numFmtId="10" fontId="0" fillId="0" borderId="13" xfId="0" applyNumberFormat="1" applyBorder="1"/>
    <xf numFmtId="10" fontId="0" fillId="0" borderId="56" xfId="0" applyNumberFormat="1" applyBorder="1"/>
    <xf numFmtId="0" fontId="0" fillId="0" borderId="35" xfId="0" applyBorder="1"/>
    <xf numFmtId="0" fontId="0" fillId="0" borderId="34" xfId="0" applyBorder="1"/>
    <xf numFmtId="165" fontId="0" fillId="0" borderId="51" xfId="0" applyNumberFormat="1" applyBorder="1"/>
    <xf numFmtId="165" fontId="0" fillId="0" borderId="30" xfId="0" applyNumberFormat="1" applyBorder="1"/>
    <xf numFmtId="165" fontId="0" fillId="0" borderId="53" xfId="0" applyNumberFormat="1" applyBorder="1"/>
    <xf numFmtId="165" fontId="0" fillId="0" borderId="32" xfId="0" applyNumberFormat="1" applyBorder="1"/>
    <xf numFmtId="0" fontId="0" fillId="0" borderId="34" xfId="0" applyBorder="1" applyAlignment="1">
      <alignment horizontal="center"/>
    </xf>
    <xf numFmtId="22" fontId="0" fillId="0" borderId="35" xfId="0" applyNumberFormat="1" applyBorder="1"/>
    <xf numFmtId="165" fontId="0" fillId="0" borderId="54" xfId="0" applyNumberFormat="1" applyBorder="1"/>
    <xf numFmtId="2" fontId="0" fillId="0" borderId="0" xfId="0" applyNumberFormat="1"/>
    <xf numFmtId="22" fontId="0" fillId="0" borderId="18" xfId="0" applyNumberFormat="1" applyBorder="1"/>
    <xf numFmtId="22" fontId="0" fillId="0" borderId="34" xfId="0" applyNumberFormat="1" applyBorder="1"/>
    <xf numFmtId="0" fontId="0" fillId="0" borderId="57" xfId="0" applyBorder="1"/>
    <xf numFmtId="0" fontId="0" fillId="0" borderId="58" xfId="0" applyBorder="1"/>
    <xf numFmtId="0" fontId="0" fillId="0" borderId="2" xfId="0" applyBorder="1"/>
    <xf numFmtId="0" fontId="0" fillId="0" borderId="43" xfId="0" applyBorder="1"/>
    <xf numFmtId="0" fontId="0" fillId="22" borderId="57" xfId="0" applyFill="1" applyBorder="1" applyAlignment="1">
      <alignment horizontal="center"/>
    </xf>
    <xf numFmtId="0" fontId="0" fillId="22" borderId="58" xfId="0" applyFill="1" applyBorder="1" applyAlignment="1">
      <alignment horizontal="center"/>
    </xf>
    <xf numFmtId="0" fontId="0" fillId="10" borderId="57" xfId="0" applyFill="1" applyBorder="1" applyAlignment="1">
      <alignment horizontal="center"/>
    </xf>
    <xf numFmtId="0" fontId="0" fillId="10" borderId="58" xfId="0" applyFill="1" applyBorder="1" applyAlignment="1">
      <alignment horizontal="center"/>
    </xf>
    <xf numFmtId="0" fontId="0" fillId="23" borderId="57" xfId="0" applyFill="1" applyBorder="1" applyAlignment="1">
      <alignment horizontal="center"/>
    </xf>
    <xf numFmtId="0" fontId="0" fillId="23" borderId="58" xfId="0" applyFill="1" applyBorder="1" applyAlignment="1">
      <alignment horizontal="center"/>
    </xf>
    <xf numFmtId="0" fontId="0" fillId="0" borderId="35" xfId="0" applyBorder="1" applyAlignment="1">
      <alignment horizontal="right"/>
    </xf>
    <xf numFmtId="0" fontId="0" fillId="0" borderId="35" xfId="0" applyBorder="1" applyAlignment="1">
      <alignment horizontal="left"/>
    </xf>
    <xf numFmtId="0" fontId="0" fillId="0" borderId="0" xfId="0" applyAlignment="1">
      <alignment horizontal="right"/>
    </xf>
    <xf numFmtId="0" fontId="0" fillId="0" borderId="0" xfId="0" applyProtection="1">
      <protection locked="0"/>
    </xf>
    <xf numFmtId="0" fontId="0" fillId="0" borderId="18" xfId="0" applyBorder="1" applyAlignment="1">
      <alignment horizontal="right"/>
    </xf>
    <xf numFmtId="0" fontId="0" fillId="0" borderId="18" xfId="0" applyBorder="1" applyAlignment="1">
      <alignment horizontal="left"/>
    </xf>
    <xf numFmtId="0" fontId="0" fillId="0" borderId="33" xfId="0" applyBorder="1" applyAlignment="1">
      <alignment horizontal="right"/>
    </xf>
    <xf numFmtId="0" fontId="0" fillId="0" borderId="5" xfId="0" applyBorder="1" applyAlignment="1">
      <alignment horizontal="center"/>
    </xf>
    <xf numFmtId="0" fontId="0" fillId="0" borderId="9" xfId="0" applyBorder="1" applyAlignment="1">
      <alignment horizontal="center"/>
    </xf>
    <xf numFmtId="0" fontId="0" fillId="0" borderId="12" xfId="0" applyBorder="1"/>
    <xf numFmtId="0" fontId="0" fillId="0" borderId="8" xfId="0" applyBorder="1" applyAlignment="1">
      <alignment horizontal="center"/>
    </xf>
    <xf numFmtId="0" fontId="0" fillId="0" borderId="6" xfId="0" applyBorder="1"/>
    <xf numFmtId="14" fontId="0" fillId="0" borderId="5" xfId="0" applyNumberFormat="1" applyBorder="1" applyAlignment="1" applyProtection="1">
      <alignment horizontal="center"/>
      <protection locked="0"/>
    </xf>
    <xf numFmtId="0" fontId="0" fillId="0" borderId="6" xfId="0" applyBorder="1" applyAlignment="1" applyProtection="1">
      <alignment horizontal="center"/>
      <protection locked="0"/>
    </xf>
    <xf numFmtId="0" fontId="0" fillId="0" borderId="5" xfId="0" applyBorder="1" applyAlignment="1" applyProtection="1">
      <alignment horizontal="center"/>
      <protection locked="0"/>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left" wrapText="1"/>
    </xf>
    <xf numFmtId="14" fontId="0" fillId="0" borderId="3" xfId="0" applyNumberFormat="1" applyBorder="1" applyAlignment="1">
      <alignment horizontal="left" wrapText="1"/>
    </xf>
    <xf numFmtId="0" fontId="0" fillId="0" borderId="3" xfId="0" applyBorder="1" applyAlignment="1">
      <alignment horizontal="left" wrapText="1"/>
    </xf>
    <xf numFmtId="49" fontId="0" fillId="3" borderId="5" xfId="0" applyNumberFormat="1" applyFill="1" applyBorder="1" applyAlignment="1">
      <alignment horizontal="left"/>
    </xf>
    <xf numFmtId="49" fontId="0" fillId="3" borderId="7" xfId="0" applyNumberFormat="1" applyFill="1" applyBorder="1" applyAlignment="1">
      <alignment horizontal="left"/>
    </xf>
    <xf numFmtId="49" fontId="0" fillId="3" borderId="6" xfId="0" applyNumberFormat="1" applyFill="1" applyBorder="1" applyAlignment="1">
      <alignment horizontal="left"/>
    </xf>
    <xf numFmtId="0" fontId="0" fillId="0" borderId="7" xfId="0" applyBorder="1" applyAlignment="1">
      <alignment horizontal="center"/>
    </xf>
    <xf numFmtId="0" fontId="0" fillId="0" borderId="5"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wrapText="1"/>
    </xf>
    <xf numFmtId="0" fontId="0" fillId="0" borderId="15" xfId="0" applyBorder="1" applyAlignment="1">
      <alignment horizontal="left" wrapText="1"/>
    </xf>
    <xf numFmtId="0" fontId="0" fillId="0" borderId="0" xfId="0" applyAlignment="1">
      <alignment horizontal="left" wrapText="1"/>
    </xf>
    <xf numFmtId="49" fontId="0" fillId="3" borderId="8" xfId="0" applyNumberFormat="1" applyFill="1" applyBorder="1" applyAlignment="1">
      <alignment horizontal="left"/>
    </xf>
    <xf numFmtId="0" fontId="0" fillId="3" borderId="8" xfId="0" applyFill="1" applyBorder="1" applyAlignment="1">
      <alignment horizontal="left"/>
    </xf>
    <xf numFmtId="0" fontId="0" fillId="13" borderId="8" xfId="0" applyFill="1" applyBorder="1" applyAlignment="1">
      <alignment horizontal="left" wrapText="1"/>
    </xf>
    <xf numFmtId="0" fontId="5" fillId="0" borderId="8" xfId="0" applyFont="1" applyBorder="1" applyAlignment="1">
      <alignment horizontal="left" wrapText="1"/>
    </xf>
    <xf numFmtId="0" fontId="0" fillId="0" borderId="15" xfId="0" applyBorder="1" applyAlignment="1">
      <alignment horizontal="right" vertical="center"/>
    </xf>
    <xf numFmtId="0" fontId="0" fillId="3" borderId="5" xfId="0" applyFill="1" applyBorder="1" applyAlignment="1">
      <alignment horizontal="left"/>
    </xf>
    <xf numFmtId="0" fontId="0" fillId="3" borderId="7" xfId="0" applyFill="1" applyBorder="1" applyAlignment="1">
      <alignment horizontal="left"/>
    </xf>
    <xf numFmtId="0" fontId="0" fillId="3" borderId="6" xfId="0" applyFill="1" applyBorder="1" applyAlignment="1">
      <alignment horizontal="left"/>
    </xf>
    <xf numFmtId="0" fontId="0" fillId="0" borderId="8" xfId="0" applyBorder="1" applyAlignment="1">
      <alignment horizontal="left"/>
    </xf>
    <xf numFmtId="0" fontId="0" fillId="0" borderId="16" xfId="0" applyBorder="1" applyAlignment="1">
      <alignment horizontal="left" wrapText="1"/>
    </xf>
    <xf numFmtId="10" fontId="0" fillId="0" borderId="16" xfId="0" applyNumberFormat="1" applyBorder="1" applyAlignment="1">
      <alignment horizontal="center" vertical="center"/>
    </xf>
    <xf numFmtId="0" fontId="0" fillId="0" borderId="10" xfId="0" applyBorder="1" applyAlignment="1">
      <alignment horizontal="right" vertical="center"/>
    </xf>
    <xf numFmtId="10" fontId="0" fillId="0" borderId="12" xfId="0" applyNumberFormat="1" applyBorder="1" applyAlignment="1">
      <alignment horizontal="center" vertical="center"/>
    </xf>
    <xf numFmtId="0" fontId="0" fillId="0" borderId="5" xfId="0" applyBorder="1" applyAlignment="1">
      <alignment horizontal="left"/>
    </xf>
    <xf numFmtId="0" fontId="0" fillId="0" borderId="6" xfId="0" applyBorder="1" applyAlignment="1">
      <alignment horizontal="left"/>
    </xf>
    <xf numFmtId="0" fontId="0" fillId="0" borderId="4" xfId="0" applyBorder="1" applyAlignment="1">
      <alignment horizontal="right" vertical="center"/>
    </xf>
    <xf numFmtId="10" fontId="0" fillId="0" borderId="14" xfId="0" applyNumberFormat="1" applyBorder="1" applyAlignment="1">
      <alignment horizontal="center" vertical="center"/>
    </xf>
    <xf numFmtId="0" fontId="0" fillId="0" borderId="9" xfId="0" applyBorder="1" applyAlignment="1">
      <alignment horizontal="left" wrapText="1"/>
    </xf>
    <xf numFmtId="0" fontId="0" fillId="3" borderId="10"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9" fillId="0" borderId="4" xfId="0" applyFont="1" applyBorder="1" applyAlignment="1">
      <alignment horizontal="center" vertical="center" wrapText="1"/>
    </xf>
    <xf numFmtId="0" fontId="9" fillId="0" borderId="13" xfId="0" applyFont="1" applyBorder="1" applyAlignment="1">
      <alignment horizontal="center" vertical="center" wrapText="1"/>
    </xf>
    <xf numFmtId="0" fontId="0" fillId="0" borderId="13" xfId="0" applyBorder="1" applyAlignment="1">
      <alignment horizontal="center"/>
    </xf>
    <xf numFmtId="0" fontId="2" fillId="15" borderId="8" xfId="0" applyFont="1" applyFill="1" applyBorder="1" applyAlignment="1">
      <alignment horizontal="center"/>
    </xf>
    <xf numFmtId="0" fontId="7" fillId="2" borderId="8" xfId="1" applyFont="1" applyFill="1" applyBorder="1" applyAlignment="1">
      <alignment horizontal="center" wrapText="1"/>
    </xf>
    <xf numFmtId="3" fontId="5" fillId="0" borderId="8" xfId="1" applyNumberFormat="1" applyFont="1" applyBorder="1" applyAlignment="1">
      <alignment horizontal="center" vertical="center"/>
    </xf>
    <xf numFmtId="14" fontId="5" fillId="0" borderId="8" xfId="1" applyNumberFormat="1" applyFont="1" applyBorder="1" applyAlignment="1">
      <alignment horizontal="center" vertical="center"/>
    </xf>
    <xf numFmtId="14" fontId="0" fillId="0" borderId="0" xfId="0" applyNumberFormat="1" applyAlignment="1">
      <alignment horizontal="left" wrapText="1"/>
    </xf>
    <xf numFmtId="0" fontId="15" fillId="16" borderId="34" xfId="0" applyFont="1" applyFill="1" applyBorder="1" applyAlignment="1">
      <alignment horizontal="center" vertical="center" wrapText="1"/>
    </xf>
    <xf numFmtId="0" fontId="15" fillId="16" borderId="35" xfId="0" applyFont="1" applyFill="1" applyBorder="1" applyAlignment="1">
      <alignment horizontal="center" vertical="center" wrapText="1"/>
    </xf>
    <xf numFmtId="0" fontId="15" fillId="16" borderId="18" xfId="0" applyFont="1" applyFill="1" applyBorder="1" applyAlignment="1">
      <alignment horizontal="center" vertical="center" wrapText="1"/>
    </xf>
    <xf numFmtId="0" fontId="10" fillId="0" borderId="0" xfId="1" applyFont="1" applyAlignment="1">
      <alignment horizontal="center" vertical="center"/>
    </xf>
    <xf numFmtId="0" fontId="3" fillId="0" borderId="0" xfId="1" applyFont="1" applyAlignment="1">
      <alignment horizontal="center"/>
    </xf>
    <xf numFmtId="0" fontId="15" fillId="16" borderId="32" xfId="0" applyFont="1" applyFill="1" applyBorder="1" applyAlignment="1">
      <alignment horizontal="center" vertical="center" wrapText="1"/>
    </xf>
    <xf numFmtId="0" fontId="15" fillId="16" borderId="33" xfId="0" applyFont="1" applyFill="1" applyBorder="1" applyAlignment="1">
      <alignment horizontal="center" vertical="center" wrapText="1"/>
    </xf>
    <xf numFmtId="0" fontId="15" fillId="16" borderId="30" xfId="0" applyFont="1" applyFill="1" applyBorder="1" applyAlignment="1">
      <alignment horizontal="center" vertical="center" wrapText="1"/>
    </xf>
    <xf numFmtId="0" fontId="6" fillId="2" borderId="44" xfId="1" applyFont="1" applyFill="1" applyBorder="1" applyAlignment="1">
      <alignment horizontal="center" wrapText="1"/>
    </xf>
    <xf numFmtId="0" fontId="6" fillId="2" borderId="45" xfId="1" applyFont="1" applyFill="1" applyBorder="1" applyAlignment="1">
      <alignment horizontal="center" wrapText="1"/>
    </xf>
    <xf numFmtId="0" fontId="15" fillId="16" borderId="26" xfId="0" applyFont="1" applyFill="1" applyBorder="1" applyAlignment="1">
      <alignment horizontal="center" vertical="center" wrapText="1"/>
    </xf>
    <xf numFmtId="0" fontId="15" fillId="16" borderId="27" xfId="0" applyFont="1" applyFill="1" applyBorder="1" applyAlignment="1">
      <alignment horizontal="center" vertical="center" wrapText="1"/>
    </xf>
    <xf numFmtId="0" fontId="15" fillId="16" borderId="49" xfId="0" applyFont="1" applyFill="1" applyBorder="1" applyAlignment="1">
      <alignment horizontal="center" vertical="center" wrapText="1"/>
    </xf>
    <xf numFmtId="0" fontId="15" fillId="16" borderId="50" xfId="0" applyFont="1" applyFill="1" applyBorder="1" applyAlignment="1">
      <alignment horizontal="center" vertical="center" wrapText="1"/>
    </xf>
    <xf numFmtId="0" fontId="6" fillId="2" borderId="20" xfId="1" applyFont="1" applyFill="1" applyBorder="1" applyAlignment="1">
      <alignment horizontal="center" vertical="center"/>
    </xf>
    <xf numFmtId="0" fontId="3" fillId="0" borderId="8" xfId="1" applyFont="1" applyBorder="1" applyAlignment="1">
      <alignment horizontal="left" vertical="center"/>
    </xf>
    <xf numFmtId="0" fontId="12" fillId="0" borderId="1" xfId="1" applyFont="1" applyBorder="1" applyAlignment="1">
      <alignment horizontal="left"/>
    </xf>
    <xf numFmtId="0" fontId="10" fillId="0" borderId="0" xfId="1" applyFont="1" applyAlignment="1">
      <alignment horizontal="left"/>
    </xf>
    <xf numFmtId="0" fontId="3" fillId="13" borderId="7" xfId="1" applyFont="1" applyFill="1" applyBorder="1" applyAlignment="1" applyProtection="1">
      <alignment horizontal="left" vertical="top" wrapText="1"/>
      <protection locked="0"/>
    </xf>
    <xf numFmtId="0" fontId="3" fillId="0" borderId="8" xfId="1" applyFont="1" applyBorder="1" applyAlignment="1" applyProtection="1">
      <alignment horizontal="left" vertical="center"/>
      <protection locked="0"/>
    </xf>
    <xf numFmtId="0" fontId="3" fillId="0" borderId="5" xfId="1" applyFont="1" applyBorder="1" applyAlignment="1" applyProtection="1">
      <alignment horizontal="left" vertical="center"/>
      <protection locked="0"/>
    </xf>
    <xf numFmtId="0" fontId="3" fillId="0" borderId="7" xfId="1" applyFont="1" applyBorder="1" applyAlignment="1" applyProtection="1">
      <alignment horizontal="left" vertical="center"/>
      <protection locked="0"/>
    </xf>
    <xf numFmtId="0" fontId="3" fillId="0" borderId="6" xfId="1" applyFont="1" applyBorder="1" applyAlignment="1" applyProtection="1">
      <alignment horizontal="left" vertical="center"/>
      <protection locked="0"/>
    </xf>
    <xf numFmtId="0" fontId="3" fillId="13" borderId="6" xfId="1" applyFont="1" applyFill="1" applyBorder="1" applyAlignment="1" applyProtection="1">
      <alignment horizontal="center" vertical="top" wrapText="1"/>
      <protection locked="0"/>
    </xf>
    <xf numFmtId="0" fontId="0" fillId="0" borderId="7" xfId="0" applyBorder="1" applyProtection="1">
      <protection locked="0"/>
    </xf>
    <xf numFmtId="0" fontId="0" fillId="0" borderId="6" xfId="0" applyBorder="1" applyProtection="1">
      <protection locked="0"/>
    </xf>
    <xf numFmtId="0" fontId="3" fillId="13" borderId="7" xfId="1" applyFont="1" applyFill="1" applyBorder="1" applyAlignment="1" applyProtection="1">
      <alignment horizontal="center" vertical="top" wrapText="1"/>
      <protection locked="0"/>
    </xf>
    <xf numFmtId="1" fontId="3" fillId="0" borderId="8" xfId="1" applyNumberFormat="1" applyFont="1" applyBorder="1" applyAlignment="1" applyProtection="1">
      <alignment horizontal="left" vertical="center"/>
      <protection locked="0"/>
    </xf>
    <xf numFmtId="0" fontId="3" fillId="0" borderId="8" xfId="1" applyFont="1" applyBorder="1" applyAlignment="1" applyProtection="1">
      <alignment horizontal="left" vertical="center" readingOrder="1"/>
      <protection locked="0"/>
    </xf>
    <xf numFmtId="0" fontId="4" fillId="0" borderId="13" xfId="1" applyFont="1" applyBorder="1" applyAlignment="1" applyProtection="1">
      <alignment horizontal="center"/>
      <protection locked="0"/>
    </xf>
    <xf numFmtId="0" fontId="14" fillId="0" borderId="0" xfId="1" applyFont="1" applyAlignment="1" applyProtection="1">
      <alignment horizontal="left" vertical="top" wrapText="1"/>
      <protection locked="0"/>
    </xf>
    <xf numFmtId="0" fontId="5" fillId="0" borderId="5" xfId="1" applyFont="1" applyBorder="1" applyAlignment="1">
      <alignment horizontal="center" vertical="center" wrapText="1"/>
    </xf>
    <xf numFmtId="0" fontId="5" fillId="0" borderId="7" xfId="1" applyFont="1" applyBorder="1" applyAlignment="1">
      <alignment horizontal="center" vertical="center" wrapText="1"/>
    </xf>
    <xf numFmtId="0" fontId="5" fillId="0" borderId="6" xfId="1" applyFont="1" applyBorder="1" applyAlignment="1">
      <alignment horizontal="center" vertical="center" wrapText="1"/>
    </xf>
    <xf numFmtId="0" fontId="10" fillId="15" borderId="5" xfId="1" applyFont="1" applyFill="1" applyBorder="1" applyAlignment="1">
      <alignment horizontal="center" vertical="center"/>
    </xf>
    <xf numFmtId="0" fontId="10" fillId="15" borderId="7" xfId="1" applyFont="1" applyFill="1" applyBorder="1" applyAlignment="1">
      <alignment horizontal="center" vertical="center"/>
    </xf>
    <xf numFmtId="0" fontId="10" fillId="15" borderId="6" xfId="1" applyFont="1" applyFill="1" applyBorder="1" applyAlignment="1">
      <alignment horizontal="center" vertical="center"/>
    </xf>
    <xf numFmtId="0" fontId="0" fillId="20" borderId="5" xfId="0" applyFill="1" applyBorder="1" applyAlignment="1">
      <alignment horizontal="center"/>
    </xf>
    <xf numFmtId="0" fontId="0" fillId="20" borderId="6" xfId="0" applyFill="1" applyBorder="1" applyAlignment="1">
      <alignment horizontal="center"/>
    </xf>
    <xf numFmtId="0" fontId="0" fillId="21" borderId="4" xfId="0" applyFill="1" applyBorder="1" applyAlignment="1">
      <alignment horizontal="center"/>
    </xf>
    <xf numFmtId="0" fontId="0" fillId="21" borderId="13" xfId="0" applyFill="1" applyBorder="1" applyAlignment="1">
      <alignment horizontal="center"/>
    </xf>
    <xf numFmtId="0" fontId="0" fillId="21" borderId="14" xfId="0" applyFill="1" applyBorder="1" applyAlignment="1">
      <alignment horizontal="center"/>
    </xf>
    <xf numFmtId="0" fontId="0" fillId="21" borderId="5" xfId="0" applyFill="1" applyBorder="1" applyAlignment="1">
      <alignment horizontal="center"/>
    </xf>
    <xf numFmtId="0" fontId="0" fillId="21" borderId="7" xfId="0" applyFill="1" applyBorder="1" applyAlignment="1">
      <alignment horizontal="center"/>
    </xf>
    <xf numFmtId="0" fontId="0" fillId="21" borderId="6" xfId="0" applyFill="1" applyBorder="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21" borderId="8" xfId="0" applyFill="1" applyBorder="1" applyAlignment="1">
      <alignment horizontal="center"/>
    </xf>
    <xf numFmtId="0" fontId="0" fillId="23" borderId="58" xfId="0" applyFill="1" applyBorder="1" applyAlignment="1">
      <alignment horizontal="center"/>
    </xf>
    <xf numFmtId="0" fontId="0" fillId="23" borderId="2" xfId="0" applyFill="1" applyBorder="1" applyAlignment="1">
      <alignment horizontal="center"/>
    </xf>
    <xf numFmtId="0" fontId="0" fillId="23" borderId="57" xfId="0" applyFill="1" applyBorder="1" applyAlignment="1">
      <alignment horizontal="center"/>
    </xf>
    <xf numFmtId="0" fontId="0" fillId="10" borderId="58" xfId="0" applyFill="1" applyBorder="1" applyAlignment="1">
      <alignment horizontal="center"/>
    </xf>
    <xf numFmtId="0" fontId="0" fillId="10" borderId="2" xfId="0" applyFill="1" applyBorder="1" applyAlignment="1">
      <alignment horizontal="center"/>
    </xf>
    <xf numFmtId="0" fontId="0" fillId="10" borderId="57" xfId="0" applyFill="1" applyBorder="1" applyAlignment="1">
      <alignment horizontal="center"/>
    </xf>
    <xf numFmtId="0" fontId="0" fillId="22" borderId="58" xfId="0" applyFill="1" applyBorder="1" applyAlignment="1">
      <alignment horizontal="center"/>
    </xf>
    <xf numFmtId="0" fontId="0" fillId="22" borderId="2" xfId="0" applyFill="1" applyBorder="1" applyAlignment="1">
      <alignment horizontal="center"/>
    </xf>
    <xf numFmtId="0" fontId="0" fillId="22" borderId="57" xfId="0" applyFill="1" applyBorder="1" applyAlignment="1">
      <alignment horizontal="center"/>
    </xf>
  </cellXfs>
  <cellStyles count="7">
    <cellStyle name="Comma" xfId="3" builtinId="3"/>
    <cellStyle name="Comma0" xfId="2" xr:uid="{A8EADF69-06DD-434C-BBAD-D843AE110BBC}"/>
    <cellStyle name="Normal" xfId="0" builtinId="0"/>
    <cellStyle name="Normal 2" xfId="1" xr:uid="{9E6CFDB7-C167-464F-9D32-BA29E46DD956}"/>
    <cellStyle name="Normal 3" xfId="5" xr:uid="{00000000-0005-0000-0000-000004000000}"/>
    <cellStyle name="Normal 4" xfId="4" xr:uid="{00000000-0005-0000-0000-000032000000}"/>
    <cellStyle name="Percent 2" xfId="6" xr:uid="{00000000-0005-0000-0000-000035000000}"/>
  </cellStyles>
  <dxfs count="321">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CC99"/>
      <color rgb="FF338583"/>
      <color rgb="FF993300"/>
      <color rgb="FFFF6700"/>
      <color rgb="FFDE8B10"/>
      <color rgb="FF00FFFF"/>
      <color rgb="FF01EFEF"/>
      <color rgb="FFFF99FF"/>
      <color rgb="FFDB6413"/>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CVS Recovery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v>Propane</c:v>
          </c:tx>
          <c:spPr>
            <a:ln w="25400" cap="rnd">
              <a:noFill/>
              <a:round/>
            </a:ln>
            <a:effectLst/>
          </c:spPr>
          <c:marker>
            <c:symbol val="circle"/>
            <c:size val="5"/>
            <c:spPr>
              <a:solidFill>
                <a:schemeClr val="accent1"/>
              </a:solidFill>
              <a:ln w="9525">
                <a:solidFill>
                  <a:schemeClr val="accent1"/>
                </a:solidFill>
              </a:ln>
              <a:effectLst/>
            </c:spPr>
          </c:marker>
          <c:xVal>
            <c:numRef>
              <c:f>Calculations!$B$6:$B$39</c:f>
              <c:numCache>
                <c:formatCode>General</c:formatCode>
                <c:ptCount val="34"/>
                <c:pt idx="0">
                  <c:v>2.0144000000000002</c:v>
                </c:pt>
                <c:pt idx="1">
                  <c:v>2.1282999999999999</c:v>
                </c:pt>
                <c:pt idx="2">
                  <c:v>2.0188000000000001</c:v>
                </c:pt>
                <c:pt idx="3">
                  <c:v>2.0910000000000002</c:v>
                </c:pt>
                <c:pt idx="4">
                  <c:v>2.1541000000000001</c:v>
                </c:pt>
                <c:pt idx="5">
                  <c:v>1.9671000000000001</c:v>
                </c:pt>
                <c:pt idx="6">
                  <c:v>2.1497000000000002</c:v>
                </c:pt>
                <c:pt idx="7">
                  <c:v>2.0226000000000002</c:v>
                </c:pt>
                <c:pt idx="8">
                  <c:v>1.9328000000000001</c:v>
                </c:pt>
                <c:pt idx="9">
                  <c:v>1.9188000000000001</c:v>
                </c:pt>
                <c:pt idx="10">
                  <c:v>1.8738999999999999</c:v>
                </c:pt>
                <c:pt idx="11">
                  <c:v>2.1568000000000001</c:v>
                </c:pt>
                <c:pt idx="12">
                  <c:v>2.1067</c:v>
                </c:pt>
                <c:pt idx="13">
                  <c:v>2.1753999999999998</c:v>
                </c:pt>
                <c:pt idx="14">
                  <c:v>2.1223999999999998</c:v>
                </c:pt>
                <c:pt idx="15">
                  <c:v>2.343</c:v>
                </c:pt>
                <c:pt idx="16">
                  <c:v>2.2292999999999998</c:v>
                </c:pt>
                <c:pt idx="17">
                  <c:v>2.1932</c:v>
                </c:pt>
                <c:pt idx="18">
                  <c:v>2.2566000000000002</c:v>
                </c:pt>
                <c:pt idx="19">
                  <c:v>2.1553</c:v>
                </c:pt>
                <c:pt idx="20">
                  <c:v>2.1735000000000002</c:v>
                </c:pt>
                <c:pt idx="21">
                  <c:v>2.2039</c:v>
                </c:pt>
                <c:pt idx="22">
                  <c:v>2.0459000000000001</c:v>
                </c:pt>
                <c:pt idx="23">
                  <c:v>2.1267</c:v>
                </c:pt>
                <c:pt idx="24">
                  <c:v>2.1320999999999999</c:v>
                </c:pt>
                <c:pt idx="25">
                  <c:v>2.1191</c:v>
                </c:pt>
                <c:pt idx="26">
                  <c:v>2.1812999999999998</c:v>
                </c:pt>
                <c:pt idx="27">
                  <c:v>2.1972999999999998</c:v>
                </c:pt>
                <c:pt idx="28">
                  <c:v>2.0223</c:v>
                </c:pt>
                <c:pt idx="29">
                  <c:v>2.1021000000000001</c:v>
                </c:pt>
                <c:pt idx="30">
                  <c:v>2.1092</c:v>
                </c:pt>
                <c:pt idx="31">
                  <c:v>2.1027</c:v>
                </c:pt>
                <c:pt idx="32">
                  <c:v>2.1145999999999998</c:v>
                </c:pt>
                <c:pt idx="33">
                  <c:v>2.1549</c:v>
                </c:pt>
              </c:numCache>
            </c:numRef>
          </c:xVal>
          <c:yVal>
            <c:numRef>
              <c:f>Calculations!$C$6:$C$39</c:f>
              <c:numCache>
                <c:formatCode>General</c:formatCode>
                <c:ptCount val="34"/>
                <c:pt idx="0">
                  <c:v>2.4883277627044436</c:v>
                </c:pt>
                <c:pt idx="1">
                  <c:v>4.0562105170415945</c:v>
                </c:pt>
                <c:pt idx="2">
                  <c:v>2.6016279273948815</c:v>
                </c:pt>
                <c:pt idx="3">
                  <c:v>4.0242600818079373</c:v>
                </c:pt>
                <c:pt idx="4">
                  <c:v>3.7398604711437193</c:v>
                </c:pt>
                <c:pt idx="5">
                  <c:v>1.353592240574405</c:v>
                </c:pt>
                <c:pt idx="6">
                  <c:v>3.8110678555458852</c:v>
                </c:pt>
                <c:pt idx="7">
                  <c:v>2.6991398572232357</c:v>
                </c:pt>
                <c:pt idx="8">
                  <c:v>0.74994341722564872</c:v>
                </c:pt>
                <c:pt idx="9">
                  <c:v>0.56848202064664377</c:v>
                </c:pt>
                <c:pt idx="10">
                  <c:v>0.20310166397899865</c:v>
                </c:pt>
                <c:pt idx="11">
                  <c:v>3.6930543583841389</c:v>
                </c:pt>
                <c:pt idx="12">
                  <c:v>4.1112364895014935</c:v>
                </c:pt>
                <c:pt idx="13">
                  <c:v>3.315472566117605</c:v>
                </c:pt>
                <c:pt idx="14">
                  <c:v>4.0912936126206914</c:v>
                </c:pt>
                <c:pt idx="15">
                  <c:v>0.23819745162319153</c:v>
                </c:pt>
                <c:pt idx="16">
                  <c:v>1.9699627408857006</c:v>
                </c:pt>
                <c:pt idx="17">
                  <c:v>2.8889445228334121</c:v>
                </c:pt>
                <c:pt idx="18">
                  <c:v>1.3449071843546523</c:v>
                </c:pt>
                <c:pt idx="19">
                  <c:v>3.7193413633515853</c:v>
                </c:pt>
                <c:pt idx="20">
                  <c:v>3.3578696137050055</c:v>
                </c:pt>
                <c:pt idx="21">
                  <c:v>2.6166009137652817</c:v>
                </c:pt>
                <c:pt idx="22">
                  <c:v>3.2704681004186194</c:v>
                </c:pt>
                <c:pt idx="23">
                  <c:v>4.0671841907994928</c:v>
                </c:pt>
                <c:pt idx="24">
                  <c:v>4.0258661023090969</c:v>
                </c:pt>
                <c:pt idx="25">
                  <c:v>4.1044091430797804</c:v>
                </c:pt>
                <c:pt idx="26">
                  <c:v>3.1794013492445861</c:v>
                </c:pt>
                <c:pt idx="27">
                  <c:v>2.7853999691724081</c:v>
                </c:pt>
                <c:pt idx="28">
                  <c:v>2.6914608721532187</c:v>
                </c:pt>
                <c:pt idx="29">
                  <c:v>4.0966811178084352</c:v>
                </c:pt>
                <c:pt idx="30">
                  <c:v>4.1152780069104002</c:v>
                </c:pt>
                <c:pt idx="31">
                  <c:v>4.0991004342660986</c:v>
                </c:pt>
                <c:pt idx="32">
                  <c:v>4.1146656308857521</c:v>
                </c:pt>
                <c:pt idx="33">
                  <c:v>3.7262320068974151</c:v>
                </c:pt>
              </c:numCache>
            </c:numRef>
          </c:yVal>
          <c:smooth val="0"/>
          <c:extLst>
            <c:ext xmlns:c16="http://schemas.microsoft.com/office/drawing/2014/chart" uri="{C3380CC4-5D6E-409C-BE32-E72D297353CC}">
              <c16:uniqueId val="{00000000-05DC-4E83-9A18-956EFA2A57A0}"/>
            </c:ext>
          </c:extLst>
        </c:ser>
        <c:ser>
          <c:idx val="1"/>
          <c:order val="1"/>
          <c:tx>
            <c:v>Toluene</c:v>
          </c:tx>
          <c:spPr>
            <a:ln w="25400" cap="rnd">
              <a:noFill/>
              <a:round/>
            </a:ln>
            <a:effectLst/>
          </c:spPr>
          <c:marker>
            <c:symbol val="circle"/>
            <c:size val="5"/>
            <c:spPr>
              <a:solidFill>
                <a:schemeClr val="accent2"/>
              </a:solidFill>
              <a:ln w="9525">
                <a:solidFill>
                  <a:schemeClr val="accent2"/>
                </a:solidFill>
              </a:ln>
              <a:effectLst/>
            </c:spPr>
          </c:marker>
          <c:xVal>
            <c:numRef>
              <c:f>Calculations!$E$6:$E$39</c:f>
              <c:numCache>
                <c:formatCode>General</c:formatCode>
                <c:ptCount val="34"/>
                <c:pt idx="0">
                  <c:v>2.0695000000000001</c:v>
                </c:pt>
                <c:pt idx="1">
                  <c:v>2.0514999999999999</c:v>
                </c:pt>
                <c:pt idx="2">
                  <c:v>2.0539000000000001</c:v>
                </c:pt>
                <c:pt idx="3">
                  <c:v>2.1644999999999999</c:v>
                </c:pt>
                <c:pt idx="4">
                  <c:v>2.1149</c:v>
                </c:pt>
                <c:pt idx="5">
                  <c:v>2.0402</c:v>
                </c:pt>
                <c:pt idx="6">
                  <c:v>2.0813000000000001</c:v>
                </c:pt>
                <c:pt idx="7">
                  <c:v>2.1303999999999998</c:v>
                </c:pt>
                <c:pt idx="8">
                  <c:v>2.0255999999999998</c:v>
                </c:pt>
                <c:pt idx="9">
                  <c:v>1.9698</c:v>
                </c:pt>
                <c:pt idx="10">
                  <c:v>1.9276</c:v>
                </c:pt>
                <c:pt idx="11">
                  <c:v>2.1983999999999999</c:v>
                </c:pt>
                <c:pt idx="12">
                  <c:v>2.1806999999999999</c:v>
                </c:pt>
                <c:pt idx="13">
                  <c:v>2.1627999999999998</c:v>
                </c:pt>
                <c:pt idx="14">
                  <c:v>2.1974</c:v>
                </c:pt>
                <c:pt idx="15">
                  <c:v>2.2248999999999999</c:v>
                </c:pt>
                <c:pt idx="16">
                  <c:v>2.2461000000000002</c:v>
                </c:pt>
                <c:pt idx="17">
                  <c:v>2.1829999999999998</c:v>
                </c:pt>
                <c:pt idx="18">
                  <c:v>2.2040000000000002</c:v>
                </c:pt>
                <c:pt idx="19">
                  <c:v>2.2608999999999999</c:v>
                </c:pt>
                <c:pt idx="20">
                  <c:v>2.2692999999999999</c:v>
                </c:pt>
                <c:pt idx="21">
                  <c:v>2.1518999999999999</c:v>
                </c:pt>
                <c:pt idx="22">
                  <c:v>2.1139999999999999</c:v>
                </c:pt>
                <c:pt idx="23">
                  <c:v>2.1467000000000001</c:v>
                </c:pt>
                <c:pt idx="24">
                  <c:v>2.1533000000000002</c:v>
                </c:pt>
                <c:pt idx="25">
                  <c:v>2.1598000000000002</c:v>
                </c:pt>
                <c:pt idx="26">
                  <c:v>2.1711999999999998</c:v>
                </c:pt>
                <c:pt idx="27">
                  <c:v>2.1629999999999998</c:v>
                </c:pt>
                <c:pt idx="28">
                  <c:v>2.1953</c:v>
                </c:pt>
                <c:pt idx="29">
                  <c:v>2.1074999999999999</c:v>
                </c:pt>
                <c:pt idx="30">
                  <c:v>2.1560999999999999</c:v>
                </c:pt>
                <c:pt idx="31">
                  <c:v>2.177</c:v>
                </c:pt>
                <c:pt idx="32">
                  <c:v>2.2147000000000001</c:v>
                </c:pt>
                <c:pt idx="33">
                  <c:v>2.1701999999999999</c:v>
                </c:pt>
              </c:numCache>
            </c:numRef>
          </c:xVal>
          <c:yVal>
            <c:numRef>
              <c:f>Calculations!$F$6:$F$39</c:f>
              <c:numCache>
                <c:formatCode>General</c:formatCode>
                <c:ptCount val="34"/>
                <c:pt idx="0">
                  <c:v>3.3145410038963461</c:v>
                </c:pt>
                <c:pt idx="1">
                  <c:v>2.5863102795317054</c:v>
                </c:pt>
                <c:pt idx="2">
                  <c:v>2.6817393062786521</c:v>
                </c:pt>
                <c:pt idx="3">
                  <c:v>4.9680543151867846</c:v>
                </c:pt>
                <c:pt idx="4">
                  <c:v>4.8621953637402759</c:v>
                </c:pt>
                <c:pt idx="5">
                  <c:v>2.1524093978947922</c:v>
                </c:pt>
                <c:pt idx="6">
                  <c:v>3.7860421888665492</c:v>
                </c:pt>
                <c:pt idx="7">
                  <c:v>5.1179893460225205</c:v>
                </c:pt>
                <c:pt idx="8">
                  <c:v>1.6445173771504593</c:v>
                </c:pt>
                <c:pt idx="9">
                  <c:v>0.42222075268094028</c:v>
                </c:pt>
                <c:pt idx="10">
                  <c:v>0.10656311324046359</c:v>
                </c:pt>
                <c:pt idx="11">
                  <c:v>3.9717630870067149</c:v>
                </c:pt>
                <c:pt idx="12">
                  <c:v>4.5732974882870812</c:v>
                </c:pt>
                <c:pt idx="13">
                  <c:v>4.9985715320782331</c:v>
                </c:pt>
                <c:pt idx="14">
                  <c:v>4.0091726069430944</c:v>
                </c:pt>
                <c:pt idx="15">
                  <c:v>2.9135329972575215</c:v>
                </c:pt>
                <c:pt idx="16">
                  <c:v>2.0881412417606677</c:v>
                </c:pt>
                <c:pt idx="17">
                  <c:v>4.5036768223846009</c:v>
                </c:pt>
                <c:pt idx="18">
                  <c:v>3.7569094382032064</c:v>
                </c:pt>
                <c:pt idx="19">
                  <c:v>1.5822363387880034</c:v>
                </c:pt>
                <c:pt idx="20">
                  <c:v>1.3297002901575383</c:v>
                </c:pt>
                <c:pt idx="21">
                  <c:v>5.138923110068486</c:v>
                </c:pt>
                <c:pt idx="22">
                  <c:v>4.8417158440782835</c:v>
                </c:pt>
                <c:pt idx="23">
                  <c:v>5.1706531893327767</c:v>
                </c:pt>
                <c:pt idx="24">
                  <c:v>5.1264204486212019</c:v>
                </c:pt>
                <c:pt idx="25">
                  <c:v>5.0468831477086189</c:v>
                </c:pt>
                <c:pt idx="26">
                  <c:v>4.8266381492117612</c:v>
                </c:pt>
                <c:pt idx="27">
                  <c:v>4.9950978432807194</c:v>
                </c:pt>
                <c:pt idx="28">
                  <c:v>4.0866409408262214</c:v>
                </c:pt>
                <c:pt idx="29">
                  <c:v>4.6773495305752126</c:v>
                </c:pt>
                <c:pt idx="30">
                  <c:v>5.0964531405499622</c:v>
                </c:pt>
                <c:pt idx="31">
                  <c:v>4.6788000331741051</c:v>
                </c:pt>
                <c:pt idx="32">
                  <c:v>3.3288860983031432</c:v>
                </c:pt>
                <c:pt idx="33">
                  <c:v>4.8498156370901002</c:v>
                </c:pt>
              </c:numCache>
            </c:numRef>
          </c:yVal>
          <c:smooth val="0"/>
          <c:extLst>
            <c:ext xmlns:c16="http://schemas.microsoft.com/office/drawing/2014/chart" uri="{C3380CC4-5D6E-409C-BE32-E72D297353CC}">
              <c16:uniqueId val="{00000001-05DC-4E83-9A18-956EFA2A57A0}"/>
            </c:ext>
          </c:extLst>
        </c:ser>
        <c:ser>
          <c:idx val="2"/>
          <c:order val="2"/>
          <c:tx>
            <c:v>Target</c:v>
          </c:tx>
          <c:spPr>
            <a:ln w="25400" cap="rnd">
              <a:solidFill>
                <a:schemeClr val="accent6"/>
              </a:solidFill>
              <a:round/>
            </a:ln>
            <a:effectLst/>
          </c:spPr>
          <c:marker>
            <c:symbol val="none"/>
          </c:marker>
          <c:xVal>
            <c:numRef>
              <c:f>Calculations!$I$24:$I$45</c:f>
              <c:numCache>
                <c:formatCode>General</c:formatCode>
                <c:ptCount val="22"/>
                <c:pt idx="0">
                  <c:v>1.5125599999999997</c:v>
                </c:pt>
                <c:pt idx="1">
                  <c:v>1.5125599999999997</c:v>
                </c:pt>
                <c:pt idx="2">
                  <c:v>1.5125599999999997</c:v>
                </c:pt>
                <c:pt idx="3">
                  <c:v>1.5125599999999997</c:v>
                </c:pt>
                <c:pt idx="4">
                  <c:v>1.5125599999999997</c:v>
                </c:pt>
                <c:pt idx="5">
                  <c:v>1.5125599999999997</c:v>
                </c:pt>
                <c:pt idx="6">
                  <c:v>1.5125599999999997</c:v>
                </c:pt>
                <c:pt idx="7">
                  <c:v>1.5125599999999997</c:v>
                </c:pt>
                <c:pt idx="8">
                  <c:v>1.5125599999999997</c:v>
                </c:pt>
                <c:pt idx="9">
                  <c:v>1.5125599999999997</c:v>
                </c:pt>
                <c:pt idx="10">
                  <c:v>1.5125599999999997</c:v>
                </c:pt>
                <c:pt idx="11">
                  <c:v>1.5125599999999997</c:v>
                </c:pt>
                <c:pt idx="12">
                  <c:v>1.5125599999999997</c:v>
                </c:pt>
                <c:pt idx="13">
                  <c:v>1.5125599999999997</c:v>
                </c:pt>
                <c:pt idx="14">
                  <c:v>1.5125599999999997</c:v>
                </c:pt>
                <c:pt idx="15">
                  <c:v>1.5125599999999997</c:v>
                </c:pt>
                <c:pt idx="16">
                  <c:v>1.5125599999999997</c:v>
                </c:pt>
                <c:pt idx="17">
                  <c:v>1.5125599999999997</c:v>
                </c:pt>
                <c:pt idx="18">
                  <c:v>1.5125599999999997</c:v>
                </c:pt>
                <c:pt idx="19">
                  <c:v>1.5125599999999997</c:v>
                </c:pt>
                <c:pt idx="20">
                  <c:v>1.5125599999999997</c:v>
                </c:pt>
                <c:pt idx="21">
                  <c:v>1.5125599999999997</c:v>
                </c:pt>
              </c:numCache>
            </c:numRef>
          </c:xVal>
          <c:yVal>
            <c:numRef>
              <c:f>Calculations!$H$24:$H$45</c:f>
              <c:numCache>
                <c:formatCode>General</c:formatCod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numCache>
            </c:numRef>
          </c:yVal>
          <c:smooth val="0"/>
          <c:extLst>
            <c:ext xmlns:c16="http://schemas.microsoft.com/office/drawing/2014/chart" uri="{C3380CC4-5D6E-409C-BE32-E72D297353CC}">
              <c16:uniqueId val="{00000002-05DC-4E83-9A18-956EFA2A57A0}"/>
            </c:ext>
          </c:extLst>
        </c:ser>
        <c:dLbls>
          <c:showLegendKey val="0"/>
          <c:showVal val="0"/>
          <c:showCatName val="0"/>
          <c:showSerName val="0"/>
          <c:showPercent val="0"/>
          <c:showBubbleSize val="0"/>
        </c:dLbls>
        <c:axId val="934036184"/>
        <c:axId val="934035824"/>
      </c:scatterChart>
      <c:valAx>
        <c:axId val="934036184"/>
        <c:scaling>
          <c:orientation val="minMax"/>
          <c:min val="1.85"/>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CVS</a:t>
                </a:r>
                <a:r>
                  <a:rPr lang="en-US" baseline="0">
                    <a:solidFill>
                      <a:schemeClr val="tx1"/>
                    </a:solidFill>
                  </a:rPr>
                  <a:t> concentration (ppbC)</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4035824"/>
        <c:crosses val="autoZero"/>
        <c:crossBetween val="midCat"/>
      </c:valAx>
      <c:valAx>
        <c:axId val="934035824"/>
        <c:scaling>
          <c:orientation val="minMax"/>
          <c:max val="9"/>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4036184"/>
        <c:crosses val="autoZero"/>
        <c:crossBetween val="midCat"/>
      </c:valAx>
      <c:spPr>
        <a:noFill/>
        <a:ln>
          <a:solidFill>
            <a:schemeClr val="tx1"/>
          </a:solidFill>
        </a:ln>
        <a:effectLst/>
      </c:spPr>
    </c:plotArea>
    <c:legend>
      <c:legendPos val="b"/>
      <c:layout>
        <c:manualLayout>
          <c:xMode val="edge"/>
          <c:yMode val="edge"/>
          <c:x val="0.23582239720034995"/>
          <c:y val="0.89409667541557303"/>
          <c:w val="0.5198840769903762"/>
          <c:h val="7.8125546806649182E-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7</xdr:col>
      <xdr:colOff>400050</xdr:colOff>
      <xdr:row>2</xdr:row>
      <xdr:rowOff>16528</xdr:rowOff>
    </xdr:to>
    <xdr:pic>
      <xdr:nvPicPr>
        <xdr:cNvPr id="3" name="Picture 2">
          <a:extLst>
            <a:ext uri="{FF2B5EF4-FFF2-40B4-BE49-F238E27FC236}">
              <a16:creationId xmlns:a16="http://schemas.microsoft.com/office/drawing/2014/main" id="{9D3E6D14-2BED-4ABE-A7A8-0D33B9F91167}"/>
            </a:ext>
          </a:extLst>
        </xdr:cNvPr>
        <xdr:cNvPicPr>
          <a:picLocks noChangeAspect="1"/>
        </xdr:cNvPicPr>
      </xdr:nvPicPr>
      <xdr:blipFill>
        <a:blip xmlns:r="http://schemas.openxmlformats.org/officeDocument/2006/relationships" r:embed="rId1"/>
        <a:stretch>
          <a:fillRect/>
        </a:stretch>
      </xdr:blipFill>
      <xdr:spPr>
        <a:xfrm>
          <a:off x="1600200" y="0"/>
          <a:ext cx="8201025" cy="10261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411480</xdr:colOff>
      <xdr:row>22</xdr:row>
      <xdr:rowOff>133350</xdr:rowOff>
    </xdr:from>
    <xdr:to>
      <xdr:col>18</xdr:col>
      <xdr:colOff>306705</xdr:colOff>
      <xdr:row>37</xdr:row>
      <xdr:rowOff>40005</xdr:rowOff>
    </xdr:to>
    <xdr:graphicFrame macro="">
      <xdr:nvGraphicFramePr>
        <xdr:cNvPr id="2" name="Chart 1">
          <a:extLst>
            <a:ext uri="{FF2B5EF4-FFF2-40B4-BE49-F238E27FC236}">
              <a16:creationId xmlns:a16="http://schemas.microsoft.com/office/drawing/2014/main" id="{CDF102F4-6C44-4420-94C8-C77714909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46A8-D952-4A77-B6B6-3CA2377B0D6E}">
  <sheetPr>
    <tabColor rgb="FFCCFFCC"/>
  </sheetPr>
  <dimension ref="A1:XFD156"/>
  <sheetViews>
    <sheetView tabSelected="1" view="pageBreakPreview" topLeftCell="A28" zoomScaleNormal="100" zoomScaleSheetLayoutView="100" workbookViewId="0">
      <selection activeCell="I39" sqref="I39:J39"/>
    </sheetView>
  </sheetViews>
  <sheetFormatPr defaultRowHeight="14.4" x14ac:dyDescent="0.3"/>
  <cols>
    <col min="1" max="1" width="13.44140625" style="37" customWidth="1"/>
    <col min="2" max="2" width="26.5546875" customWidth="1"/>
    <col min="3" max="3" width="39.109375" customWidth="1"/>
    <col min="4" max="4" width="15.88671875" customWidth="1"/>
    <col min="5" max="5" width="13.88671875" customWidth="1"/>
    <col min="6" max="6" width="8" bestFit="1" customWidth="1"/>
    <col min="7" max="7" width="14.109375" bestFit="1" customWidth="1"/>
    <col min="8" max="8" width="8" bestFit="1" customWidth="1"/>
    <col min="9" max="9" width="14.109375" bestFit="1" customWidth="1"/>
    <col min="10" max="10" width="7" bestFit="1" customWidth="1"/>
    <col min="11" max="11" width="15.5546875" customWidth="1"/>
    <col min="12" max="12" width="11.88671875" customWidth="1"/>
  </cols>
  <sheetData>
    <row r="1" spans="1:13" ht="58.5" customHeight="1" x14ac:dyDescent="0.4">
      <c r="A1" s="89"/>
      <c r="B1" s="89"/>
      <c r="C1" s="89"/>
      <c r="D1" s="89"/>
      <c r="E1" s="89"/>
      <c r="F1" s="89"/>
      <c r="G1" s="89"/>
      <c r="H1" s="90"/>
      <c r="I1" s="90"/>
      <c r="J1" s="90"/>
      <c r="K1" s="90"/>
      <c r="L1" s="90"/>
      <c r="M1" s="90"/>
    </row>
    <row r="2" spans="1:13" ht="21" x14ac:dyDescent="0.4">
      <c r="A2" s="89"/>
      <c r="B2" s="89"/>
      <c r="C2" s="89"/>
      <c r="D2" s="89"/>
      <c r="E2" s="89"/>
      <c r="F2" s="89"/>
      <c r="G2" s="89"/>
      <c r="H2" s="90"/>
      <c r="I2" s="90"/>
      <c r="J2" s="90"/>
      <c r="K2" s="90"/>
      <c r="L2" s="90"/>
      <c r="M2" s="90"/>
    </row>
    <row r="4" spans="1:13" x14ac:dyDescent="0.3">
      <c r="A4" s="5" t="s">
        <v>0</v>
      </c>
      <c r="B4" s="45" t="s">
        <v>257</v>
      </c>
    </row>
    <row r="5" spans="1:13" x14ac:dyDescent="0.3">
      <c r="A5" s="5" t="s">
        <v>1</v>
      </c>
      <c r="B5" s="46" t="s">
        <v>255</v>
      </c>
    </row>
    <row r="6" spans="1:13" x14ac:dyDescent="0.3">
      <c r="A6" s="5" t="s">
        <v>2</v>
      </c>
      <c r="B6" s="47" t="s">
        <v>254</v>
      </c>
    </row>
    <row r="8" spans="1:13" x14ac:dyDescent="0.3">
      <c r="A8" s="260" t="s">
        <v>49</v>
      </c>
      <c r="B8" s="260"/>
      <c r="C8" s="260"/>
      <c r="D8" s="260"/>
      <c r="E8" s="251" t="s">
        <v>47</v>
      </c>
      <c r="F8" s="252"/>
      <c r="G8" s="252"/>
      <c r="H8" s="252"/>
      <c r="I8" s="252"/>
      <c r="J8" s="252"/>
      <c r="K8" s="252"/>
      <c r="L8" s="252"/>
      <c r="M8" s="253"/>
    </row>
    <row r="9" spans="1:13" ht="33.75" customHeight="1" x14ac:dyDescent="0.3">
      <c r="A9" s="3"/>
      <c r="B9" s="248" t="s">
        <v>115</v>
      </c>
      <c r="C9" s="248"/>
      <c r="D9" s="248"/>
      <c r="E9" s="248"/>
      <c r="F9" s="248"/>
      <c r="G9" s="248"/>
      <c r="H9" s="248"/>
      <c r="I9" s="248"/>
      <c r="J9" s="248"/>
      <c r="K9" s="248"/>
      <c r="L9" s="248"/>
      <c r="M9" s="248"/>
    </row>
    <row r="10" spans="1:13" ht="33.75" customHeight="1" x14ac:dyDescent="0.3">
      <c r="A10" s="3"/>
      <c r="B10" s="248" t="s">
        <v>116</v>
      </c>
      <c r="C10" s="248"/>
      <c r="D10" s="248"/>
      <c r="E10" s="248"/>
      <c r="F10" s="248"/>
      <c r="G10" s="248"/>
      <c r="H10" s="248"/>
      <c r="I10" s="248"/>
      <c r="J10" s="248"/>
      <c r="K10" s="248"/>
      <c r="L10" s="248"/>
      <c r="M10" s="248"/>
    </row>
    <row r="11" spans="1:13" ht="33.75" customHeight="1" x14ac:dyDescent="0.3">
      <c r="A11" s="3"/>
      <c r="B11" s="248" t="s">
        <v>117</v>
      </c>
      <c r="C11" s="248"/>
      <c r="D11" s="248"/>
      <c r="E11" s="248"/>
      <c r="F11" s="248"/>
      <c r="G11" s="248"/>
      <c r="H11" s="248"/>
      <c r="I11" s="248"/>
      <c r="J11" s="248"/>
      <c r="K11" s="248"/>
      <c r="L11" s="248"/>
      <c r="M11" s="248"/>
    </row>
    <row r="12" spans="1:13" ht="30.75" customHeight="1" x14ac:dyDescent="0.3">
      <c r="A12" s="3"/>
      <c r="B12" s="248" t="s">
        <v>118</v>
      </c>
      <c r="C12" s="248"/>
      <c r="D12" s="248"/>
      <c r="E12" s="248"/>
      <c r="F12" s="248"/>
      <c r="G12" s="248"/>
      <c r="H12" s="248"/>
      <c r="I12" s="248"/>
      <c r="J12" s="248"/>
      <c r="K12" s="248"/>
      <c r="L12" s="248"/>
      <c r="M12" s="248"/>
    </row>
    <row r="13" spans="1:13" x14ac:dyDescent="0.3">
      <c r="A13" s="3"/>
      <c r="B13" s="268" t="s">
        <v>256</v>
      </c>
      <c r="C13" s="268"/>
      <c r="D13" s="268"/>
      <c r="E13" s="248"/>
      <c r="F13" s="248"/>
      <c r="G13" s="248"/>
      <c r="H13" s="248"/>
      <c r="I13" s="248"/>
      <c r="J13" s="248"/>
      <c r="K13" s="248"/>
      <c r="L13" s="248"/>
      <c r="M13" s="248"/>
    </row>
    <row r="14" spans="1:13" x14ac:dyDescent="0.3">
      <c r="A14" s="3"/>
      <c r="B14" s="248" t="s">
        <v>120</v>
      </c>
      <c r="C14" s="248"/>
      <c r="D14" s="248"/>
      <c r="E14" s="248"/>
      <c r="F14" s="248"/>
      <c r="G14" s="248"/>
      <c r="H14" s="248"/>
      <c r="I14" s="248"/>
      <c r="J14" s="248"/>
      <c r="K14" s="248"/>
      <c r="L14" s="248"/>
      <c r="M14" s="248"/>
    </row>
    <row r="15" spans="1:13" x14ac:dyDescent="0.3">
      <c r="A15" s="3"/>
      <c r="B15" s="248" t="s">
        <v>146</v>
      </c>
      <c r="C15" s="248"/>
      <c r="D15" s="248"/>
      <c r="E15" s="248"/>
      <c r="F15" s="248"/>
      <c r="G15" s="248"/>
      <c r="H15" s="248"/>
      <c r="I15" s="248"/>
      <c r="J15" s="248"/>
      <c r="K15" s="248"/>
      <c r="L15" s="248"/>
      <c r="M15" s="248"/>
    </row>
    <row r="16" spans="1:13" x14ac:dyDescent="0.3">
      <c r="A16" s="79"/>
      <c r="B16" s="246"/>
      <c r="C16" s="254"/>
      <c r="D16" s="247"/>
      <c r="E16" s="248"/>
      <c r="F16" s="248"/>
      <c r="G16" s="248"/>
      <c r="H16" s="248"/>
      <c r="I16" s="248"/>
      <c r="J16" s="248"/>
      <c r="K16" s="248"/>
      <c r="L16" s="248"/>
      <c r="M16" s="248"/>
    </row>
    <row r="17" spans="1:13" x14ac:dyDescent="0.3">
      <c r="A17" s="261" t="s">
        <v>51</v>
      </c>
      <c r="B17" s="261"/>
      <c r="C17" s="261"/>
      <c r="D17" s="261"/>
      <c r="E17" s="251"/>
      <c r="F17" s="252"/>
      <c r="G17" s="252"/>
      <c r="H17" s="252"/>
      <c r="I17" s="252"/>
      <c r="J17" s="252"/>
      <c r="K17" s="252"/>
      <c r="L17" s="252"/>
      <c r="M17" s="253"/>
    </row>
    <row r="18" spans="1:13" ht="90.75" customHeight="1" x14ac:dyDescent="0.3">
      <c r="A18" s="3"/>
      <c r="B18" s="248" t="s">
        <v>119</v>
      </c>
      <c r="C18" s="248"/>
      <c r="D18" s="248"/>
      <c r="E18" s="248"/>
      <c r="F18" s="248"/>
      <c r="G18" s="248"/>
      <c r="H18" s="248"/>
      <c r="I18" s="248"/>
      <c r="J18" s="248"/>
      <c r="K18" s="248"/>
      <c r="L18" s="248"/>
      <c r="M18" s="248"/>
    </row>
    <row r="19" spans="1:13" ht="15" customHeight="1" x14ac:dyDescent="0.3">
      <c r="A19" s="3"/>
      <c r="B19" s="262" t="s">
        <v>95</v>
      </c>
      <c r="C19" s="262"/>
      <c r="D19" s="262"/>
      <c r="E19" s="248"/>
      <c r="F19" s="248"/>
      <c r="G19" s="248"/>
      <c r="H19" s="248"/>
      <c r="I19" s="248"/>
      <c r="J19" s="248"/>
      <c r="K19" s="248"/>
      <c r="L19" s="248"/>
      <c r="M19" s="248"/>
    </row>
    <row r="20" spans="1:13" ht="15" customHeight="1" x14ac:dyDescent="0.3">
      <c r="A20" s="3"/>
      <c r="B20" s="248" t="s">
        <v>130</v>
      </c>
      <c r="C20" s="248"/>
      <c r="D20" s="248"/>
      <c r="E20" s="248"/>
      <c r="F20" s="248"/>
      <c r="G20" s="248"/>
      <c r="H20" s="248"/>
      <c r="I20" s="248"/>
      <c r="J20" s="248"/>
      <c r="K20" s="248"/>
      <c r="L20" s="248"/>
      <c r="M20" s="248"/>
    </row>
    <row r="21" spans="1:13" ht="15" customHeight="1" x14ac:dyDescent="0.3">
      <c r="A21" s="3"/>
      <c r="B21" s="263" t="s">
        <v>131</v>
      </c>
      <c r="C21" s="263"/>
      <c r="D21" s="263"/>
      <c r="E21" s="248"/>
      <c r="F21" s="248"/>
      <c r="G21" s="248"/>
      <c r="H21" s="248"/>
      <c r="I21" s="248"/>
      <c r="J21" s="248"/>
      <c r="K21" s="248"/>
      <c r="L21" s="248"/>
      <c r="M21" s="248"/>
    </row>
    <row r="22" spans="1:13" x14ac:dyDescent="0.3">
      <c r="A22" s="3"/>
      <c r="B22" s="248" t="s">
        <v>132</v>
      </c>
      <c r="C22" s="248"/>
      <c r="D22" s="248"/>
      <c r="E22" s="248"/>
      <c r="F22" s="248"/>
      <c r="G22" s="248"/>
      <c r="H22" s="248"/>
      <c r="I22" s="248"/>
      <c r="J22" s="248"/>
      <c r="K22" s="248"/>
      <c r="L22" s="248"/>
      <c r="M22" s="248"/>
    </row>
    <row r="23" spans="1:13" ht="15" customHeight="1" x14ac:dyDescent="0.3">
      <c r="A23" s="3"/>
      <c r="B23" s="248" t="s">
        <v>133</v>
      </c>
      <c r="C23" s="248"/>
      <c r="D23" s="248"/>
      <c r="E23" s="248"/>
      <c r="F23" s="248"/>
      <c r="G23" s="248"/>
      <c r="H23" s="248"/>
      <c r="I23" s="248"/>
      <c r="J23" s="248"/>
      <c r="K23" s="248"/>
      <c r="L23" s="248"/>
      <c r="M23" s="248"/>
    </row>
    <row r="24" spans="1:13" x14ac:dyDescent="0.3">
      <c r="A24" s="79"/>
      <c r="B24" s="258"/>
      <c r="C24" s="259"/>
      <c r="D24" s="269"/>
      <c r="E24" s="248"/>
      <c r="F24" s="248"/>
      <c r="G24" s="248"/>
      <c r="H24" s="248"/>
      <c r="I24" s="248"/>
      <c r="J24" s="248"/>
      <c r="K24" s="248"/>
      <c r="L24" s="248"/>
      <c r="M24" s="248"/>
    </row>
    <row r="25" spans="1:13" x14ac:dyDescent="0.3">
      <c r="A25" s="261" t="s">
        <v>50</v>
      </c>
      <c r="B25" s="261"/>
      <c r="C25" s="261"/>
      <c r="D25" s="261"/>
      <c r="E25" s="251"/>
      <c r="F25" s="252"/>
      <c r="G25" s="252"/>
      <c r="H25" s="252"/>
      <c r="I25" s="252"/>
      <c r="J25" s="252"/>
      <c r="K25" s="252"/>
      <c r="L25" s="252"/>
      <c r="M25" s="253"/>
    </row>
    <row r="26" spans="1:13" x14ac:dyDescent="0.3">
      <c r="A26" s="3"/>
      <c r="B26" s="248" t="s">
        <v>52</v>
      </c>
      <c r="C26" s="248"/>
      <c r="D26" s="248"/>
      <c r="E26" s="248"/>
      <c r="F26" s="248"/>
      <c r="G26" s="248"/>
      <c r="H26" s="248"/>
      <c r="I26" s="248"/>
      <c r="J26" s="248"/>
      <c r="K26" s="248"/>
      <c r="L26" s="248"/>
      <c r="M26" s="248"/>
    </row>
    <row r="27" spans="1:13" x14ac:dyDescent="0.3">
      <c r="A27" s="3"/>
      <c r="B27" s="248" t="s">
        <v>53</v>
      </c>
      <c r="C27" s="248"/>
      <c r="D27" s="248"/>
      <c r="E27" s="248"/>
      <c r="F27" s="248"/>
      <c r="G27" s="248"/>
      <c r="H27" s="248"/>
      <c r="I27" s="248"/>
      <c r="J27" s="248"/>
      <c r="K27" s="248"/>
      <c r="L27" s="248"/>
      <c r="M27" s="248"/>
    </row>
    <row r="28" spans="1:13" x14ac:dyDescent="0.3">
      <c r="A28" s="3"/>
      <c r="B28" s="248" t="s">
        <v>84</v>
      </c>
      <c r="C28" s="248"/>
      <c r="D28" s="248"/>
      <c r="E28" s="248"/>
      <c r="F28" s="248"/>
      <c r="G28" s="248"/>
      <c r="H28" s="248"/>
      <c r="I28" s="248"/>
      <c r="J28" s="248"/>
      <c r="K28" s="248"/>
      <c r="L28" s="248"/>
      <c r="M28" s="248"/>
    </row>
    <row r="29" spans="1:13" x14ac:dyDescent="0.3">
      <c r="A29" s="3"/>
      <c r="B29" s="248" t="s">
        <v>54</v>
      </c>
      <c r="C29" s="248"/>
      <c r="D29" s="248"/>
      <c r="E29" s="248"/>
      <c r="F29" s="248"/>
      <c r="G29" s="248"/>
      <c r="H29" s="248"/>
      <c r="I29" s="248"/>
      <c r="J29" s="248"/>
      <c r="K29" s="248"/>
      <c r="L29" s="248"/>
      <c r="M29" s="248"/>
    </row>
    <row r="30" spans="1:13" x14ac:dyDescent="0.3">
      <c r="A30" s="3"/>
      <c r="B30" s="248" t="s">
        <v>55</v>
      </c>
      <c r="C30" s="248"/>
      <c r="D30" s="248"/>
      <c r="E30" s="248"/>
      <c r="F30" s="248"/>
      <c r="G30" s="248"/>
      <c r="H30" s="248"/>
      <c r="I30" s="248"/>
      <c r="J30" s="248"/>
      <c r="K30" s="248"/>
      <c r="L30" s="248"/>
      <c r="M30" s="248"/>
    </row>
    <row r="31" spans="1:13" ht="44.25" customHeight="1" x14ac:dyDescent="0.3">
      <c r="A31" s="3"/>
      <c r="B31" s="255" t="s">
        <v>142</v>
      </c>
      <c r="C31" s="256"/>
      <c r="D31" s="257"/>
      <c r="E31" s="248"/>
      <c r="F31" s="248"/>
      <c r="G31" s="248"/>
      <c r="H31" s="248"/>
      <c r="I31" s="248"/>
      <c r="J31" s="248"/>
      <c r="K31" s="248"/>
      <c r="L31" s="248"/>
      <c r="M31" s="248"/>
    </row>
    <row r="32" spans="1:13" x14ac:dyDescent="0.3">
      <c r="A32" s="1"/>
      <c r="B32" s="246"/>
      <c r="C32" s="254"/>
      <c r="D32" s="247"/>
      <c r="E32" s="258"/>
      <c r="F32" s="259"/>
      <c r="G32" s="259"/>
      <c r="H32" s="259"/>
      <c r="I32" s="259"/>
      <c r="J32" s="259"/>
      <c r="K32" s="259"/>
      <c r="L32" s="259"/>
      <c r="M32" s="259"/>
    </row>
    <row r="33" spans="1:13" x14ac:dyDescent="0.3">
      <c r="A33" s="265" t="s">
        <v>56</v>
      </c>
      <c r="B33" s="266"/>
      <c r="C33" s="266"/>
      <c r="D33" s="267"/>
      <c r="E33" s="104" t="s">
        <v>258</v>
      </c>
      <c r="F33" s="105" t="s">
        <v>259</v>
      </c>
      <c r="G33" s="104" t="s">
        <v>260</v>
      </c>
      <c r="H33" s="105" t="s">
        <v>261</v>
      </c>
      <c r="I33" s="104" t="s">
        <v>262</v>
      </c>
      <c r="J33" s="108" t="s">
        <v>259</v>
      </c>
      <c r="K33" s="275" t="s">
        <v>66</v>
      </c>
      <c r="L33" s="7" t="str">
        <f>IF(G38="","",E38&amp;" + "&amp;G38)</f>
        <v/>
      </c>
      <c r="M33" s="276" t="str">
        <f>IF(G38="","",(ABS((E38-G38))/G38))</f>
        <v/>
      </c>
    </row>
    <row r="34" spans="1:13" ht="15.75" customHeight="1" x14ac:dyDescent="0.3">
      <c r="A34" s="3"/>
      <c r="B34" s="248" t="s">
        <v>71</v>
      </c>
      <c r="C34" s="248"/>
      <c r="D34" s="248"/>
      <c r="E34" s="99"/>
      <c r="F34" s="100"/>
      <c r="G34" s="103"/>
      <c r="H34" s="100"/>
      <c r="I34" s="99"/>
      <c r="J34" s="106"/>
      <c r="K34" s="264"/>
      <c r="L34" t="str">
        <f>IF(G38="","",G38)</f>
        <v/>
      </c>
      <c r="M34" s="270"/>
    </row>
    <row r="35" spans="1:13" ht="15.75" customHeight="1" x14ac:dyDescent="0.3">
      <c r="A35" s="3"/>
      <c r="B35" s="248" t="s">
        <v>58</v>
      </c>
      <c r="C35" s="248"/>
      <c r="D35" s="248"/>
      <c r="E35" s="101"/>
      <c r="F35" s="102"/>
      <c r="G35" s="101"/>
      <c r="H35" s="102"/>
      <c r="I35" s="101"/>
      <c r="J35" s="107"/>
      <c r="K35" s="264" t="s">
        <v>68</v>
      </c>
      <c r="L35" t="str">
        <f>IF(H38="","",F38&amp;" + "&amp;H38)</f>
        <v/>
      </c>
      <c r="M35" s="270" t="str">
        <f>IF(H38="","",(ABS((F38-H38)/H38)))</f>
        <v/>
      </c>
    </row>
    <row r="36" spans="1:13" s="6" customFormat="1" ht="15.75" customHeight="1" x14ac:dyDescent="0.3">
      <c r="A36" s="3"/>
      <c r="B36" s="248" t="s">
        <v>108</v>
      </c>
      <c r="C36" s="248"/>
      <c r="D36" s="248"/>
      <c r="E36" s="239" t="s">
        <v>263</v>
      </c>
      <c r="F36" s="240"/>
      <c r="G36" s="239" t="s">
        <v>264</v>
      </c>
      <c r="H36" s="240"/>
      <c r="I36" s="241" t="s">
        <v>265</v>
      </c>
      <c r="J36" s="242"/>
      <c r="K36" s="271"/>
      <c r="L36" s="91" t="str">
        <f>IF(H38="","",H38)</f>
        <v/>
      </c>
      <c r="M36" s="272"/>
    </row>
    <row r="37" spans="1:13" s="6" customFormat="1" ht="15.75" customHeight="1" x14ac:dyDescent="0.3">
      <c r="A37" s="3"/>
      <c r="B37" s="248" t="s">
        <v>109</v>
      </c>
      <c r="C37" s="248"/>
      <c r="D37" s="248"/>
      <c r="E37" s="1" t="s">
        <v>266</v>
      </c>
      <c r="F37" s="1" t="s">
        <v>267</v>
      </c>
      <c r="G37" s="1" t="s">
        <v>266</v>
      </c>
      <c r="H37" s="238" t="s">
        <v>267</v>
      </c>
      <c r="I37" s="241" t="s">
        <v>265</v>
      </c>
      <c r="J37" s="242"/>
      <c r="K37" s="264" t="s">
        <v>69</v>
      </c>
      <c r="L37" t="str">
        <f>IF(G39="","",E39&amp;" + "&amp;G39)</f>
        <v/>
      </c>
      <c r="M37" s="270" t="str">
        <f>IF(G39="","",(ABS((E39-G39))/G39))</f>
        <v/>
      </c>
    </row>
    <row r="38" spans="1:13" s="6" customFormat="1" ht="15.75" customHeight="1" x14ac:dyDescent="0.3">
      <c r="A38" s="3"/>
      <c r="B38" s="248" t="s">
        <v>110</v>
      </c>
      <c r="C38" s="248"/>
      <c r="D38" s="248"/>
      <c r="E38" s="115"/>
      <c r="F38" s="116"/>
      <c r="G38" s="115"/>
      <c r="H38" s="116"/>
      <c r="I38" s="243"/>
      <c r="J38" s="244"/>
      <c r="K38" s="264"/>
      <c r="L38" t="str">
        <f>IF(G39="","",G39)</f>
        <v/>
      </c>
      <c r="M38" s="270"/>
    </row>
    <row r="39" spans="1:13" s="6" customFormat="1" ht="15.75" customHeight="1" x14ac:dyDescent="0.3">
      <c r="A39" s="3"/>
      <c r="B39" s="248" t="s">
        <v>80</v>
      </c>
      <c r="C39" s="248"/>
      <c r="D39" s="248"/>
      <c r="E39" s="8"/>
      <c r="F39" s="8"/>
      <c r="G39" s="8"/>
      <c r="H39" s="9"/>
      <c r="I39" s="245"/>
      <c r="J39" s="244"/>
      <c r="K39" s="264" t="s">
        <v>67</v>
      </c>
      <c r="L39" t="str">
        <f>IF(H39="","",F39&amp;" + "&amp;H39)</f>
        <v/>
      </c>
      <c r="M39" s="270" t="str">
        <f>IF(H39="","",(ABS((F39-H39)/H39)))</f>
        <v/>
      </c>
    </row>
    <row r="40" spans="1:13" s="6" customFormat="1" ht="15.75" customHeight="1" x14ac:dyDescent="0.3">
      <c r="A40" s="3"/>
      <c r="B40" s="248" t="s">
        <v>222</v>
      </c>
      <c r="C40" s="248"/>
      <c r="D40" s="248"/>
      <c r="E40" s="273" t="s">
        <v>81</v>
      </c>
      <c r="F40" s="274"/>
      <c r="G40" s="4"/>
      <c r="H40" s="2"/>
      <c r="I40" s="246"/>
      <c r="J40" s="247"/>
      <c r="K40" s="271"/>
      <c r="L40" s="91" t="str">
        <f>IF(H39="","",H39)</f>
        <v/>
      </c>
      <c r="M40" s="272"/>
    </row>
    <row r="41" spans="1:13" s="6" customFormat="1" ht="30.75" customHeight="1" x14ac:dyDescent="0.3">
      <c r="A41" s="3"/>
      <c r="B41" s="248" t="s">
        <v>223</v>
      </c>
      <c r="C41" s="248"/>
      <c r="D41" s="248"/>
      <c r="E41" s="281"/>
      <c r="F41" s="282"/>
      <c r="G41" s="282"/>
      <c r="H41" s="282"/>
      <c r="I41" s="282"/>
      <c r="J41" s="282"/>
      <c r="K41" s="282"/>
      <c r="L41" s="282"/>
      <c r="M41" s="282"/>
    </row>
    <row r="42" spans="1:13" s="6" customFormat="1" ht="14.25" customHeight="1" x14ac:dyDescent="0.3">
      <c r="A42" s="66"/>
      <c r="B42" s="78"/>
      <c r="C42" s="78"/>
    </row>
    <row r="43" spans="1:13" s="6" customFormat="1" ht="15" customHeight="1" x14ac:dyDescent="0.3">
      <c r="D43" s="55"/>
      <c r="E43"/>
      <c r="F43"/>
    </row>
    <row r="44" spans="1:13" s="6" customFormat="1" ht="15" customHeight="1" x14ac:dyDescent="0.4">
      <c r="A44" s="69" t="s">
        <v>48</v>
      </c>
      <c r="B44" s="69"/>
      <c r="C44" s="69"/>
      <c r="D44" s="55"/>
      <c r="E44"/>
      <c r="F44"/>
    </row>
    <row r="45" spans="1:13" s="6" customFormat="1" ht="15" customHeight="1" x14ac:dyDescent="0.3">
      <c r="A45" s="37"/>
      <c r="B45"/>
      <c r="C45"/>
      <c r="D45" s="55"/>
      <c r="E45"/>
      <c r="F45"/>
    </row>
    <row r="46" spans="1:13" s="6" customFormat="1" ht="15" customHeight="1" x14ac:dyDescent="0.3">
      <c r="A46" s="5" t="s">
        <v>0</v>
      </c>
      <c r="B46" s="45" t="str">
        <f>B4</f>
        <v>EQ - Utah Technical Center</v>
      </c>
      <c r="C46" s="10"/>
      <c r="D46"/>
      <c r="E46"/>
      <c r="F46"/>
    </row>
    <row r="47" spans="1:13" s="6" customFormat="1" ht="15" customHeight="1" x14ac:dyDescent="0.3">
      <c r="A47" s="5" t="s">
        <v>1</v>
      </c>
      <c r="B47" s="46" t="str">
        <f t="shared" ref="B47:B48" si="0">B5</f>
        <v>Month 2025</v>
      </c>
      <c r="C47" s="10"/>
      <c r="D47"/>
      <c r="E47"/>
      <c r="F47"/>
    </row>
    <row r="48" spans="1:13" s="6" customFormat="1" ht="15" customHeight="1" x14ac:dyDescent="0.3">
      <c r="A48" s="5" t="s">
        <v>2</v>
      </c>
      <c r="B48" s="47" t="str">
        <f t="shared" si="0"/>
        <v>Aengstrom</v>
      </c>
      <c r="C48" s="10"/>
      <c r="D48"/>
      <c r="E48"/>
      <c r="F48"/>
    </row>
    <row r="49" spans="1:13" s="6" customFormat="1" ht="15" customHeight="1" x14ac:dyDescent="0.3">
      <c r="A49" s="70"/>
      <c r="B49"/>
      <c r="C49"/>
      <c r="D49"/>
      <c r="E49"/>
      <c r="F49"/>
    </row>
    <row r="50" spans="1:13" s="6" customFormat="1" ht="15" customHeight="1" x14ac:dyDescent="0.3">
      <c r="A50" s="261" t="s">
        <v>57</v>
      </c>
      <c r="B50" s="261"/>
      <c r="C50" s="261"/>
      <c r="D50" s="261"/>
      <c r="E50" s="251" t="s">
        <v>47</v>
      </c>
      <c r="F50" s="252"/>
      <c r="G50" s="252"/>
      <c r="H50" s="252"/>
      <c r="I50" s="252"/>
      <c r="J50" s="252"/>
      <c r="K50" s="252"/>
      <c r="L50" s="252"/>
      <c r="M50" s="253"/>
    </row>
    <row r="51" spans="1:13" s="6" customFormat="1" ht="15" customHeight="1" x14ac:dyDescent="0.3">
      <c r="A51" s="3"/>
      <c r="B51" s="248" t="s">
        <v>121</v>
      </c>
      <c r="C51" s="248"/>
      <c r="D51" s="248"/>
      <c r="E51" s="248"/>
      <c r="F51" s="248"/>
      <c r="G51" s="248"/>
      <c r="H51" s="248"/>
      <c r="I51" s="248"/>
      <c r="J51" s="248"/>
      <c r="K51" s="248"/>
      <c r="L51" s="248"/>
      <c r="M51" s="248"/>
    </row>
    <row r="52" spans="1:13" s="6" customFormat="1" ht="15" customHeight="1" x14ac:dyDescent="0.3">
      <c r="A52" s="3"/>
      <c r="B52" s="248" t="s">
        <v>76</v>
      </c>
      <c r="C52" s="248"/>
      <c r="D52" s="248"/>
      <c r="E52" s="248"/>
      <c r="F52" s="248"/>
      <c r="G52" s="248"/>
      <c r="H52" s="248"/>
      <c r="I52" s="248"/>
      <c r="J52" s="248"/>
      <c r="K52" s="248"/>
      <c r="L52" s="248"/>
      <c r="M52" s="248"/>
    </row>
    <row r="53" spans="1:13" s="6" customFormat="1" ht="15" customHeight="1" x14ac:dyDescent="0.3">
      <c r="A53" s="3"/>
      <c r="B53" s="248" t="s">
        <v>129</v>
      </c>
      <c r="C53" s="248"/>
      <c r="D53" s="248"/>
      <c r="E53" s="248"/>
      <c r="F53" s="248"/>
      <c r="G53" s="248"/>
      <c r="H53" s="248"/>
      <c r="I53" s="248"/>
      <c r="J53" s="248"/>
      <c r="K53" s="248"/>
      <c r="L53" s="248"/>
      <c r="M53" s="248"/>
    </row>
    <row r="54" spans="1:13" s="6" customFormat="1" ht="15" customHeight="1" x14ac:dyDescent="0.3">
      <c r="A54" s="3"/>
      <c r="B54" s="248" t="s">
        <v>128</v>
      </c>
      <c r="C54" s="248"/>
      <c r="D54" s="248"/>
      <c r="E54" s="248"/>
      <c r="F54" s="248"/>
      <c r="G54" s="248"/>
      <c r="H54" s="248"/>
      <c r="I54" s="248"/>
      <c r="J54" s="248"/>
      <c r="K54" s="248"/>
      <c r="L54" s="248"/>
      <c r="M54" s="248"/>
    </row>
    <row r="55" spans="1:13" s="6" customFormat="1" ht="15" customHeight="1" x14ac:dyDescent="0.3">
      <c r="A55" s="3"/>
      <c r="B55" s="248"/>
      <c r="C55" s="248"/>
      <c r="D55" s="248"/>
      <c r="E55" s="248"/>
      <c r="F55" s="248"/>
      <c r="G55" s="248"/>
      <c r="H55" s="248"/>
      <c r="I55" s="248"/>
      <c r="J55" s="248"/>
      <c r="K55" s="248"/>
      <c r="L55" s="248"/>
      <c r="M55" s="248"/>
    </row>
    <row r="56" spans="1:13" s="6" customFormat="1" ht="15" customHeight="1" x14ac:dyDescent="0.3">
      <c r="A56" s="3"/>
      <c r="B56" s="248"/>
      <c r="C56" s="248"/>
      <c r="D56" s="248"/>
      <c r="E56" s="248"/>
      <c r="F56" s="248"/>
      <c r="G56" s="248"/>
      <c r="H56" s="248"/>
      <c r="I56" s="248"/>
      <c r="J56" s="248"/>
      <c r="K56" s="248"/>
      <c r="L56" s="248"/>
      <c r="M56" s="248"/>
    </row>
    <row r="57" spans="1:13" x14ac:dyDescent="0.3">
      <c r="A57" s="278" t="s">
        <v>59</v>
      </c>
      <c r="B57" s="279"/>
      <c r="C57" s="279"/>
      <c r="D57" s="280"/>
      <c r="E57" s="248"/>
      <c r="F57" s="248"/>
      <c r="G57" s="248"/>
      <c r="H57" s="248"/>
      <c r="I57" s="248"/>
      <c r="J57" s="248"/>
      <c r="K57" s="248"/>
      <c r="L57" s="248"/>
      <c r="M57" s="248"/>
    </row>
    <row r="58" spans="1:13" ht="15" customHeight="1" x14ac:dyDescent="0.3">
      <c r="A58" s="3"/>
      <c r="B58" s="248" t="s">
        <v>123</v>
      </c>
      <c r="C58" s="248"/>
      <c r="D58" s="248"/>
      <c r="E58" s="248"/>
      <c r="F58" s="248"/>
      <c r="G58" s="248"/>
      <c r="H58" s="248"/>
      <c r="I58" s="248"/>
      <c r="J58" s="248"/>
      <c r="K58" s="248"/>
      <c r="L58" s="248"/>
      <c r="M58" s="248"/>
    </row>
    <row r="59" spans="1:13" ht="15" customHeight="1" x14ac:dyDescent="0.3">
      <c r="A59" s="3"/>
      <c r="B59" s="248" t="s">
        <v>111</v>
      </c>
      <c r="C59" s="248"/>
      <c r="D59" s="248"/>
      <c r="E59" s="248"/>
      <c r="F59" s="248"/>
      <c r="G59" s="248"/>
      <c r="H59" s="248"/>
      <c r="I59" s="248"/>
      <c r="J59" s="248"/>
      <c r="K59" s="248"/>
      <c r="L59" s="248"/>
      <c r="M59" s="248"/>
    </row>
    <row r="60" spans="1:13" ht="15" customHeight="1" x14ac:dyDescent="0.3">
      <c r="A60" s="3"/>
      <c r="B60" s="248" t="s">
        <v>112</v>
      </c>
      <c r="C60" s="248"/>
      <c r="D60" s="248"/>
      <c r="E60" s="248"/>
      <c r="F60" s="248"/>
      <c r="G60" s="248"/>
      <c r="H60" s="248"/>
      <c r="I60" s="248"/>
      <c r="J60" s="248"/>
      <c r="K60" s="248"/>
      <c r="L60" s="248"/>
      <c r="M60" s="248"/>
    </row>
    <row r="61" spans="1:13" ht="15" customHeight="1" x14ac:dyDescent="0.3">
      <c r="A61" s="3"/>
      <c r="B61" s="248" t="s">
        <v>113</v>
      </c>
      <c r="C61" s="248"/>
      <c r="D61" s="248"/>
      <c r="E61" s="248"/>
      <c r="F61" s="248"/>
      <c r="G61" s="248"/>
      <c r="H61" s="248"/>
      <c r="I61" s="248"/>
      <c r="J61" s="248"/>
      <c r="K61" s="248"/>
      <c r="L61" s="248"/>
      <c r="M61" s="248"/>
    </row>
    <row r="62" spans="1:13" x14ac:dyDescent="0.3">
      <c r="A62" s="3"/>
      <c r="B62" s="248"/>
      <c r="C62" s="248"/>
      <c r="D62" s="248"/>
      <c r="E62" s="248"/>
      <c r="F62" s="248"/>
      <c r="G62" s="248"/>
      <c r="H62" s="248"/>
      <c r="I62" s="248"/>
      <c r="J62" s="248"/>
      <c r="K62" s="248"/>
      <c r="L62" s="248"/>
      <c r="M62" s="248"/>
    </row>
    <row r="63" spans="1:13" x14ac:dyDescent="0.3">
      <c r="A63" s="3"/>
      <c r="B63" s="248" t="s">
        <v>122</v>
      </c>
      <c r="C63" s="248"/>
      <c r="D63" s="248"/>
      <c r="E63" s="248"/>
      <c r="F63" s="248"/>
      <c r="G63" s="248"/>
      <c r="H63" s="248"/>
      <c r="I63" s="248"/>
      <c r="J63" s="248"/>
      <c r="K63" s="248"/>
      <c r="L63" s="248"/>
      <c r="M63" s="248"/>
    </row>
    <row r="64" spans="1:13" ht="32.25" customHeight="1" x14ac:dyDescent="0.3">
      <c r="A64" s="3"/>
      <c r="B64" s="250" t="s">
        <v>137</v>
      </c>
      <c r="C64" s="250"/>
      <c r="D64" s="250"/>
      <c r="E64" s="249"/>
      <c r="F64" s="250"/>
      <c r="G64" s="250"/>
      <c r="H64" s="250"/>
      <c r="I64" s="250"/>
      <c r="J64" s="250"/>
      <c r="K64" s="250"/>
      <c r="L64" s="250"/>
      <c r="M64" s="250"/>
    </row>
    <row r="65" spans="1:16384" customFormat="1" x14ac:dyDescent="0.3">
      <c r="A65" s="3"/>
      <c r="B65" s="248" t="s">
        <v>138</v>
      </c>
      <c r="C65" s="248"/>
      <c r="D65" s="248"/>
      <c r="E65" s="248"/>
      <c r="F65" s="248"/>
      <c r="G65" s="248"/>
      <c r="H65" s="248"/>
      <c r="I65" s="248"/>
      <c r="J65" s="248"/>
      <c r="K65" s="248"/>
      <c r="L65" s="248"/>
      <c r="M65" s="248"/>
      <c r="N65" s="124"/>
      <c r="O65" s="259"/>
      <c r="P65" s="259"/>
      <c r="Q65" s="259"/>
      <c r="R65" s="288"/>
      <c r="S65" s="288"/>
      <c r="T65" s="288"/>
      <c r="U65" s="288"/>
      <c r="V65" s="288"/>
      <c r="W65" s="288"/>
      <c r="X65" s="288"/>
      <c r="Y65" s="288"/>
      <c r="Z65" s="288"/>
      <c r="AA65" s="124"/>
      <c r="AB65" s="259"/>
      <c r="AC65" s="259"/>
      <c r="AD65" s="259"/>
      <c r="AE65" s="288"/>
      <c r="AF65" s="288"/>
      <c r="AG65" s="288"/>
      <c r="AH65" s="288"/>
      <c r="AI65" s="288"/>
      <c r="AJ65" s="288"/>
      <c r="AK65" s="288"/>
      <c r="AL65" s="288"/>
      <c r="AM65" s="288"/>
      <c r="AN65" s="124"/>
      <c r="AO65" s="259"/>
      <c r="AP65" s="259"/>
      <c r="AQ65" s="259"/>
      <c r="AR65" s="288"/>
      <c r="AS65" s="288"/>
      <c r="AT65" s="288"/>
      <c r="AU65" s="288"/>
      <c r="AV65" s="288"/>
      <c r="AW65" s="288"/>
      <c r="AX65" s="288"/>
      <c r="AY65" s="288"/>
      <c r="AZ65" s="288"/>
      <c r="BA65" s="124"/>
      <c r="BB65" s="259"/>
      <c r="BC65" s="259"/>
      <c r="BD65" s="259"/>
      <c r="BE65" s="288"/>
      <c r="BF65" s="288"/>
      <c r="BG65" s="288"/>
      <c r="BH65" s="288"/>
      <c r="BI65" s="288"/>
      <c r="BJ65" s="288"/>
      <c r="BK65" s="288"/>
      <c r="BL65" s="288"/>
      <c r="BM65" s="288"/>
      <c r="BN65" s="124"/>
      <c r="BO65" s="259"/>
      <c r="BP65" s="259"/>
      <c r="BQ65" s="259"/>
      <c r="BR65" s="288"/>
      <c r="BS65" s="288"/>
      <c r="BT65" s="288"/>
      <c r="BU65" s="288"/>
      <c r="BV65" s="288"/>
      <c r="BW65" s="288"/>
      <c r="BX65" s="288"/>
      <c r="BY65" s="288"/>
      <c r="BZ65" s="288"/>
      <c r="CA65" s="124"/>
      <c r="CB65" s="259"/>
      <c r="CC65" s="259"/>
      <c r="CD65" s="259"/>
      <c r="CE65" s="288"/>
      <c r="CF65" s="288"/>
      <c r="CG65" s="288"/>
      <c r="CH65" s="288"/>
      <c r="CI65" s="288"/>
      <c r="CJ65" s="288"/>
      <c r="CK65" s="288"/>
      <c r="CL65" s="288"/>
      <c r="CM65" s="288"/>
      <c r="CN65" s="124"/>
      <c r="CO65" s="259"/>
      <c r="CP65" s="259"/>
      <c r="CQ65" s="259"/>
      <c r="CR65" s="288"/>
      <c r="CS65" s="288"/>
      <c r="CT65" s="288"/>
      <c r="CU65" s="288"/>
      <c r="CV65" s="288"/>
      <c r="CW65" s="288"/>
      <c r="CX65" s="288"/>
      <c r="CY65" s="288"/>
      <c r="CZ65" s="288"/>
      <c r="DA65" s="124"/>
      <c r="DB65" s="259"/>
      <c r="DC65" s="259"/>
      <c r="DD65" s="259"/>
      <c r="DE65" s="288"/>
      <c r="DF65" s="288"/>
      <c r="DG65" s="288"/>
      <c r="DH65" s="288"/>
      <c r="DI65" s="288"/>
      <c r="DJ65" s="288"/>
      <c r="DK65" s="288"/>
      <c r="DL65" s="288"/>
      <c r="DM65" s="288"/>
      <c r="DN65" s="124"/>
      <c r="DO65" s="259"/>
      <c r="DP65" s="259"/>
      <c r="DQ65" s="259"/>
      <c r="DR65" s="288"/>
      <c r="DS65" s="288"/>
      <c r="DT65" s="288"/>
      <c r="DU65" s="288"/>
      <c r="DV65" s="288"/>
      <c r="DW65" s="288"/>
      <c r="DX65" s="288"/>
      <c r="DY65" s="288"/>
      <c r="DZ65" s="288"/>
      <c r="EA65" s="124"/>
      <c r="EB65" s="259"/>
      <c r="EC65" s="259"/>
      <c r="ED65" s="259"/>
      <c r="EE65" s="288"/>
      <c r="EF65" s="288"/>
      <c r="EG65" s="288"/>
      <c r="EH65" s="288"/>
      <c r="EI65" s="288"/>
      <c r="EJ65" s="288"/>
      <c r="EK65" s="288"/>
      <c r="EL65" s="288"/>
      <c r="EM65" s="288"/>
      <c r="EN65" s="124"/>
      <c r="EO65" s="259"/>
      <c r="EP65" s="259"/>
      <c r="EQ65" s="259"/>
      <c r="ER65" s="288"/>
      <c r="ES65" s="288"/>
      <c r="ET65" s="288"/>
      <c r="EU65" s="288"/>
      <c r="EV65" s="288"/>
      <c r="EW65" s="288"/>
      <c r="EX65" s="288"/>
      <c r="EY65" s="288"/>
      <c r="EZ65" s="288"/>
      <c r="FA65" s="124"/>
      <c r="FB65" s="259"/>
      <c r="FC65" s="259"/>
      <c r="FD65" s="259"/>
      <c r="FE65" s="288"/>
      <c r="FF65" s="288"/>
      <c r="FG65" s="288"/>
      <c r="FH65" s="288"/>
      <c r="FI65" s="288"/>
      <c r="FJ65" s="288"/>
      <c r="FK65" s="288"/>
      <c r="FL65" s="288"/>
      <c r="FM65" s="288"/>
      <c r="FN65" s="124"/>
      <c r="FO65" s="259"/>
      <c r="FP65" s="259"/>
      <c r="FQ65" s="259"/>
      <c r="FR65" s="288"/>
      <c r="FS65" s="288"/>
      <c r="FT65" s="288"/>
      <c r="FU65" s="288"/>
      <c r="FV65" s="288"/>
      <c r="FW65" s="288"/>
      <c r="FX65" s="288"/>
      <c r="FY65" s="288"/>
      <c r="FZ65" s="288"/>
      <c r="GA65" s="124"/>
      <c r="GB65" s="259"/>
      <c r="GC65" s="259"/>
      <c r="GD65" s="259"/>
      <c r="GE65" s="288"/>
      <c r="GF65" s="288"/>
      <c r="GG65" s="288"/>
      <c r="GH65" s="288"/>
      <c r="GI65" s="288"/>
      <c r="GJ65" s="288"/>
      <c r="GK65" s="288"/>
      <c r="GL65" s="288"/>
      <c r="GM65" s="288"/>
      <c r="GN65" s="124"/>
      <c r="GO65" s="259"/>
      <c r="GP65" s="259"/>
      <c r="GQ65" s="259"/>
      <c r="GR65" s="288"/>
      <c r="GS65" s="288"/>
      <c r="GT65" s="288"/>
      <c r="GU65" s="288"/>
      <c r="GV65" s="288"/>
      <c r="GW65" s="288"/>
      <c r="GX65" s="288"/>
      <c r="GY65" s="288"/>
      <c r="GZ65" s="288"/>
      <c r="HA65" s="124"/>
      <c r="HB65" s="259"/>
      <c r="HC65" s="259"/>
      <c r="HD65" s="259"/>
      <c r="HE65" s="288"/>
      <c r="HF65" s="288"/>
      <c r="HG65" s="288"/>
      <c r="HH65" s="288"/>
      <c r="HI65" s="288"/>
      <c r="HJ65" s="288"/>
      <c r="HK65" s="288"/>
      <c r="HL65" s="288"/>
      <c r="HM65" s="288"/>
      <c r="HN65" s="124"/>
      <c r="HO65" s="259"/>
      <c r="HP65" s="259"/>
      <c r="HQ65" s="259"/>
      <c r="HR65" s="288"/>
      <c r="HS65" s="288"/>
      <c r="HT65" s="288"/>
      <c r="HU65" s="288"/>
      <c r="HV65" s="288"/>
      <c r="HW65" s="288"/>
      <c r="HX65" s="288"/>
      <c r="HY65" s="288"/>
      <c r="HZ65" s="288"/>
      <c r="IA65" s="124"/>
      <c r="IB65" s="259"/>
      <c r="IC65" s="259"/>
      <c r="ID65" s="259"/>
      <c r="IE65" s="288"/>
      <c r="IF65" s="288"/>
      <c r="IG65" s="288"/>
      <c r="IH65" s="288"/>
      <c r="II65" s="288"/>
      <c r="IJ65" s="288"/>
      <c r="IK65" s="288"/>
      <c r="IL65" s="288"/>
      <c r="IM65" s="288"/>
      <c r="IN65" s="124"/>
      <c r="IO65" s="259"/>
      <c r="IP65" s="259"/>
      <c r="IQ65" s="259"/>
      <c r="IR65" s="288"/>
      <c r="IS65" s="288"/>
      <c r="IT65" s="288"/>
      <c r="IU65" s="288"/>
      <c r="IV65" s="288"/>
      <c r="IW65" s="288"/>
      <c r="IX65" s="288"/>
      <c r="IY65" s="288"/>
      <c r="IZ65" s="288"/>
      <c r="JA65" s="124"/>
      <c r="JB65" s="259"/>
      <c r="JC65" s="259"/>
      <c r="JD65" s="259"/>
      <c r="JE65" s="288"/>
      <c r="JF65" s="288"/>
      <c r="JG65" s="288"/>
      <c r="JH65" s="288"/>
      <c r="JI65" s="288"/>
      <c r="JJ65" s="288"/>
      <c r="JK65" s="288"/>
      <c r="JL65" s="288"/>
      <c r="JM65" s="288"/>
      <c r="JN65" s="124"/>
      <c r="JO65" s="259"/>
      <c r="JP65" s="259"/>
      <c r="JQ65" s="259"/>
      <c r="JR65" s="288"/>
      <c r="JS65" s="288"/>
      <c r="JT65" s="288"/>
      <c r="JU65" s="288"/>
      <c r="JV65" s="288"/>
      <c r="JW65" s="288"/>
      <c r="JX65" s="288"/>
      <c r="JY65" s="288"/>
      <c r="JZ65" s="288"/>
      <c r="KA65" s="124"/>
      <c r="KB65" s="259"/>
      <c r="KC65" s="259"/>
      <c r="KD65" s="259"/>
      <c r="KE65" s="288"/>
      <c r="KF65" s="288"/>
      <c r="KG65" s="288"/>
      <c r="KH65" s="288"/>
      <c r="KI65" s="288"/>
      <c r="KJ65" s="288"/>
      <c r="KK65" s="288"/>
      <c r="KL65" s="288"/>
      <c r="KM65" s="288"/>
      <c r="KN65" s="124"/>
      <c r="KO65" s="259"/>
      <c r="KP65" s="259"/>
      <c r="KQ65" s="259"/>
      <c r="KR65" s="288"/>
      <c r="KS65" s="288"/>
      <c r="KT65" s="288"/>
      <c r="KU65" s="288"/>
      <c r="KV65" s="288"/>
      <c r="KW65" s="288"/>
      <c r="KX65" s="288"/>
      <c r="KY65" s="288"/>
      <c r="KZ65" s="288"/>
      <c r="LA65" s="124"/>
      <c r="LB65" s="259"/>
      <c r="LC65" s="259"/>
      <c r="LD65" s="259"/>
      <c r="LE65" s="288"/>
      <c r="LF65" s="288"/>
      <c r="LG65" s="288"/>
      <c r="LH65" s="288"/>
      <c r="LI65" s="288"/>
      <c r="LJ65" s="288"/>
      <c r="LK65" s="288"/>
      <c r="LL65" s="288"/>
      <c r="LM65" s="288"/>
      <c r="LN65" s="124"/>
      <c r="LO65" s="259"/>
      <c r="LP65" s="259"/>
      <c r="LQ65" s="259"/>
      <c r="LR65" s="288"/>
      <c r="LS65" s="288"/>
      <c r="LT65" s="288"/>
      <c r="LU65" s="288"/>
      <c r="LV65" s="288"/>
      <c r="LW65" s="288"/>
      <c r="LX65" s="288"/>
      <c r="LY65" s="288"/>
      <c r="LZ65" s="288"/>
      <c r="MA65" s="124"/>
      <c r="MB65" s="259"/>
      <c r="MC65" s="259"/>
      <c r="MD65" s="259"/>
      <c r="ME65" s="288"/>
      <c r="MF65" s="288"/>
      <c r="MG65" s="288"/>
      <c r="MH65" s="288"/>
      <c r="MI65" s="288"/>
      <c r="MJ65" s="288"/>
      <c r="MK65" s="288"/>
      <c r="ML65" s="288"/>
      <c r="MM65" s="288"/>
      <c r="MN65" s="124"/>
      <c r="MO65" s="259"/>
      <c r="MP65" s="259"/>
      <c r="MQ65" s="259"/>
      <c r="MR65" s="288"/>
      <c r="MS65" s="288"/>
      <c r="MT65" s="288"/>
      <c r="MU65" s="288"/>
      <c r="MV65" s="288"/>
      <c r="MW65" s="288"/>
      <c r="MX65" s="288"/>
      <c r="MY65" s="288"/>
      <c r="MZ65" s="288"/>
      <c r="NA65" s="124"/>
      <c r="NB65" s="259"/>
      <c r="NC65" s="259"/>
      <c r="ND65" s="259"/>
      <c r="NE65" s="288"/>
      <c r="NF65" s="288"/>
      <c r="NG65" s="288"/>
      <c r="NH65" s="288"/>
      <c r="NI65" s="288"/>
      <c r="NJ65" s="288"/>
      <c r="NK65" s="288"/>
      <c r="NL65" s="288"/>
      <c r="NM65" s="288"/>
      <c r="NN65" s="124"/>
      <c r="NO65" s="259"/>
      <c r="NP65" s="259"/>
      <c r="NQ65" s="259"/>
      <c r="NR65" s="288"/>
      <c r="NS65" s="288"/>
      <c r="NT65" s="288"/>
      <c r="NU65" s="288"/>
      <c r="NV65" s="288"/>
      <c r="NW65" s="288"/>
      <c r="NX65" s="288"/>
      <c r="NY65" s="288"/>
      <c r="NZ65" s="288"/>
      <c r="OA65" s="124"/>
      <c r="OB65" s="259"/>
      <c r="OC65" s="259"/>
      <c r="OD65" s="259"/>
      <c r="OE65" s="288"/>
      <c r="OF65" s="288"/>
      <c r="OG65" s="288"/>
      <c r="OH65" s="288"/>
      <c r="OI65" s="288"/>
      <c r="OJ65" s="288"/>
      <c r="OK65" s="288"/>
      <c r="OL65" s="288"/>
      <c r="OM65" s="288"/>
      <c r="ON65" s="124"/>
      <c r="OO65" s="259"/>
      <c r="OP65" s="259"/>
      <c r="OQ65" s="259"/>
      <c r="OR65" s="288"/>
      <c r="OS65" s="288"/>
      <c r="OT65" s="288"/>
      <c r="OU65" s="288"/>
      <c r="OV65" s="288"/>
      <c r="OW65" s="288"/>
      <c r="OX65" s="288"/>
      <c r="OY65" s="288"/>
      <c r="OZ65" s="288"/>
      <c r="PA65" s="124"/>
      <c r="PB65" s="259"/>
      <c r="PC65" s="259"/>
      <c r="PD65" s="259"/>
      <c r="PE65" s="288"/>
      <c r="PF65" s="288"/>
      <c r="PG65" s="288"/>
      <c r="PH65" s="288"/>
      <c r="PI65" s="288"/>
      <c r="PJ65" s="288"/>
      <c r="PK65" s="288"/>
      <c r="PL65" s="288"/>
      <c r="PM65" s="288"/>
      <c r="PN65" s="124"/>
      <c r="PO65" s="259"/>
      <c r="PP65" s="259"/>
      <c r="PQ65" s="259"/>
      <c r="PR65" s="288"/>
      <c r="PS65" s="288"/>
      <c r="PT65" s="288"/>
      <c r="PU65" s="288"/>
      <c r="PV65" s="288"/>
      <c r="PW65" s="288"/>
      <c r="PX65" s="288"/>
      <c r="PY65" s="288"/>
      <c r="PZ65" s="288"/>
      <c r="QA65" s="124"/>
      <c r="QB65" s="259"/>
      <c r="QC65" s="259"/>
      <c r="QD65" s="259"/>
      <c r="QE65" s="288"/>
      <c r="QF65" s="288"/>
      <c r="QG65" s="288"/>
      <c r="QH65" s="288"/>
      <c r="QI65" s="288"/>
      <c r="QJ65" s="288"/>
      <c r="QK65" s="288"/>
      <c r="QL65" s="288"/>
      <c r="QM65" s="288"/>
      <c r="QN65" s="124"/>
      <c r="QO65" s="259"/>
      <c r="QP65" s="259"/>
      <c r="QQ65" s="259"/>
      <c r="QR65" s="288"/>
      <c r="QS65" s="288"/>
      <c r="QT65" s="288"/>
      <c r="QU65" s="288"/>
      <c r="QV65" s="288"/>
      <c r="QW65" s="288"/>
      <c r="QX65" s="288"/>
      <c r="QY65" s="288"/>
      <c r="QZ65" s="288"/>
      <c r="RA65" s="124"/>
      <c r="RB65" s="259"/>
      <c r="RC65" s="259"/>
      <c r="RD65" s="259"/>
      <c r="RE65" s="288"/>
      <c r="RF65" s="288"/>
      <c r="RG65" s="288"/>
      <c r="RH65" s="288"/>
      <c r="RI65" s="288"/>
      <c r="RJ65" s="288"/>
      <c r="RK65" s="288"/>
      <c r="RL65" s="288"/>
      <c r="RM65" s="288"/>
      <c r="RN65" s="124"/>
      <c r="RO65" s="259"/>
      <c r="RP65" s="259"/>
      <c r="RQ65" s="259"/>
      <c r="RR65" s="288"/>
      <c r="RS65" s="288"/>
      <c r="RT65" s="288"/>
      <c r="RU65" s="288"/>
      <c r="RV65" s="288"/>
      <c r="RW65" s="288"/>
      <c r="RX65" s="288"/>
      <c r="RY65" s="288"/>
      <c r="RZ65" s="288"/>
      <c r="SA65" s="124"/>
      <c r="SB65" s="259"/>
      <c r="SC65" s="259"/>
      <c r="SD65" s="259"/>
      <c r="SE65" s="288"/>
      <c r="SF65" s="288"/>
      <c r="SG65" s="288"/>
      <c r="SH65" s="288"/>
      <c r="SI65" s="288"/>
      <c r="SJ65" s="288"/>
      <c r="SK65" s="288"/>
      <c r="SL65" s="288"/>
      <c r="SM65" s="288"/>
      <c r="SN65" s="124"/>
      <c r="SO65" s="259"/>
      <c r="SP65" s="259"/>
      <c r="SQ65" s="259"/>
      <c r="SR65" s="288"/>
      <c r="SS65" s="288"/>
      <c r="ST65" s="288"/>
      <c r="SU65" s="288"/>
      <c r="SV65" s="288"/>
      <c r="SW65" s="288"/>
      <c r="SX65" s="288"/>
      <c r="SY65" s="288"/>
      <c r="SZ65" s="288"/>
      <c r="TA65" s="124"/>
      <c r="TB65" s="259"/>
      <c r="TC65" s="259"/>
      <c r="TD65" s="259"/>
      <c r="TE65" s="288"/>
      <c r="TF65" s="288"/>
      <c r="TG65" s="288"/>
      <c r="TH65" s="288"/>
      <c r="TI65" s="288"/>
      <c r="TJ65" s="288"/>
      <c r="TK65" s="288"/>
      <c r="TL65" s="288"/>
      <c r="TM65" s="288"/>
      <c r="TN65" s="124"/>
      <c r="TO65" s="259"/>
      <c r="TP65" s="259"/>
      <c r="TQ65" s="259"/>
      <c r="TR65" s="288"/>
      <c r="TS65" s="288"/>
      <c r="TT65" s="288"/>
      <c r="TU65" s="288"/>
      <c r="TV65" s="288"/>
      <c r="TW65" s="288"/>
      <c r="TX65" s="288"/>
      <c r="TY65" s="288"/>
      <c r="TZ65" s="288"/>
      <c r="UA65" s="124"/>
      <c r="UB65" s="259"/>
      <c r="UC65" s="259"/>
      <c r="UD65" s="259"/>
      <c r="UE65" s="288"/>
      <c r="UF65" s="288"/>
      <c r="UG65" s="288"/>
      <c r="UH65" s="288"/>
      <c r="UI65" s="288"/>
      <c r="UJ65" s="288"/>
      <c r="UK65" s="288"/>
      <c r="UL65" s="288"/>
      <c r="UM65" s="288"/>
      <c r="UN65" s="124"/>
      <c r="UO65" s="259"/>
      <c r="UP65" s="259"/>
      <c r="UQ65" s="259"/>
      <c r="UR65" s="288"/>
      <c r="US65" s="288"/>
      <c r="UT65" s="288"/>
      <c r="UU65" s="288"/>
      <c r="UV65" s="288"/>
      <c r="UW65" s="288"/>
      <c r="UX65" s="288"/>
      <c r="UY65" s="288"/>
      <c r="UZ65" s="288"/>
      <c r="VA65" s="124"/>
      <c r="VB65" s="259"/>
      <c r="VC65" s="259"/>
      <c r="VD65" s="259"/>
      <c r="VE65" s="288"/>
      <c r="VF65" s="288"/>
      <c r="VG65" s="288"/>
      <c r="VH65" s="288"/>
      <c r="VI65" s="288"/>
      <c r="VJ65" s="288"/>
      <c r="VK65" s="288"/>
      <c r="VL65" s="288"/>
      <c r="VM65" s="288"/>
      <c r="VN65" s="124"/>
      <c r="VO65" s="259"/>
      <c r="VP65" s="259"/>
      <c r="VQ65" s="259"/>
      <c r="VR65" s="288"/>
      <c r="VS65" s="288"/>
      <c r="VT65" s="288"/>
      <c r="VU65" s="288"/>
      <c r="VV65" s="288"/>
      <c r="VW65" s="288"/>
      <c r="VX65" s="288"/>
      <c r="VY65" s="288"/>
      <c r="VZ65" s="288"/>
      <c r="WA65" s="124"/>
      <c r="WB65" s="259"/>
      <c r="WC65" s="259"/>
      <c r="WD65" s="259"/>
      <c r="WE65" s="288"/>
      <c r="WF65" s="288"/>
      <c r="WG65" s="288"/>
      <c r="WH65" s="288"/>
      <c r="WI65" s="288"/>
      <c r="WJ65" s="288"/>
      <c r="WK65" s="288"/>
      <c r="WL65" s="288"/>
      <c r="WM65" s="288"/>
      <c r="WN65" s="124"/>
      <c r="WO65" s="259"/>
      <c r="WP65" s="259"/>
      <c r="WQ65" s="259"/>
      <c r="WR65" s="288"/>
      <c r="WS65" s="288"/>
      <c r="WT65" s="288"/>
      <c r="WU65" s="288"/>
      <c r="WV65" s="288"/>
      <c r="WW65" s="288"/>
      <c r="WX65" s="288"/>
      <c r="WY65" s="288"/>
      <c r="WZ65" s="288"/>
      <c r="XA65" s="124"/>
      <c r="XB65" s="259"/>
      <c r="XC65" s="259"/>
      <c r="XD65" s="259"/>
      <c r="XE65" s="288"/>
      <c r="XF65" s="288"/>
      <c r="XG65" s="288"/>
      <c r="XH65" s="288"/>
      <c r="XI65" s="288"/>
      <c r="XJ65" s="288"/>
      <c r="XK65" s="288"/>
      <c r="XL65" s="288"/>
      <c r="XM65" s="288"/>
      <c r="XN65" s="124"/>
      <c r="XO65" s="259"/>
      <c r="XP65" s="259"/>
      <c r="XQ65" s="259"/>
      <c r="XR65" s="288"/>
      <c r="XS65" s="288"/>
      <c r="XT65" s="288"/>
      <c r="XU65" s="288"/>
      <c r="XV65" s="288"/>
      <c r="XW65" s="288"/>
      <c r="XX65" s="288"/>
      <c r="XY65" s="288"/>
      <c r="XZ65" s="288"/>
      <c r="YA65" s="124"/>
      <c r="YB65" s="259"/>
      <c r="YC65" s="259"/>
      <c r="YD65" s="259"/>
      <c r="YE65" s="288"/>
      <c r="YF65" s="288"/>
      <c r="YG65" s="288"/>
      <c r="YH65" s="288"/>
      <c r="YI65" s="288"/>
      <c r="YJ65" s="288"/>
      <c r="YK65" s="288"/>
      <c r="YL65" s="288"/>
      <c r="YM65" s="288"/>
      <c r="YN65" s="124"/>
      <c r="YO65" s="259"/>
      <c r="YP65" s="259"/>
      <c r="YQ65" s="259"/>
      <c r="YR65" s="288"/>
      <c r="YS65" s="288"/>
      <c r="YT65" s="288"/>
      <c r="YU65" s="288"/>
      <c r="YV65" s="288"/>
      <c r="YW65" s="288"/>
      <c r="YX65" s="288"/>
      <c r="YY65" s="288"/>
      <c r="YZ65" s="288"/>
      <c r="ZA65" s="124"/>
      <c r="ZB65" s="259"/>
      <c r="ZC65" s="259"/>
      <c r="ZD65" s="259"/>
      <c r="ZE65" s="288"/>
      <c r="ZF65" s="288"/>
      <c r="ZG65" s="288"/>
      <c r="ZH65" s="288"/>
      <c r="ZI65" s="288"/>
      <c r="ZJ65" s="288"/>
      <c r="ZK65" s="288"/>
      <c r="ZL65" s="288"/>
      <c r="ZM65" s="288"/>
      <c r="ZN65" s="124"/>
      <c r="ZO65" s="259"/>
      <c r="ZP65" s="259"/>
      <c r="ZQ65" s="259"/>
      <c r="ZR65" s="288"/>
      <c r="ZS65" s="288"/>
      <c r="ZT65" s="288"/>
      <c r="ZU65" s="288"/>
      <c r="ZV65" s="288"/>
      <c r="ZW65" s="288"/>
      <c r="ZX65" s="288"/>
      <c r="ZY65" s="288"/>
      <c r="ZZ65" s="288"/>
      <c r="AAA65" s="124"/>
      <c r="AAB65" s="259"/>
      <c r="AAC65" s="259"/>
      <c r="AAD65" s="259"/>
      <c r="AAE65" s="288"/>
      <c r="AAF65" s="288"/>
      <c r="AAG65" s="288"/>
      <c r="AAH65" s="288"/>
      <c r="AAI65" s="288"/>
      <c r="AAJ65" s="288"/>
      <c r="AAK65" s="288"/>
      <c r="AAL65" s="288"/>
      <c r="AAM65" s="288"/>
      <c r="AAN65" s="124"/>
      <c r="AAO65" s="259"/>
      <c r="AAP65" s="259"/>
      <c r="AAQ65" s="259"/>
      <c r="AAR65" s="288"/>
      <c r="AAS65" s="288"/>
      <c r="AAT65" s="288"/>
      <c r="AAU65" s="288"/>
      <c r="AAV65" s="288"/>
      <c r="AAW65" s="288"/>
      <c r="AAX65" s="288"/>
      <c r="AAY65" s="288"/>
      <c r="AAZ65" s="288"/>
      <c r="ABA65" s="124"/>
      <c r="ABB65" s="259"/>
      <c r="ABC65" s="259"/>
      <c r="ABD65" s="259"/>
      <c r="ABE65" s="288"/>
      <c r="ABF65" s="288"/>
      <c r="ABG65" s="288"/>
      <c r="ABH65" s="288"/>
      <c r="ABI65" s="288"/>
      <c r="ABJ65" s="288"/>
      <c r="ABK65" s="288"/>
      <c r="ABL65" s="288"/>
      <c r="ABM65" s="288"/>
      <c r="ABN65" s="124"/>
      <c r="ABO65" s="259"/>
      <c r="ABP65" s="259"/>
      <c r="ABQ65" s="259"/>
      <c r="ABR65" s="288"/>
      <c r="ABS65" s="288"/>
      <c r="ABT65" s="288"/>
      <c r="ABU65" s="288"/>
      <c r="ABV65" s="288"/>
      <c r="ABW65" s="288"/>
      <c r="ABX65" s="288"/>
      <c r="ABY65" s="288"/>
      <c r="ABZ65" s="288"/>
      <c r="ACA65" s="124"/>
      <c r="ACB65" s="259"/>
      <c r="ACC65" s="259"/>
      <c r="ACD65" s="259"/>
      <c r="ACE65" s="288"/>
      <c r="ACF65" s="288"/>
      <c r="ACG65" s="288"/>
      <c r="ACH65" s="288"/>
      <c r="ACI65" s="288"/>
      <c r="ACJ65" s="288"/>
      <c r="ACK65" s="288"/>
      <c r="ACL65" s="288"/>
      <c r="ACM65" s="288"/>
      <c r="ACN65" s="124"/>
      <c r="ACO65" s="259"/>
      <c r="ACP65" s="259"/>
      <c r="ACQ65" s="259"/>
      <c r="ACR65" s="288"/>
      <c r="ACS65" s="288"/>
      <c r="ACT65" s="288"/>
      <c r="ACU65" s="288"/>
      <c r="ACV65" s="288"/>
      <c r="ACW65" s="288"/>
      <c r="ACX65" s="288"/>
      <c r="ACY65" s="288"/>
      <c r="ACZ65" s="288"/>
      <c r="ADA65" s="124"/>
      <c r="ADB65" s="259"/>
      <c r="ADC65" s="259"/>
      <c r="ADD65" s="259"/>
      <c r="ADE65" s="288"/>
      <c r="ADF65" s="288"/>
      <c r="ADG65" s="288"/>
      <c r="ADH65" s="288"/>
      <c r="ADI65" s="288"/>
      <c r="ADJ65" s="288"/>
      <c r="ADK65" s="288"/>
      <c r="ADL65" s="288"/>
      <c r="ADM65" s="288"/>
      <c r="ADN65" s="124"/>
      <c r="ADO65" s="259"/>
      <c r="ADP65" s="259"/>
      <c r="ADQ65" s="259"/>
      <c r="ADR65" s="288"/>
      <c r="ADS65" s="288"/>
      <c r="ADT65" s="288"/>
      <c r="ADU65" s="288"/>
      <c r="ADV65" s="288"/>
      <c r="ADW65" s="288"/>
      <c r="ADX65" s="288"/>
      <c r="ADY65" s="288"/>
      <c r="ADZ65" s="288"/>
      <c r="AEA65" s="124"/>
      <c r="AEB65" s="259"/>
      <c r="AEC65" s="259"/>
      <c r="AED65" s="259"/>
      <c r="AEE65" s="288"/>
      <c r="AEF65" s="288"/>
      <c r="AEG65" s="288"/>
      <c r="AEH65" s="288"/>
      <c r="AEI65" s="288"/>
      <c r="AEJ65" s="288"/>
      <c r="AEK65" s="288"/>
      <c r="AEL65" s="288"/>
      <c r="AEM65" s="288"/>
      <c r="AEN65" s="124"/>
      <c r="AEO65" s="259"/>
      <c r="AEP65" s="259"/>
      <c r="AEQ65" s="259"/>
      <c r="AER65" s="288"/>
      <c r="AES65" s="288"/>
      <c r="AET65" s="288"/>
      <c r="AEU65" s="288"/>
      <c r="AEV65" s="288"/>
      <c r="AEW65" s="288"/>
      <c r="AEX65" s="288"/>
      <c r="AEY65" s="288"/>
      <c r="AEZ65" s="288"/>
      <c r="AFA65" s="124"/>
      <c r="AFB65" s="259"/>
      <c r="AFC65" s="259"/>
      <c r="AFD65" s="259"/>
      <c r="AFE65" s="288"/>
      <c r="AFF65" s="288"/>
      <c r="AFG65" s="288"/>
      <c r="AFH65" s="288"/>
      <c r="AFI65" s="288"/>
      <c r="AFJ65" s="288"/>
      <c r="AFK65" s="288"/>
      <c r="AFL65" s="288"/>
      <c r="AFM65" s="288"/>
      <c r="AFN65" s="124"/>
      <c r="AFO65" s="259"/>
      <c r="AFP65" s="259"/>
      <c r="AFQ65" s="259"/>
      <c r="AFR65" s="288"/>
      <c r="AFS65" s="288"/>
      <c r="AFT65" s="288"/>
      <c r="AFU65" s="288"/>
      <c r="AFV65" s="288"/>
      <c r="AFW65" s="288"/>
      <c r="AFX65" s="288"/>
      <c r="AFY65" s="288"/>
      <c r="AFZ65" s="288"/>
      <c r="AGA65" s="124"/>
      <c r="AGB65" s="259"/>
      <c r="AGC65" s="259"/>
      <c r="AGD65" s="259"/>
      <c r="AGE65" s="288"/>
      <c r="AGF65" s="288"/>
      <c r="AGG65" s="288"/>
      <c r="AGH65" s="288"/>
      <c r="AGI65" s="288"/>
      <c r="AGJ65" s="288"/>
      <c r="AGK65" s="288"/>
      <c r="AGL65" s="288"/>
      <c r="AGM65" s="288"/>
      <c r="AGN65" s="124"/>
      <c r="AGO65" s="259"/>
      <c r="AGP65" s="259"/>
      <c r="AGQ65" s="259"/>
      <c r="AGR65" s="288"/>
      <c r="AGS65" s="288"/>
      <c r="AGT65" s="288"/>
      <c r="AGU65" s="288"/>
      <c r="AGV65" s="288"/>
      <c r="AGW65" s="288"/>
      <c r="AGX65" s="288"/>
      <c r="AGY65" s="288"/>
      <c r="AGZ65" s="288"/>
      <c r="AHA65" s="124"/>
      <c r="AHB65" s="259"/>
      <c r="AHC65" s="259"/>
      <c r="AHD65" s="259"/>
      <c r="AHE65" s="288"/>
      <c r="AHF65" s="288"/>
      <c r="AHG65" s="288"/>
      <c r="AHH65" s="288"/>
      <c r="AHI65" s="288"/>
      <c r="AHJ65" s="288"/>
      <c r="AHK65" s="288"/>
      <c r="AHL65" s="288"/>
      <c r="AHM65" s="288"/>
      <c r="AHN65" s="124"/>
      <c r="AHO65" s="259"/>
      <c r="AHP65" s="259"/>
      <c r="AHQ65" s="259"/>
      <c r="AHR65" s="288"/>
      <c r="AHS65" s="288"/>
      <c r="AHT65" s="288"/>
      <c r="AHU65" s="288"/>
      <c r="AHV65" s="288"/>
      <c r="AHW65" s="288"/>
      <c r="AHX65" s="288"/>
      <c r="AHY65" s="288"/>
      <c r="AHZ65" s="288"/>
      <c r="AIA65" s="124"/>
      <c r="AIB65" s="259"/>
      <c r="AIC65" s="259"/>
      <c r="AID65" s="259"/>
      <c r="AIE65" s="288"/>
      <c r="AIF65" s="288"/>
      <c r="AIG65" s="288"/>
      <c r="AIH65" s="288"/>
      <c r="AII65" s="288"/>
      <c r="AIJ65" s="288"/>
      <c r="AIK65" s="288"/>
      <c r="AIL65" s="288"/>
      <c r="AIM65" s="288"/>
      <c r="AIN65" s="124"/>
      <c r="AIO65" s="259"/>
      <c r="AIP65" s="259"/>
      <c r="AIQ65" s="259"/>
      <c r="AIR65" s="288"/>
      <c r="AIS65" s="288"/>
      <c r="AIT65" s="288"/>
      <c r="AIU65" s="288"/>
      <c r="AIV65" s="288"/>
      <c r="AIW65" s="288"/>
      <c r="AIX65" s="288"/>
      <c r="AIY65" s="288"/>
      <c r="AIZ65" s="288"/>
      <c r="AJA65" s="124"/>
      <c r="AJB65" s="259"/>
      <c r="AJC65" s="259"/>
      <c r="AJD65" s="259"/>
      <c r="AJE65" s="288"/>
      <c r="AJF65" s="288"/>
      <c r="AJG65" s="288"/>
      <c r="AJH65" s="288"/>
      <c r="AJI65" s="288"/>
      <c r="AJJ65" s="288"/>
      <c r="AJK65" s="288"/>
      <c r="AJL65" s="288"/>
      <c r="AJM65" s="288"/>
      <c r="AJN65" s="124"/>
      <c r="AJO65" s="259"/>
      <c r="AJP65" s="259"/>
      <c r="AJQ65" s="259"/>
      <c r="AJR65" s="288"/>
      <c r="AJS65" s="288"/>
      <c r="AJT65" s="288"/>
      <c r="AJU65" s="288"/>
      <c r="AJV65" s="288"/>
      <c r="AJW65" s="288"/>
      <c r="AJX65" s="288"/>
      <c r="AJY65" s="288"/>
      <c r="AJZ65" s="288"/>
      <c r="AKA65" s="124"/>
      <c r="AKB65" s="259"/>
      <c r="AKC65" s="259"/>
      <c r="AKD65" s="259"/>
      <c r="AKE65" s="288"/>
      <c r="AKF65" s="288"/>
      <c r="AKG65" s="288"/>
      <c r="AKH65" s="288"/>
      <c r="AKI65" s="288"/>
      <c r="AKJ65" s="288"/>
      <c r="AKK65" s="288"/>
      <c r="AKL65" s="288"/>
      <c r="AKM65" s="288"/>
      <c r="AKN65" s="124"/>
      <c r="AKO65" s="259"/>
      <c r="AKP65" s="259"/>
      <c r="AKQ65" s="259"/>
      <c r="AKR65" s="288"/>
      <c r="AKS65" s="288"/>
      <c r="AKT65" s="288"/>
      <c r="AKU65" s="288"/>
      <c r="AKV65" s="288"/>
      <c r="AKW65" s="288"/>
      <c r="AKX65" s="288"/>
      <c r="AKY65" s="288"/>
      <c r="AKZ65" s="288"/>
      <c r="ALA65" s="124"/>
      <c r="ALB65" s="259"/>
      <c r="ALC65" s="259"/>
      <c r="ALD65" s="259"/>
      <c r="ALE65" s="288"/>
      <c r="ALF65" s="288"/>
      <c r="ALG65" s="288"/>
      <c r="ALH65" s="288"/>
      <c r="ALI65" s="288"/>
      <c r="ALJ65" s="288"/>
      <c r="ALK65" s="288"/>
      <c r="ALL65" s="288"/>
      <c r="ALM65" s="288"/>
      <c r="ALN65" s="124"/>
      <c r="ALO65" s="259"/>
      <c r="ALP65" s="259"/>
      <c r="ALQ65" s="259"/>
      <c r="ALR65" s="288"/>
      <c r="ALS65" s="288"/>
      <c r="ALT65" s="288"/>
      <c r="ALU65" s="288"/>
      <c r="ALV65" s="288"/>
      <c r="ALW65" s="288"/>
      <c r="ALX65" s="288"/>
      <c r="ALY65" s="288"/>
      <c r="ALZ65" s="288"/>
      <c r="AMA65" s="124"/>
      <c r="AMB65" s="259"/>
      <c r="AMC65" s="259"/>
      <c r="AMD65" s="259"/>
      <c r="AME65" s="288"/>
      <c r="AMF65" s="288"/>
      <c r="AMG65" s="288"/>
      <c r="AMH65" s="288"/>
      <c r="AMI65" s="288"/>
      <c r="AMJ65" s="288"/>
      <c r="AMK65" s="288"/>
      <c r="AML65" s="288"/>
      <c r="AMM65" s="288"/>
      <c r="AMN65" s="124"/>
      <c r="AMO65" s="259"/>
      <c r="AMP65" s="259"/>
      <c r="AMQ65" s="259"/>
      <c r="AMR65" s="288"/>
      <c r="AMS65" s="288"/>
      <c r="AMT65" s="288"/>
      <c r="AMU65" s="288"/>
      <c r="AMV65" s="288"/>
      <c r="AMW65" s="288"/>
      <c r="AMX65" s="288"/>
      <c r="AMY65" s="288"/>
      <c r="AMZ65" s="288"/>
      <c r="ANA65" s="124"/>
      <c r="ANB65" s="259"/>
      <c r="ANC65" s="259"/>
      <c r="AND65" s="259"/>
      <c r="ANE65" s="288"/>
      <c r="ANF65" s="288"/>
      <c r="ANG65" s="288"/>
      <c r="ANH65" s="288"/>
      <c r="ANI65" s="288"/>
      <c r="ANJ65" s="288"/>
      <c r="ANK65" s="288"/>
      <c r="ANL65" s="288"/>
      <c r="ANM65" s="288"/>
      <c r="ANN65" s="124"/>
      <c r="ANO65" s="259"/>
      <c r="ANP65" s="259"/>
      <c r="ANQ65" s="259"/>
      <c r="ANR65" s="288"/>
      <c r="ANS65" s="288"/>
      <c r="ANT65" s="288"/>
      <c r="ANU65" s="288"/>
      <c r="ANV65" s="288"/>
      <c r="ANW65" s="288"/>
      <c r="ANX65" s="288"/>
      <c r="ANY65" s="288"/>
      <c r="ANZ65" s="288"/>
      <c r="AOA65" s="124"/>
      <c r="AOB65" s="259"/>
      <c r="AOC65" s="259"/>
      <c r="AOD65" s="259"/>
      <c r="AOE65" s="288"/>
      <c r="AOF65" s="288"/>
      <c r="AOG65" s="288"/>
      <c r="AOH65" s="288"/>
      <c r="AOI65" s="288"/>
      <c r="AOJ65" s="288"/>
      <c r="AOK65" s="288"/>
      <c r="AOL65" s="288"/>
      <c r="AOM65" s="288"/>
      <c r="AON65" s="124"/>
      <c r="AOO65" s="259"/>
      <c r="AOP65" s="259"/>
      <c r="AOQ65" s="259"/>
      <c r="AOR65" s="288"/>
      <c r="AOS65" s="288"/>
      <c r="AOT65" s="288"/>
      <c r="AOU65" s="288"/>
      <c r="AOV65" s="288"/>
      <c r="AOW65" s="288"/>
      <c r="AOX65" s="288"/>
      <c r="AOY65" s="288"/>
      <c r="AOZ65" s="288"/>
      <c r="APA65" s="124"/>
      <c r="APB65" s="259"/>
      <c r="APC65" s="259"/>
      <c r="APD65" s="259"/>
      <c r="APE65" s="288"/>
      <c r="APF65" s="288"/>
      <c r="APG65" s="288"/>
      <c r="APH65" s="288"/>
      <c r="API65" s="288"/>
      <c r="APJ65" s="288"/>
      <c r="APK65" s="288"/>
      <c r="APL65" s="288"/>
      <c r="APM65" s="288"/>
      <c r="APN65" s="124"/>
      <c r="APO65" s="259"/>
      <c r="APP65" s="259"/>
      <c r="APQ65" s="259"/>
      <c r="APR65" s="288"/>
      <c r="APS65" s="288"/>
      <c r="APT65" s="288"/>
      <c r="APU65" s="288"/>
      <c r="APV65" s="288"/>
      <c r="APW65" s="288"/>
      <c r="APX65" s="288"/>
      <c r="APY65" s="288"/>
      <c r="APZ65" s="288"/>
      <c r="AQA65" s="124"/>
      <c r="AQB65" s="259"/>
      <c r="AQC65" s="259"/>
      <c r="AQD65" s="259"/>
      <c r="AQE65" s="288"/>
      <c r="AQF65" s="288"/>
      <c r="AQG65" s="288"/>
      <c r="AQH65" s="288"/>
      <c r="AQI65" s="288"/>
      <c r="AQJ65" s="288"/>
      <c r="AQK65" s="288"/>
      <c r="AQL65" s="288"/>
      <c r="AQM65" s="288"/>
      <c r="AQN65" s="124"/>
      <c r="AQO65" s="259"/>
      <c r="AQP65" s="259"/>
      <c r="AQQ65" s="259"/>
      <c r="AQR65" s="288"/>
      <c r="AQS65" s="288"/>
      <c r="AQT65" s="288"/>
      <c r="AQU65" s="288"/>
      <c r="AQV65" s="288"/>
      <c r="AQW65" s="288"/>
      <c r="AQX65" s="288"/>
      <c r="AQY65" s="288"/>
      <c r="AQZ65" s="288"/>
      <c r="ARA65" s="124"/>
      <c r="ARB65" s="259"/>
      <c r="ARC65" s="259"/>
      <c r="ARD65" s="259"/>
      <c r="ARE65" s="288"/>
      <c r="ARF65" s="288"/>
      <c r="ARG65" s="288"/>
      <c r="ARH65" s="288"/>
      <c r="ARI65" s="288"/>
      <c r="ARJ65" s="288"/>
      <c r="ARK65" s="288"/>
      <c r="ARL65" s="288"/>
      <c r="ARM65" s="288"/>
      <c r="ARN65" s="124"/>
      <c r="ARO65" s="259"/>
      <c r="ARP65" s="259"/>
      <c r="ARQ65" s="259"/>
      <c r="ARR65" s="288"/>
      <c r="ARS65" s="288"/>
      <c r="ART65" s="288"/>
      <c r="ARU65" s="288"/>
      <c r="ARV65" s="288"/>
      <c r="ARW65" s="288"/>
      <c r="ARX65" s="288"/>
      <c r="ARY65" s="288"/>
      <c r="ARZ65" s="288"/>
      <c r="ASA65" s="124"/>
      <c r="ASB65" s="259"/>
      <c r="ASC65" s="259"/>
      <c r="ASD65" s="259"/>
      <c r="ASE65" s="288"/>
      <c r="ASF65" s="288"/>
      <c r="ASG65" s="288"/>
      <c r="ASH65" s="288"/>
      <c r="ASI65" s="288"/>
      <c r="ASJ65" s="288"/>
      <c r="ASK65" s="288"/>
      <c r="ASL65" s="288"/>
      <c r="ASM65" s="288"/>
      <c r="ASN65" s="124"/>
      <c r="ASO65" s="259"/>
      <c r="ASP65" s="259"/>
      <c r="ASQ65" s="259"/>
      <c r="ASR65" s="288"/>
      <c r="ASS65" s="288"/>
      <c r="AST65" s="288"/>
      <c r="ASU65" s="288"/>
      <c r="ASV65" s="288"/>
      <c r="ASW65" s="288"/>
      <c r="ASX65" s="288"/>
      <c r="ASY65" s="288"/>
      <c r="ASZ65" s="288"/>
      <c r="ATA65" s="124"/>
      <c r="ATB65" s="259"/>
      <c r="ATC65" s="259"/>
      <c r="ATD65" s="259"/>
      <c r="ATE65" s="288"/>
      <c r="ATF65" s="288"/>
      <c r="ATG65" s="288"/>
      <c r="ATH65" s="288"/>
      <c r="ATI65" s="288"/>
      <c r="ATJ65" s="288"/>
      <c r="ATK65" s="288"/>
      <c r="ATL65" s="288"/>
      <c r="ATM65" s="288"/>
      <c r="ATN65" s="124"/>
      <c r="ATO65" s="259"/>
      <c r="ATP65" s="259"/>
      <c r="ATQ65" s="259"/>
      <c r="ATR65" s="288"/>
      <c r="ATS65" s="288"/>
      <c r="ATT65" s="288"/>
      <c r="ATU65" s="288"/>
      <c r="ATV65" s="288"/>
      <c r="ATW65" s="288"/>
      <c r="ATX65" s="288"/>
      <c r="ATY65" s="288"/>
      <c r="ATZ65" s="288"/>
      <c r="AUA65" s="124"/>
      <c r="AUB65" s="259"/>
      <c r="AUC65" s="259"/>
      <c r="AUD65" s="259"/>
      <c r="AUE65" s="288"/>
      <c r="AUF65" s="288"/>
      <c r="AUG65" s="288"/>
      <c r="AUH65" s="288"/>
      <c r="AUI65" s="288"/>
      <c r="AUJ65" s="288"/>
      <c r="AUK65" s="288"/>
      <c r="AUL65" s="288"/>
      <c r="AUM65" s="288"/>
      <c r="AUN65" s="124"/>
      <c r="AUO65" s="259"/>
      <c r="AUP65" s="259"/>
      <c r="AUQ65" s="259"/>
      <c r="AUR65" s="288"/>
      <c r="AUS65" s="288"/>
      <c r="AUT65" s="288"/>
      <c r="AUU65" s="288"/>
      <c r="AUV65" s="288"/>
      <c r="AUW65" s="288"/>
      <c r="AUX65" s="288"/>
      <c r="AUY65" s="288"/>
      <c r="AUZ65" s="288"/>
      <c r="AVA65" s="124"/>
      <c r="AVB65" s="259"/>
      <c r="AVC65" s="259"/>
      <c r="AVD65" s="259"/>
      <c r="AVE65" s="288"/>
      <c r="AVF65" s="288"/>
      <c r="AVG65" s="288"/>
      <c r="AVH65" s="288"/>
      <c r="AVI65" s="288"/>
      <c r="AVJ65" s="288"/>
      <c r="AVK65" s="288"/>
      <c r="AVL65" s="288"/>
      <c r="AVM65" s="288"/>
      <c r="AVN65" s="124"/>
      <c r="AVO65" s="259"/>
      <c r="AVP65" s="259"/>
      <c r="AVQ65" s="259"/>
      <c r="AVR65" s="288"/>
      <c r="AVS65" s="288"/>
      <c r="AVT65" s="288"/>
      <c r="AVU65" s="288"/>
      <c r="AVV65" s="288"/>
      <c r="AVW65" s="288"/>
      <c r="AVX65" s="288"/>
      <c r="AVY65" s="288"/>
      <c r="AVZ65" s="288"/>
      <c r="AWA65" s="124"/>
      <c r="AWB65" s="259"/>
      <c r="AWC65" s="259"/>
      <c r="AWD65" s="259"/>
      <c r="AWE65" s="288"/>
      <c r="AWF65" s="288"/>
      <c r="AWG65" s="288"/>
      <c r="AWH65" s="288"/>
      <c r="AWI65" s="288"/>
      <c r="AWJ65" s="288"/>
      <c r="AWK65" s="288"/>
      <c r="AWL65" s="288"/>
      <c r="AWM65" s="288"/>
      <c r="AWN65" s="124"/>
      <c r="AWO65" s="259"/>
      <c r="AWP65" s="259"/>
      <c r="AWQ65" s="259"/>
      <c r="AWR65" s="288"/>
      <c r="AWS65" s="288"/>
      <c r="AWT65" s="288"/>
      <c r="AWU65" s="288"/>
      <c r="AWV65" s="288"/>
      <c r="AWW65" s="288"/>
      <c r="AWX65" s="288"/>
      <c r="AWY65" s="288"/>
      <c r="AWZ65" s="288"/>
      <c r="AXA65" s="124"/>
      <c r="AXB65" s="259"/>
      <c r="AXC65" s="259"/>
      <c r="AXD65" s="259"/>
      <c r="AXE65" s="288"/>
      <c r="AXF65" s="288"/>
      <c r="AXG65" s="288"/>
      <c r="AXH65" s="288"/>
      <c r="AXI65" s="288"/>
      <c r="AXJ65" s="288"/>
      <c r="AXK65" s="288"/>
      <c r="AXL65" s="288"/>
      <c r="AXM65" s="288"/>
      <c r="AXN65" s="124"/>
      <c r="AXO65" s="259"/>
      <c r="AXP65" s="259"/>
      <c r="AXQ65" s="259"/>
      <c r="AXR65" s="288"/>
      <c r="AXS65" s="288"/>
      <c r="AXT65" s="288"/>
      <c r="AXU65" s="288"/>
      <c r="AXV65" s="288"/>
      <c r="AXW65" s="288"/>
      <c r="AXX65" s="288"/>
      <c r="AXY65" s="288"/>
      <c r="AXZ65" s="288"/>
      <c r="AYA65" s="124"/>
      <c r="AYB65" s="259"/>
      <c r="AYC65" s="259"/>
      <c r="AYD65" s="259"/>
      <c r="AYE65" s="288"/>
      <c r="AYF65" s="288"/>
      <c r="AYG65" s="288"/>
      <c r="AYH65" s="288"/>
      <c r="AYI65" s="288"/>
      <c r="AYJ65" s="288"/>
      <c r="AYK65" s="288"/>
      <c r="AYL65" s="288"/>
      <c r="AYM65" s="288"/>
      <c r="AYN65" s="124"/>
      <c r="AYO65" s="259"/>
      <c r="AYP65" s="259"/>
      <c r="AYQ65" s="259"/>
      <c r="AYR65" s="288"/>
      <c r="AYS65" s="288"/>
      <c r="AYT65" s="288"/>
      <c r="AYU65" s="288"/>
      <c r="AYV65" s="288"/>
      <c r="AYW65" s="288"/>
      <c r="AYX65" s="288"/>
      <c r="AYY65" s="288"/>
      <c r="AYZ65" s="288"/>
      <c r="AZA65" s="124"/>
      <c r="AZB65" s="259"/>
      <c r="AZC65" s="259"/>
      <c r="AZD65" s="259"/>
      <c r="AZE65" s="288"/>
      <c r="AZF65" s="288"/>
      <c r="AZG65" s="288"/>
      <c r="AZH65" s="288"/>
      <c r="AZI65" s="288"/>
      <c r="AZJ65" s="288"/>
      <c r="AZK65" s="288"/>
      <c r="AZL65" s="288"/>
      <c r="AZM65" s="288"/>
      <c r="AZN65" s="124"/>
      <c r="AZO65" s="259"/>
      <c r="AZP65" s="259"/>
      <c r="AZQ65" s="259"/>
      <c r="AZR65" s="288"/>
      <c r="AZS65" s="288"/>
      <c r="AZT65" s="288"/>
      <c r="AZU65" s="288"/>
      <c r="AZV65" s="288"/>
      <c r="AZW65" s="288"/>
      <c r="AZX65" s="288"/>
      <c r="AZY65" s="288"/>
      <c r="AZZ65" s="288"/>
      <c r="BAA65" s="124"/>
      <c r="BAB65" s="259"/>
      <c r="BAC65" s="259"/>
      <c r="BAD65" s="259"/>
      <c r="BAE65" s="288"/>
      <c r="BAF65" s="288"/>
      <c r="BAG65" s="288"/>
      <c r="BAH65" s="288"/>
      <c r="BAI65" s="288"/>
      <c r="BAJ65" s="288"/>
      <c r="BAK65" s="288"/>
      <c r="BAL65" s="288"/>
      <c r="BAM65" s="288"/>
      <c r="BAN65" s="124"/>
      <c r="BAO65" s="259"/>
      <c r="BAP65" s="259"/>
      <c r="BAQ65" s="259"/>
      <c r="BAR65" s="288"/>
      <c r="BAS65" s="288"/>
      <c r="BAT65" s="288"/>
      <c r="BAU65" s="288"/>
      <c r="BAV65" s="288"/>
      <c r="BAW65" s="288"/>
      <c r="BAX65" s="288"/>
      <c r="BAY65" s="288"/>
      <c r="BAZ65" s="288"/>
      <c r="BBA65" s="124"/>
      <c r="BBB65" s="259"/>
      <c r="BBC65" s="259"/>
      <c r="BBD65" s="259"/>
      <c r="BBE65" s="288"/>
      <c r="BBF65" s="288"/>
      <c r="BBG65" s="288"/>
      <c r="BBH65" s="288"/>
      <c r="BBI65" s="288"/>
      <c r="BBJ65" s="288"/>
      <c r="BBK65" s="288"/>
      <c r="BBL65" s="288"/>
      <c r="BBM65" s="288"/>
      <c r="BBN65" s="124"/>
      <c r="BBO65" s="259"/>
      <c r="BBP65" s="259"/>
      <c r="BBQ65" s="259"/>
      <c r="BBR65" s="288"/>
      <c r="BBS65" s="288"/>
      <c r="BBT65" s="288"/>
      <c r="BBU65" s="288"/>
      <c r="BBV65" s="288"/>
      <c r="BBW65" s="288"/>
      <c r="BBX65" s="288"/>
      <c r="BBY65" s="288"/>
      <c r="BBZ65" s="288"/>
      <c r="BCA65" s="124"/>
      <c r="BCB65" s="259"/>
      <c r="BCC65" s="259"/>
      <c r="BCD65" s="259"/>
      <c r="BCE65" s="288"/>
      <c r="BCF65" s="288"/>
      <c r="BCG65" s="288"/>
      <c r="BCH65" s="288"/>
      <c r="BCI65" s="288"/>
      <c r="BCJ65" s="288"/>
      <c r="BCK65" s="288"/>
      <c r="BCL65" s="288"/>
      <c r="BCM65" s="288"/>
      <c r="BCN65" s="124"/>
      <c r="BCO65" s="259"/>
      <c r="BCP65" s="259"/>
      <c r="BCQ65" s="259"/>
      <c r="BCR65" s="288"/>
      <c r="BCS65" s="288"/>
      <c r="BCT65" s="288"/>
      <c r="BCU65" s="288"/>
      <c r="BCV65" s="288"/>
      <c r="BCW65" s="288"/>
      <c r="BCX65" s="288"/>
      <c r="BCY65" s="288"/>
      <c r="BCZ65" s="288"/>
      <c r="BDA65" s="124"/>
      <c r="BDB65" s="259"/>
      <c r="BDC65" s="259"/>
      <c r="BDD65" s="259"/>
      <c r="BDE65" s="288"/>
      <c r="BDF65" s="288"/>
      <c r="BDG65" s="288"/>
      <c r="BDH65" s="288"/>
      <c r="BDI65" s="288"/>
      <c r="BDJ65" s="288"/>
      <c r="BDK65" s="288"/>
      <c r="BDL65" s="288"/>
      <c r="BDM65" s="288"/>
      <c r="BDN65" s="124"/>
      <c r="BDO65" s="259"/>
      <c r="BDP65" s="259"/>
      <c r="BDQ65" s="259"/>
      <c r="BDR65" s="288"/>
      <c r="BDS65" s="288"/>
      <c r="BDT65" s="288"/>
      <c r="BDU65" s="288"/>
      <c r="BDV65" s="288"/>
      <c r="BDW65" s="288"/>
      <c r="BDX65" s="288"/>
      <c r="BDY65" s="288"/>
      <c r="BDZ65" s="288"/>
      <c r="BEA65" s="124"/>
      <c r="BEB65" s="259"/>
      <c r="BEC65" s="259"/>
      <c r="BED65" s="259"/>
      <c r="BEE65" s="288"/>
      <c r="BEF65" s="288"/>
      <c r="BEG65" s="288"/>
      <c r="BEH65" s="288"/>
      <c r="BEI65" s="288"/>
      <c r="BEJ65" s="288"/>
      <c r="BEK65" s="288"/>
      <c r="BEL65" s="288"/>
      <c r="BEM65" s="288"/>
      <c r="BEN65" s="124"/>
      <c r="BEO65" s="259"/>
      <c r="BEP65" s="259"/>
      <c r="BEQ65" s="259"/>
      <c r="BER65" s="288"/>
      <c r="BES65" s="288"/>
      <c r="BET65" s="288"/>
      <c r="BEU65" s="288"/>
      <c r="BEV65" s="288"/>
      <c r="BEW65" s="288"/>
      <c r="BEX65" s="288"/>
      <c r="BEY65" s="288"/>
      <c r="BEZ65" s="288"/>
      <c r="BFA65" s="124"/>
      <c r="BFB65" s="259"/>
      <c r="BFC65" s="259"/>
      <c r="BFD65" s="259"/>
      <c r="BFE65" s="288"/>
      <c r="BFF65" s="288"/>
      <c r="BFG65" s="288"/>
      <c r="BFH65" s="288"/>
      <c r="BFI65" s="288"/>
      <c r="BFJ65" s="288"/>
      <c r="BFK65" s="288"/>
      <c r="BFL65" s="288"/>
      <c r="BFM65" s="288"/>
      <c r="BFN65" s="124"/>
      <c r="BFO65" s="259"/>
      <c r="BFP65" s="259"/>
      <c r="BFQ65" s="259"/>
      <c r="BFR65" s="288"/>
      <c r="BFS65" s="288"/>
      <c r="BFT65" s="288"/>
      <c r="BFU65" s="288"/>
      <c r="BFV65" s="288"/>
      <c r="BFW65" s="288"/>
      <c r="BFX65" s="288"/>
      <c r="BFY65" s="288"/>
      <c r="BFZ65" s="288"/>
      <c r="BGA65" s="124"/>
      <c r="BGB65" s="259"/>
      <c r="BGC65" s="259"/>
      <c r="BGD65" s="259"/>
      <c r="BGE65" s="288"/>
      <c r="BGF65" s="288"/>
      <c r="BGG65" s="288"/>
      <c r="BGH65" s="288"/>
      <c r="BGI65" s="288"/>
      <c r="BGJ65" s="288"/>
      <c r="BGK65" s="288"/>
      <c r="BGL65" s="288"/>
      <c r="BGM65" s="288"/>
      <c r="BGN65" s="124"/>
      <c r="BGO65" s="259"/>
      <c r="BGP65" s="259"/>
      <c r="BGQ65" s="259"/>
      <c r="BGR65" s="288"/>
      <c r="BGS65" s="288"/>
      <c r="BGT65" s="288"/>
      <c r="BGU65" s="288"/>
      <c r="BGV65" s="288"/>
      <c r="BGW65" s="288"/>
      <c r="BGX65" s="288"/>
      <c r="BGY65" s="288"/>
      <c r="BGZ65" s="288"/>
      <c r="BHA65" s="124"/>
      <c r="BHB65" s="259"/>
      <c r="BHC65" s="259"/>
      <c r="BHD65" s="259"/>
      <c r="BHE65" s="288"/>
      <c r="BHF65" s="288"/>
      <c r="BHG65" s="288"/>
      <c r="BHH65" s="288"/>
      <c r="BHI65" s="288"/>
      <c r="BHJ65" s="288"/>
      <c r="BHK65" s="288"/>
      <c r="BHL65" s="288"/>
      <c r="BHM65" s="288"/>
      <c r="BHN65" s="124"/>
      <c r="BHO65" s="259"/>
      <c r="BHP65" s="259"/>
      <c r="BHQ65" s="259"/>
      <c r="BHR65" s="288"/>
      <c r="BHS65" s="288"/>
      <c r="BHT65" s="288"/>
      <c r="BHU65" s="288"/>
      <c r="BHV65" s="288"/>
      <c r="BHW65" s="288"/>
      <c r="BHX65" s="288"/>
      <c r="BHY65" s="288"/>
      <c r="BHZ65" s="288"/>
      <c r="BIA65" s="124"/>
      <c r="BIB65" s="259"/>
      <c r="BIC65" s="259"/>
      <c r="BID65" s="259"/>
      <c r="BIE65" s="288"/>
      <c r="BIF65" s="288"/>
      <c r="BIG65" s="288"/>
      <c r="BIH65" s="288"/>
      <c r="BII65" s="288"/>
      <c r="BIJ65" s="288"/>
      <c r="BIK65" s="288"/>
      <c r="BIL65" s="288"/>
      <c r="BIM65" s="288"/>
      <c r="BIN65" s="124"/>
      <c r="BIO65" s="259"/>
      <c r="BIP65" s="259"/>
      <c r="BIQ65" s="259"/>
      <c r="BIR65" s="288"/>
      <c r="BIS65" s="288"/>
      <c r="BIT65" s="288"/>
      <c r="BIU65" s="288"/>
      <c r="BIV65" s="288"/>
      <c r="BIW65" s="288"/>
      <c r="BIX65" s="288"/>
      <c r="BIY65" s="288"/>
      <c r="BIZ65" s="288"/>
      <c r="BJA65" s="124"/>
      <c r="BJB65" s="259"/>
      <c r="BJC65" s="259"/>
      <c r="BJD65" s="259"/>
      <c r="BJE65" s="288"/>
      <c r="BJF65" s="288"/>
      <c r="BJG65" s="288"/>
      <c r="BJH65" s="288"/>
      <c r="BJI65" s="288"/>
      <c r="BJJ65" s="288"/>
      <c r="BJK65" s="288"/>
      <c r="BJL65" s="288"/>
      <c r="BJM65" s="288"/>
      <c r="BJN65" s="124"/>
      <c r="BJO65" s="259"/>
      <c r="BJP65" s="259"/>
      <c r="BJQ65" s="259"/>
      <c r="BJR65" s="288"/>
      <c r="BJS65" s="288"/>
      <c r="BJT65" s="288"/>
      <c r="BJU65" s="288"/>
      <c r="BJV65" s="288"/>
      <c r="BJW65" s="288"/>
      <c r="BJX65" s="288"/>
      <c r="BJY65" s="288"/>
      <c r="BJZ65" s="288"/>
      <c r="BKA65" s="124"/>
      <c r="BKB65" s="259"/>
      <c r="BKC65" s="259"/>
      <c r="BKD65" s="259"/>
      <c r="BKE65" s="288"/>
      <c r="BKF65" s="288"/>
      <c r="BKG65" s="288"/>
      <c r="BKH65" s="288"/>
      <c r="BKI65" s="288"/>
      <c r="BKJ65" s="288"/>
      <c r="BKK65" s="288"/>
      <c r="BKL65" s="288"/>
      <c r="BKM65" s="288"/>
      <c r="BKN65" s="124"/>
      <c r="BKO65" s="259"/>
      <c r="BKP65" s="259"/>
      <c r="BKQ65" s="259"/>
      <c r="BKR65" s="288"/>
      <c r="BKS65" s="288"/>
      <c r="BKT65" s="288"/>
      <c r="BKU65" s="288"/>
      <c r="BKV65" s="288"/>
      <c r="BKW65" s="288"/>
      <c r="BKX65" s="288"/>
      <c r="BKY65" s="288"/>
      <c r="BKZ65" s="288"/>
      <c r="BLA65" s="124"/>
      <c r="BLB65" s="259"/>
      <c r="BLC65" s="259"/>
      <c r="BLD65" s="259"/>
      <c r="BLE65" s="288"/>
      <c r="BLF65" s="288"/>
      <c r="BLG65" s="288"/>
      <c r="BLH65" s="288"/>
      <c r="BLI65" s="288"/>
      <c r="BLJ65" s="288"/>
      <c r="BLK65" s="288"/>
      <c r="BLL65" s="288"/>
      <c r="BLM65" s="288"/>
      <c r="BLN65" s="124"/>
      <c r="BLO65" s="259"/>
      <c r="BLP65" s="259"/>
      <c r="BLQ65" s="259"/>
      <c r="BLR65" s="288"/>
      <c r="BLS65" s="288"/>
      <c r="BLT65" s="288"/>
      <c r="BLU65" s="288"/>
      <c r="BLV65" s="288"/>
      <c r="BLW65" s="288"/>
      <c r="BLX65" s="288"/>
      <c r="BLY65" s="288"/>
      <c r="BLZ65" s="288"/>
      <c r="BMA65" s="124"/>
      <c r="BMB65" s="259"/>
      <c r="BMC65" s="259"/>
      <c r="BMD65" s="259"/>
      <c r="BME65" s="288"/>
      <c r="BMF65" s="288"/>
      <c r="BMG65" s="288"/>
      <c r="BMH65" s="288"/>
      <c r="BMI65" s="288"/>
      <c r="BMJ65" s="288"/>
      <c r="BMK65" s="288"/>
      <c r="BML65" s="288"/>
      <c r="BMM65" s="288"/>
      <c r="BMN65" s="124"/>
      <c r="BMO65" s="259"/>
      <c r="BMP65" s="259"/>
      <c r="BMQ65" s="259"/>
      <c r="BMR65" s="288"/>
      <c r="BMS65" s="288"/>
      <c r="BMT65" s="288"/>
      <c r="BMU65" s="288"/>
      <c r="BMV65" s="288"/>
      <c r="BMW65" s="288"/>
      <c r="BMX65" s="288"/>
      <c r="BMY65" s="288"/>
      <c r="BMZ65" s="288"/>
      <c r="BNA65" s="124"/>
      <c r="BNB65" s="259"/>
      <c r="BNC65" s="259"/>
      <c r="BND65" s="259"/>
      <c r="BNE65" s="288"/>
      <c r="BNF65" s="288"/>
      <c r="BNG65" s="288"/>
      <c r="BNH65" s="288"/>
      <c r="BNI65" s="288"/>
      <c r="BNJ65" s="288"/>
      <c r="BNK65" s="288"/>
      <c r="BNL65" s="288"/>
      <c r="BNM65" s="288"/>
      <c r="BNN65" s="124"/>
      <c r="BNO65" s="259"/>
      <c r="BNP65" s="259"/>
      <c r="BNQ65" s="259"/>
      <c r="BNR65" s="288"/>
      <c r="BNS65" s="288"/>
      <c r="BNT65" s="288"/>
      <c r="BNU65" s="288"/>
      <c r="BNV65" s="288"/>
      <c r="BNW65" s="288"/>
      <c r="BNX65" s="288"/>
      <c r="BNY65" s="288"/>
      <c r="BNZ65" s="288"/>
      <c r="BOA65" s="124"/>
      <c r="BOB65" s="259"/>
      <c r="BOC65" s="259"/>
      <c r="BOD65" s="259"/>
      <c r="BOE65" s="288"/>
      <c r="BOF65" s="288"/>
      <c r="BOG65" s="288"/>
      <c r="BOH65" s="288"/>
      <c r="BOI65" s="288"/>
      <c r="BOJ65" s="288"/>
      <c r="BOK65" s="288"/>
      <c r="BOL65" s="288"/>
      <c r="BOM65" s="288"/>
      <c r="BON65" s="124"/>
      <c r="BOO65" s="259"/>
      <c r="BOP65" s="259"/>
      <c r="BOQ65" s="259"/>
      <c r="BOR65" s="288"/>
      <c r="BOS65" s="288"/>
      <c r="BOT65" s="288"/>
      <c r="BOU65" s="288"/>
      <c r="BOV65" s="288"/>
      <c r="BOW65" s="288"/>
      <c r="BOX65" s="288"/>
      <c r="BOY65" s="288"/>
      <c r="BOZ65" s="288"/>
      <c r="BPA65" s="124"/>
      <c r="BPB65" s="259"/>
      <c r="BPC65" s="259"/>
      <c r="BPD65" s="259"/>
      <c r="BPE65" s="288"/>
      <c r="BPF65" s="288"/>
      <c r="BPG65" s="288"/>
      <c r="BPH65" s="288"/>
      <c r="BPI65" s="288"/>
      <c r="BPJ65" s="288"/>
      <c r="BPK65" s="288"/>
      <c r="BPL65" s="288"/>
      <c r="BPM65" s="288"/>
      <c r="BPN65" s="124"/>
      <c r="BPO65" s="259"/>
      <c r="BPP65" s="259"/>
      <c r="BPQ65" s="259"/>
      <c r="BPR65" s="288"/>
      <c r="BPS65" s="288"/>
      <c r="BPT65" s="288"/>
      <c r="BPU65" s="288"/>
      <c r="BPV65" s="288"/>
      <c r="BPW65" s="288"/>
      <c r="BPX65" s="288"/>
      <c r="BPY65" s="288"/>
      <c r="BPZ65" s="288"/>
      <c r="BQA65" s="124"/>
      <c r="BQB65" s="259"/>
      <c r="BQC65" s="259"/>
      <c r="BQD65" s="259"/>
      <c r="BQE65" s="288"/>
      <c r="BQF65" s="288"/>
      <c r="BQG65" s="288"/>
      <c r="BQH65" s="288"/>
      <c r="BQI65" s="288"/>
      <c r="BQJ65" s="288"/>
      <c r="BQK65" s="288"/>
      <c r="BQL65" s="288"/>
      <c r="BQM65" s="288"/>
      <c r="BQN65" s="124"/>
      <c r="BQO65" s="259"/>
      <c r="BQP65" s="259"/>
      <c r="BQQ65" s="259"/>
      <c r="BQR65" s="288"/>
      <c r="BQS65" s="288"/>
      <c r="BQT65" s="288"/>
      <c r="BQU65" s="288"/>
      <c r="BQV65" s="288"/>
      <c r="BQW65" s="288"/>
      <c r="BQX65" s="288"/>
      <c r="BQY65" s="288"/>
      <c r="BQZ65" s="288"/>
      <c r="BRA65" s="124"/>
      <c r="BRB65" s="259"/>
      <c r="BRC65" s="259"/>
      <c r="BRD65" s="259"/>
      <c r="BRE65" s="288"/>
      <c r="BRF65" s="288"/>
      <c r="BRG65" s="288"/>
      <c r="BRH65" s="288"/>
      <c r="BRI65" s="288"/>
      <c r="BRJ65" s="288"/>
      <c r="BRK65" s="288"/>
      <c r="BRL65" s="288"/>
      <c r="BRM65" s="288"/>
      <c r="BRN65" s="124"/>
      <c r="BRO65" s="259"/>
      <c r="BRP65" s="259"/>
      <c r="BRQ65" s="259"/>
      <c r="BRR65" s="288"/>
      <c r="BRS65" s="288"/>
      <c r="BRT65" s="288"/>
      <c r="BRU65" s="288"/>
      <c r="BRV65" s="288"/>
      <c r="BRW65" s="288"/>
      <c r="BRX65" s="288"/>
      <c r="BRY65" s="288"/>
      <c r="BRZ65" s="288"/>
      <c r="BSA65" s="124"/>
      <c r="BSB65" s="259"/>
      <c r="BSC65" s="259"/>
      <c r="BSD65" s="259"/>
      <c r="BSE65" s="288"/>
      <c r="BSF65" s="288"/>
      <c r="BSG65" s="288"/>
      <c r="BSH65" s="288"/>
      <c r="BSI65" s="288"/>
      <c r="BSJ65" s="288"/>
      <c r="BSK65" s="288"/>
      <c r="BSL65" s="288"/>
      <c r="BSM65" s="288"/>
      <c r="BSN65" s="124"/>
      <c r="BSO65" s="259"/>
      <c r="BSP65" s="259"/>
      <c r="BSQ65" s="259"/>
      <c r="BSR65" s="288"/>
      <c r="BSS65" s="288"/>
      <c r="BST65" s="288"/>
      <c r="BSU65" s="288"/>
      <c r="BSV65" s="288"/>
      <c r="BSW65" s="288"/>
      <c r="BSX65" s="288"/>
      <c r="BSY65" s="288"/>
      <c r="BSZ65" s="288"/>
      <c r="BTA65" s="124"/>
      <c r="BTB65" s="259"/>
      <c r="BTC65" s="259"/>
      <c r="BTD65" s="259"/>
      <c r="BTE65" s="288"/>
      <c r="BTF65" s="288"/>
      <c r="BTG65" s="288"/>
      <c r="BTH65" s="288"/>
      <c r="BTI65" s="288"/>
      <c r="BTJ65" s="288"/>
      <c r="BTK65" s="288"/>
      <c r="BTL65" s="288"/>
      <c r="BTM65" s="288"/>
      <c r="BTN65" s="124"/>
      <c r="BTO65" s="259"/>
      <c r="BTP65" s="259"/>
      <c r="BTQ65" s="259"/>
      <c r="BTR65" s="288"/>
      <c r="BTS65" s="288"/>
      <c r="BTT65" s="288"/>
      <c r="BTU65" s="288"/>
      <c r="BTV65" s="288"/>
      <c r="BTW65" s="288"/>
      <c r="BTX65" s="288"/>
      <c r="BTY65" s="288"/>
      <c r="BTZ65" s="288"/>
      <c r="BUA65" s="124"/>
      <c r="BUB65" s="259"/>
      <c r="BUC65" s="259"/>
      <c r="BUD65" s="259"/>
      <c r="BUE65" s="288"/>
      <c r="BUF65" s="288"/>
      <c r="BUG65" s="288"/>
      <c r="BUH65" s="288"/>
      <c r="BUI65" s="288"/>
      <c r="BUJ65" s="288"/>
      <c r="BUK65" s="288"/>
      <c r="BUL65" s="288"/>
      <c r="BUM65" s="288"/>
      <c r="BUN65" s="124"/>
      <c r="BUO65" s="259"/>
      <c r="BUP65" s="259"/>
      <c r="BUQ65" s="259"/>
      <c r="BUR65" s="288"/>
      <c r="BUS65" s="288"/>
      <c r="BUT65" s="288"/>
      <c r="BUU65" s="288"/>
      <c r="BUV65" s="288"/>
      <c r="BUW65" s="288"/>
      <c r="BUX65" s="288"/>
      <c r="BUY65" s="288"/>
      <c r="BUZ65" s="288"/>
      <c r="BVA65" s="124"/>
      <c r="BVB65" s="259"/>
      <c r="BVC65" s="259"/>
      <c r="BVD65" s="259"/>
      <c r="BVE65" s="288"/>
      <c r="BVF65" s="288"/>
      <c r="BVG65" s="288"/>
      <c r="BVH65" s="288"/>
      <c r="BVI65" s="288"/>
      <c r="BVJ65" s="288"/>
      <c r="BVK65" s="288"/>
      <c r="BVL65" s="288"/>
      <c r="BVM65" s="288"/>
      <c r="BVN65" s="124"/>
      <c r="BVO65" s="259"/>
      <c r="BVP65" s="259"/>
      <c r="BVQ65" s="259"/>
      <c r="BVR65" s="288"/>
      <c r="BVS65" s="288"/>
      <c r="BVT65" s="288"/>
      <c r="BVU65" s="288"/>
      <c r="BVV65" s="288"/>
      <c r="BVW65" s="288"/>
      <c r="BVX65" s="288"/>
      <c r="BVY65" s="288"/>
      <c r="BVZ65" s="288"/>
      <c r="BWA65" s="124"/>
      <c r="BWB65" s="259"/>
      <c r="BWC65" s="259"/>
      <c r="BWD65" s="259"/>
      <c r="BWE65" s="288"/>
      <c r="BWF65" s="288"/>
      <c r="BWG65" s="288"/>
      <c r="BWH65" s="288"/>
      <c r="BWI65" s="288"/>
      <c r="BWJ65" s="288"/>
      <c r="BWK65" s="288"/>
      <c r="BWL65" s="288"/>
      <c r="BWM65" s="288"/>
      <c r="BWN65" s="124"/>
      <c r="BWO65" s="259"/>
      <c r="BWP65" s="259"/>
      <c r="BWQ65" s="259"/>
      <c r="BWR65" s="288"/>
      <c r="BWS65" s="288"/>
      <c r="BWT65" s="288"/>
      <c r="BWU65" s="288"/>
      <c r="BWV65" s="288"/>
      <c r="BWW65" s="288"/>
      <c r="BWX65" s="288"/>
      <c r="BWY65" s="288"/>
      <c r="BWZ65" s="288"/>
      <c r="BXA65" s="124"/>
      <c r="BXB65" s="259"/>
      <c r="BXC65" s="259"/>
      <c r="BXD65" s="259"/>
      <c r="BXE65" s="288"/>
      <c r="BXF65" s="288"/>
      <c r="BXG65" s="288"/>
      <c r="BXH65" s="288"/>
      <c r="BXI65" s="288"/>
      <c r="BXJ65" s="288"/>
      <c r="BXK65" s="288"/>
      <c r="BXL65" s="288"/>
      <c r="BXM65" s="288"/>
      <c r="BXN65" s="124"/>
      <c r="BXO65" s="259"/>
      <c r="BXP65" s="259"/>
      <c r="BXQ65" s="259"/>
      <c r="BXR65" s="288"/>
      <c r="BXS65" s="288"/>
      <c r="BXT65" s="288"/>
      <c r="BXU65" s="288"/>
      <c r="BXV65" s="288"/>
      <c r="BXW65" s="288"/>
      <c r="BXX65" s="288"/>
      <c r="BXY65" s="288"/>
      <c r="BXZ65" s="288"/>
      <c r="BYA65" s="124"/>
      <c r="BYB65" s="259"/>
      <c r="BYC65" s="259"/>
      <c r="BYD65" s="259"/>
      <c r="BYE65" s="288"/>
      <c r="BYF65" s="288"/>
      <c r="BYG65" s="288"/>
      <c r="BYH65" s="288"/>
      <c r="BYI65" s="288"/>
      <c r="BYJ65" s="288"/>
      <c r="BYK65" s="288"/>
      <c r="BYL65" s="288"/>
      <c r="BYM65" s="288"/>
      <c r="BYN65" s="124"/>
      <c r="BYO65" s="259"/>
      <c r="BYP65" s="259"/>
      <c r="BYQ65" s="259"/>
      <c r="BYR65" s="288"/>
      <c r="BYS65" s="288"/>
      <c r="BYT65" s="288"/>
      <c r="BYU65" s="288"/>
      <c r="BYV65" s="288"/>
      <c r="BYW65" s="288"/>
      <c r="BYX65" s="288"/>
      <c r="BYY65" s="288"/>
      <c r="BYZ65" s="288"/>
      <c r="BZA65" s="124"/>
      <c r="BZB65" s="259"/>
      <c r="BZC65" s="259"/>
      <c r="BZD65" s="259"/>
      <c r="BZE65" s="288"/>
      <c r="BZF65" s="288"/>
      <c r="BZG65" s="288"/>
      <c r="BZH65" s="288"/>
      <c r="BZI65" s="288"/>
      <c r="BZJ65" s="288"/>
      <c r="BZK65" s="288"/>
      <c r="BZL65" s="288"/>
      <c r="BZM65" s="288"/>
      <c r="BZN65" s="124"/>
      <c r="BZO65" s="259"/>
      <c r="BZP65" s="259"/>
      <c r="BZQ65" s="259"/>
      <c r="BZR65" s="288"/>
      <c r="BZS65" s="288"/>
      <c r="BZT65" s="288"/>
      <c r="BZU65" s="288"/>
      <c r="BZV65" s="288"/>
      <c r="BZW65" s="288"/>
      <c r="BZX65" s="288"/>
      <c r="BZY65" s="288"/>
      <c r="BZZ65" s="288"/>
      <c r="CAA65" s="124"/>
      <c r="CAB65" s="259"/>
      <c r="CAC65" s="259"/>
      <c r="CAD65" s="259"/>
      <c r="CAE65" s="288"/>
      <c r="CAF65" s="288"/>
      <c r="CAG65" s="288"/>
      <c r="CAH65" s="288"/>
      <c r="CAI65" s="288"/>
      <c r="CAJ65" s="288"/>
      <c r="CAK65" s="288"/>
      <c r="CAL65" s="288"/>
      <c r="CAM65" s="288"/>
      <c r="CAN65" s="124"/>
      <c r="CAO65" s="259"/>
      <c r="CAP65" s="259"/>
      <c r="CAQ65" s="259"/>
      <c r="CAR65" s="288"/>
      <c r="CAS65" s="288"/>
      <c r="CAT65" s="288"/>
      <c r="CAU65" s="288"/>
      <c r="CAV65" s="288"/>
      <c r="CAW65" s="288"/>
      <c r="CAX65" s="288"/>
      <c r="CAY65" s="288"/>
      <c r="CAZ65" s="288"/>
      <c r="CBA65" s="124"/>
      <c r="CBB65" s="259"/>
      <c r="CBC65" s="259"/>
      <c r="CBD65" s="259"/>
      <c r="CBE65" s="288"/>
      <c r="CBF65" s="288"/>
      <c r="CBG65" s="288"/>
      <c r="CBH65" s="288"/>
      <c r="CBI65" s="288"/>
      <c r="CBJ65" s="288"/>
      <c r="CBK65" s="288"/>
      <c r="CBL65" s="288"/>
      <c r="CBM65" s="288"/>
      <c r="CBN65" s="124"/>
      <c r="CBO65" s="259"/>
      <c r="CBP65" s="259"/>
      <c r="CBQ65" s="259"/>
      <c r="CBR65" s="288"/>
      <c r="CBS65" s="288"/>
      <c r="CBT65" s="288"/>
      <c r="CBU65" s="288"/>
      <c r="CBV65" s="288"/>
      <c r="CBW65" s="288"/>
      <c r="CBX65" s="288"/>
      <c r="CBY65" s="288"/>
      <c r="CBZ65" s="288"/>
      <c r="CCA65" s="124"/>
      <c r="CCB65" s="259"/>
      <c r="CCC65" s="259"/>
      <c r="CCD65" s="259"/>
      <c r="CCE65" s="288"/>
      <c r="CCF65" s="288"/>
      <c r="CCG65" s="288"/>
      <c r="CCH65" s="288"/>
      <c r="CCI65" s="288"/>
      <c r="CCJ65" s="288"/>
      <c r="CCK65" s="288"/>
      <c r="CCL65" s="288"/>
      <c r="CCM65" s="288"/>
      <c r="CCN65" s="124"/>
      <c r="CCO65" s="259"/>
      <c r="CCP65" s="259"/>
      <c r="CCQ65" s="259"/>
      <c r="CCR65" s="288"/>
      <c r="CCS65" s="288"/>
      <c r="CCT65" s="288"/>
      <c r="CCU65" s="288"/>
      <c r="CCV65" s="288"/>
      <c r="CCW65" s="288"/>
      <c r="CCX65" s="288"/>
      <c r="CCY65" s="288"/>
      <c r="CCZ65" s="288"/>
      <c r="CDA65" s="124"/>
      <c r="CDB65" s="259"/>
      <c r="CDC65" s="259"/>
      <c r="CDD65" s="259"/>
      <c r="CDE65" s="288"/>
      <c r="CDF65" s="288"/>
      <c r="CDG65" s="288"/>
      <c r="CDH65" s="288"/>
      <c r="CDI65" s="288"/>
      <c r="CDJ65" s="288"/>
      <c r="CDK65" s="288"/>
      <c r="CDL65" s="288"/>
      <c r="CDM65" s="288"/>
      <c r="CDN65" s="124"/>
      <c r="CDO65" s="259"/>
      <c r="CDP65" s="259"/>
      <c r="CDQ65" s="259"/>
      <c r="CDR65" s="288"/>
      <c r="CDS65" s="288"/>
      <c r="CDT65" s="288"/>
      <c r="CDU65" s="288"/>
      <c r="CDV65" s="288"/>
      <c r="CDW65" s="288"/>
      <c r="CDX65" s="288"/>
      <c r="CDY65" s="288"/>
      <c r="CDZ65" s="288"/>
      <c r="CEA65" s="124"/>
      <c r="CEB65" s="259"/>
      <c r="CEC65" s="259"/>
      <c r="CED65" s="259"/>
      <c r="CEE65" s="288"/>
      <c r="CEF65" s="288"/>
      <c r="CEG65" s="288"/>
      <c r="CEH65" s="288"/>
      <c r="CEI65" s="288"/>
      <c r="CEJ65" s="288"/>
      <c r="CEK65" s="288"/>
      <c r="CEL65" s="288"/>
      <c r="CEM65" s="288"/>
      <c r="CEN65" s="124"/>
      <c r="CEO65" s="259"/>
      <c r="CEP65" s="259"/>
      <c r="CEQ65" s="259"/>
      <c r="CER65" s="288"/>
      <c r="CES65" s="288"/>
      <c r="CET65" s="288"/>
      <c r="CEU65" s="288"/>
      <c r="CEV65" s="288"/>
      <c r="CEW65" s="288"/>
      <c r="CEX65" s="288"/>
      <c r="CEY65" s="288"/>
      <c r="CEZ65" s="288"/>
      <c r="CFA65" s="124"/>
      <c r="CFB65" s="259"/>
      <c r="CFC65" s="259"/>
      <c r="CFD65" s="259"/>
      <c r="CFE65" s="288"/>
      <c r="CFF65" s="288"/>
      <c r="CFG65" s="288"/>
      <c r="CFH65" s="288"/>
      <c r="CFI65" s="288"/>
      <c r="CFJ65" s="288"/>
      <c r="CFK65" s="288"/>
      <c r="CFL65" s="288"/>
      <c r="CFM65" s="288"/>
      <c r="CFN65" s="124"/>
      <c r="CFO65" s="259"/>
      <c r="CFP65" s="259"/>
      <c r="CFQ65" s="259"/>
      <c r="CFR65" s="288"/>
      <c r="CFS65" s="288"/>
      <c r="CFT65" s="288"/>
      <c r="CFU65" s="288"/>
      <c r="CFV65" s="288"/>
      <c r="CFW65" s="288"/>
      <c r="CFX65" s="288"/>
      <c r="CFY65" s="288"/>
      <c r="CFZ65" s="288"/>
      <c r="CGA65" s="124"/>
      <c r="CGB65" s="259"/>
      <c r="CGC65" s="259"/>
      <c r="CGD65" s="259"/>
      <c r="CGE65" s="288"/>
      <c r="CGF65" s="288"/>
      <c r="CGG65" s="288"/>
      <c r="CGH65" s="288"/>
      <c r="CGI65" s="288"/>
      <c r="CGJ65" s="288"/>
      <c r="CGK65" s="288"/>
      <c r="CGL65" s="288"/>
      <c r="CGM65" s="288"/>
      <c r="CGN65" s="124"/>
      <c r="CGO65" s="259"/>
      <c r="CGP65" s="259"/>
      <c r="CGQ65" s="259"/>
      <c r="CGR65" s="288"/>
      <c r="CGS65" s="288"/>
      <c r="CGT65" s="288"/>
      <c r="CGU65" s="288"/>
      <c r="CGV65" s="288"/>
      <c r="CGW65" s="288"/>
      <c r="CGX65" s="288"/>
      <c r="CGY65" s="288"/>
      <c r="CGZ65" s="288"/>
      <c r="CHA65" s="124"/>
      <c r="CHB65" s="259"/>
      <c r="CHC65" s="259"/>
      <c r="CHD65" s="259"/>
      <c r="CHE65" s="288"/>
      <c r="CHF65" s="288"/>
      <c r="CHG65" s="288"/>
      <c r="CHH65" s="288"/>
      <c r="CHI65" s="288"/>
      <c r="CHJ65" s="288"/>
      <c r="CHK65" s="288"/>
      <c r="CHL65" s="288"/>
      <c r="CHM65" s="288"/>
      <c r="CHN65" s="124"/>
      <c r="CHO65" s="259"/>
      <c r="CHP65" s="259"/>
      <c r="CHQ65" s="259"/>
      <c r="CHR65" s="288"/>
      <c r="CHS65" s="288"/>
      <c r="CHT65" s="288"/>
      <c r="CHU65" s="288"/>
      <c r="CHV65" s="288"/>
      <c r="CHW65" s="288"/>
      <c r="CHX65" s="288"/>
      <c r="CHY65" s="288"/>
      <c r="CHZ65" s="288"/>
      <c r="CIA65" s="124"/>
      <c r="CIB65" s="259"/>
      <c r="CIC65" s="259"/>
      <c r="CID65" s="259"/>
      <c r="CIE65" s="288"/>
      <c r="CIF65" s="288"/>
      <c r="CIG65" s="288"/>
      <c r="CIH65" s="288"/>
      <c r="CII65" s="288"/>
      <c r="CIJ65" s="288"/>
      <c r="CIK65" s="288"/>
      <c r="CIL65" s="288"/>
      <c r="CIM65" s="288"/>
      <c r="CIN65" s="124"/>
      <c r="CIO65" s="259"/>
      <c r="CIP65" s="259"/>
      <c r="CIQ65" s="259"/>
      <c r="CIR65" s="288"/>
      <c r="CIS65" s="288"/>
      <c r="CIT65" s="288"/>
      <c r="CIU65" s="288"/>
      <c r="CIV65" s="288"/>
      <c r="CIW65" s="288"/>
      <c r="CIX65" s="288"/>
      <c r="CIY65" s="288"/>
      <c r="CIZ65" s="288"/>
      <c r="CJA65" s="124"/>
      <c r="CJB65" s="259"/>
      <c r="CJC65" s="259"/>
      <c r="CJD65" s="259"/>
      <c r="CJE65" s="288"/>
      <c r="CJF65" s="288"/>
      <c r="CJG65" s="288"/>
      <c r="CJH65" s="288"/>
      <c r="CJI65" s="288"/>
      <c r="CJJ65" s="288"/>
      <c r="CJK65" s="288"/>
      <c r="CJL65" s="288"/>
      <c r="CJM65" s="288"/>
      <c r="CJN65" s="124"/>
      <c r="CJO65" s="259"/>
      <c r="CJP65" s="259"/>
      <c r="CJQ65" s="259"/>
      <c r="CJR65" s="288"/>
      <c r="CJS65" s="288"/>
      <c r="CJT65" s="288"/>
      <c r="CJU65" s="288"/>
      <c r="CJV65" s="288"/>
      <c r="CJW65" s="288"/>
      <c r="CJX65" s="288"/>
      <c r="CJY65" s="288"/>
      <c r="CJZ65" s="288"/>
      <c r="CKA65" s="124"/>
      <c r="CKB65" s="259"/>
      <c r="CKC65" s="259"/>
      <c r="CKD65" s="259"/>
      <c r="CKE65" s="288"/>
      <c r="CKF65" s="288"/>
      <c r="CKG65" s="288"/>
      <c r="CKH65" s="288"/>
      <c r="CKI65" s="288"/>
      <c r="CKJ65" s="288"/>
      <c r="CKK65" s="288"/>
      <c r="CKL65" s="288"/>
      <c r="CKM65" s="288"/>
      <c r="CKN65" s="124"/>
      <c r="CKO65" s="259"/>
      <c r="CKP65" s="259"/>
      <c r="CKQ65" s="259"/>
      <c r="CKR65" s="288"/>
      <c r="CKS65" s="288"/>
      <c r="CKT65" s="288"/>
      <c r="CKU65" s="288"/>
      <c r="CKV65" s="288"/>
      <c r="CKW65" s="288"/>
      <c r="CKX65" s="288"/>
      <c r="CKY65" s="288"/>
      <c r="CKZ65" s="288"/>
      <c r="CLA65" s="124"/>
      <c r="CLB65" s="259"/>
      <c r="CLC65" s="259"/>
      <c r="CLD65" s="259"/>
      <c r="CLE65" s="288"/>
      <c r="CLF65" s="288"/>
      <c r="CLG65" s="288"/>
      <c r="CLH65" s="288"/>
      <c r="CLI65" s="288"/>
      <c r="CLJ65" s="288"/>
      <c r="CLK65" s="288"/>
      <c r="CLL65" s="288"/>
      <c r="CLM65" s="288"/>
      <c r="CLN65" s="124"/>
      <c r="CLO65" s="259"/>
      <c r="CLP65" s="259"/>
      <c r="CLQ65" s="259"/>
      <c r="CLR65" s="288"/>
      <c r="CLS65" s="288"/>
      <c r="CLT65" s="288"/>
      <c r="CLU65" s="288"/>
      <c r="CLV65" s="288"/>
      <c r="CLW65" s="288"/>
      <c r="CLX65" s="288"/>
      <c r="CLY65" s="288"/>
      <c r="CLZ65" s="288"/>
      <c r="CMA65" s="124"/>
      <c r="CMB65" s="259"/>
      <c r="CMC65" s="259"/>
      <c r="CMD65" s="259"/>
      <c r="CME65" s="288"/>
      <c r="CMF65" s="288"/>
      <c r="CMG65" s="288"/>
      <c r="CMH65" s="288"/>
      <c r="CMI65" s="288"/>
      <c r="CMJ65" s="288"/>
      <c r="CMK65" s="288"/>
      <c r="CML65" s="288"/>
      <c r="CMM65" s="288"/>
      <c r="CMN65" s="124"/>
      <c r="CMO65" s="259"/>
      <c r="CMP65" s="259"/>
      <c r="CMQ65" s="259"/>
      <c r="CMR65" s="288"/>
      <c r="CMS65" s="288"/>
      <c r="CMT65" s="288"/>
      <c r="CMU65" s="288"/>
      <c r="CMV65" s="288"/>
      <c r="CMW65" s="288"/>
      <c r="CMX65" s="288"/>
      <c r="CMY65" s="288"/>
      <c r="CMZ65" s="288"/>
      <c r="CNA65" s="124"/>
      <c r="CNB65" s="259"/>
      <c r="CNC65" s="259"/>
      <c r="CND65" s="259"/>
      <c r="CNE65" s="288"/>
      <c r="CNF65" s="288"/>
      <c r="CNG65" s="288"/>
      <c r="CNH65" s="288"/>
      <c r="CNI65" s="288"/>
      <c r="CNJ65" s="288"/>
      <c r="CNK65" s="288"/>
      <c r="CNL65" s="288"/>
      <c r="CNM65" s="288"/>
      <c r="CNN65" s="124"/>
      <c r="CNO65" s="259"/>
      <c r="CNP65" s="259"/>
      <c r="CNQ65" s="259"/>
      <c r="CNR65" s="288"/>
      <c r="CNS65" s="288"/>
      <c r="CNT65" s="288"/>
      <c r="CNU65" s="288"/>
      <c r="CNV65" s="288"/>
      <c r="CNW65" s="288"/>
      <c r="CNX65" s="288"/>
      <c r="CNY65" s="288"/>
      <c r="CNZ65" s="288"/>
      <c r="COA65" s="124"/>
      <c r="COB65" s="259"/>
      <c r="COC65" s="259"/>
      <c r="COD65" s="259"/>
      <c r="COE65" s="288"/>
      <c r="COF65" s="288"/>
      <c r="COG65" s="288"/>
      <c r="COH65" s="288"/>
      <c r="COI65" s="288"/>
      <c r="COJ65" s="288"/>
      <c r="COK65" s="288"/>
      <c r="COL65" s="288"/>
      <c r="COM65" s="288"/>
      <c r="CON65" s="124"/>
      <c r="COO65" s="259"/>
      <c r="COP65" s="259"/>
      <c r="COQ65" s="259"/>
      <c r="COR65" s="288"/>
      <c r="COS65" s="288"/>
      <c r="COT65" s="288"/>
      <c r="COU65" s="288"/>
      <c r="COV65" s="288"/>
      <c r="COW65" s="288"/>
      <c r="COX65" s="288"/>
      <c r="COY65" s="288"/>
      <c r="COZ65" s="288"/>
      <c r="CPA65" s="124"/>
      <c r="CPB65" s="259"/>
      <c r="CPC65" s="259"/>
      <c r="CPD65" s="259"/>
      <c r="CPE65" s="288"/>
      <c r="CPF65" s="288"/>
      <c r="CPG65" s="288"/>
      <c r="CPH65" s="288"/>
      <c r="CPI65" s="288"/>
      <c r="CPJ65" s="288"/>
      <c r="CPK65" s="288"/>
      <c r="CPL65" s="288"/>
      <c r="CPM65" s="288"/>
      <c r="CPN65" s="124"/>
      <c r="CPO65" s="259"/>
      <c r="CPP65" s="259"/>
      <c r="CPQ65" s="259"/>
      <c r="CPR65" s="288"/>
      <c r="CPS65" s="288"/>
      <c r="CPT65" s="288"/>
      <c r="CPU65" s="288"/>
      <c r="CPV65" s="288"/>
      <c r="CPW65" s="288"/>
      <c r="CPX65" s="288"/>
      <c r="CPY65" s="288"/>
      <c r="CPZ65" s="288"/>
      <c r="CQA65" s="124"/>
      <c r="CQB65" s="259"/>
      <c r="CQC65" s="259"/>
      <c r="CQD65" s="259"/>
      <c r="CQE65" s="288"/>
      <c r="CQF65" s="288"/>
      <c r="CQG65" s="288"/>
      <c r="CQH65" s="288"/>
      <c r="CQI65" s="288"/>
      <c r="CQJ65" s="288"/>
      <c r="CQK65" s="288"/>
      <c r="CQL65" s="288"/>
      <c r="CQM65" s="288"/>
      <c r="CQN65" s="124"/>
      <c r="CQO65" s="259"/>
      <c r="CQP65" s="259"/>
      <c r="CQQ65" s="259"/>
      <c r="CQR65" s="288"/>
      <c r="CQS65" s="288"/>
      <c r="CQT65" s="288"/>
      <c r="CQU65" s="288"/>
      <c r="CQV65" s="288"/>
      <c r="CQW65" s="288"/>
      <c r="CQX65" s="288"/>
      <c r="CQY65" s="288"/>
      <c r="CQZ65" s="288"/>
      <c r="CRA65" s="124"/>
      <c r="CRB65" s="259"/>
      <c r="CRC65" s="259"/>
      <c r="CRD65" s="259"/>
      <c r="CRE65" s="288"/>
      <c r="CRF65" s="288"/>
      <c r="CRG65" s="288"/>
      <c r="CRH65" s="288"/>
      <c r="CRI65" s="288"/>
      <c r="CRJ65" s="288"/>
      <c r="CRK65" s="288"/>
      <c r="CRL65" s="288"/>
      <c r="CRM65" s="288"/>
      <c r="CRN65" s="124"/>
      <c r="CRO65" s="259"/>
      <c r="CRP65" s="259"/>
      <c r="CRQ65" s="259"/>
      <c r="CRR65" s="288"/>
      <c r="CRS65" s="288"/>
      <c r="CRT65" s="288"/>
      <c r="CRU65" s="288"/>
      <c r="CRV65" s="288"/>
      <c r="CRW65" s="288"/>
      <c r="CRX65" s="288"/>
      <c r="CRY65" s="288"/>
      <c r="CRZ65" s="288"/>
      <c r="CSA65" s="124"/>
      <c r="CSB65" s="259"/>
      <c r="CSC65" s="259"/>
      <c r="CSD65" s="259"/>
      <c r="CSE65" s="288"/>
      <c r="CSF65" s="288"/>
      <c r="CSG65" s="288"/>
      <c r="CSH65" s="288"/>
      <c r="CSI65" s="288"/>
      <c r="CSJ65" s="288"/>
      <c r="CSK65" s="288"/>
      <c r="CSL65" s="288"/>
      <c r="CSM65" s="288"/>
      <c r="CSN65" s="124"/>
      <c r="CSO65" s="259"/>
      <c r="CSP65" s="259"/>
      <c r="CSQ65" s="259"/>
      <c r="CSR65" s="288"/>
      <c r="CSS65" s="288"/>
      <c r="CST65" s="288"/>
      <c r="CSU65" s="288"/>
      <c r="CSV65" s="288"/>
      <c r="CSW65" s="288"/>
      <c r="CSX65" s="288"/>
      <c r="CSY65" s="288"/>
      <c r="CSZ65" s="288"/>
      <c r="CTA65" s="124"/>
      <c r="CTB65" s="259"/>
      <c r="CTC65" s="259"/>
      <c r="CTD65" s="259"/>
      <c r="CTE65" s="288"/>
      <c r="CTF65" s="288"/>
      <c r="CTG65" s="288"/>
      <c r="CTH65" s="288"/>
      <c r="CTI65" s="288"/>
      <c r="CTJ65" s="288"/>
      <c r="CTK65" s="288"/>
      <c r="CTL65" s="288"/>
      <c r="CTM65" s="288"/>
      <c r="CTN65" s="124"/>
      <c r="CTO65" s="259"/>
      <c r="CTP65" s="259"/>
      <c r="CTQ65" s="259"/>
      <c r="CTR65" s="288"/>
      <c r="CTS65" s="288"/>
      <c r="CTT65" s="288"/>
      <c r="CTU65" s="288"/>
      <c r="CTV65" s="288"/>
      <c r="CTW65" s="288"/>
      <c r="CTX65" s="288"/>
      <c r="CTY65" s="288"/>
      <c r="CTZ65" s="288"/>
      <c r="CUA65" s="124"/>
      <c r="CUB65" s="259"/>
      <c r="CUC65" s="259"/>
      <c r="CUD65" s="259"/>
      <c r="CUE65" s="288"/>
      <c r="CUF65" s="288"/>
      <c r="CUG65" s="288"/>
      <c r="CUH65" s="288"/>
      <c r="CUI65" s="288"/>
      <c r="CUJ65" s="288"/>
      <c r="CUK65" s="288"/>
      <c r="CUL65" s="288"/>
      <c r="CUM65" s="288"/>
      <c r="CUN65" s="124"/>
      <c r="CUO65" s="259"/>
      <c r="CUP65" s="259"/>
      <c r="CUQ65" s="259"/>
      <c r="CUR65" s="288"/>
      <c r="CUS65" s="288"/>
      <c r="CUT65" s="288"/>
      <c r="CUU65" s="288"/>
      <c r="CUV65" s="288"/>
      <c r="CUW65" s="288"/>
      <c r="CUX65" s="288"/>
      <c r="CUY65" s="288"/>
      <c r="CUZ65" s="288"/>
      <c r="CVA65" s="124"/>
      <c r="CVB65" s="259"/>
      <c r="CVC65" s="259"/>
      <c r="CVD65" s="259"/>
      <c r="CVE65" s="288"/>
      <c r="CVF65" s="288"/>
      <c r="CVG65" s="288"/>
      <c r="CVH65" s="288"/>
      <c r="CVI65" s="288"/>
      <c r="CVJ65" s="288"/>
      <c r="CVK65" s="288"/>
      <c r="CVL65" s="288"/>
      <c r="CVM65" s="288"/>
      <c r="CVN65" s="124"/>
      <c r="CVO65" s="259"/>
      <c r="CVP65" s="259"/>
      <c r="CVQ65" s="259"/>
      <c r="CVR65" s="288"/>
      <c r="CVS65" s="288"/>
      <c r="CVT65" s="288"/>
      <c r="CVU65" s="288"/>
      <c r="CVV65" s="288"/>
      <c r="CVW65" s="288"/>
      <c r="CVX65" s="288"/>
      <c r="CVY65" s="288"/>
      <c r="CVZ65" s="288"/>
      <c r="CWA65" s="124"/>
      <c r="CWB65" s="259"/>
      <c r="CWC65" s="259"/>
      <c r="CWD65" s="259"/>
      <c r="CWE65" s="288"/>
      <c r="CWF65" s="288"/>
      <c r="CWG65" s="288"/>
      <c r="CWH65" s="288"/>
      <c r="CWI65" s="288"/>
      <c r="CWJ65" s="288"/>
      <c r="CWK65" s="288"/>
      <c r="CWL65" s="288"/>
      <c r="CWM65" s="288"/>
      <c r="CWN65" s="124"/>
      <c r="CWO65" s="259"/>
      <c r="CWP65" s="259"/>
      <c r="CWQ65" s="259"/>
      <c r="CWR65" s="288"/>
      <c r="CWS65" s="288"/>
      <c r="CWT65" s="288"/>
      <c r="CWU65" s="288"/>
      <c r="CWV65" s="288"/>
      <c r="CWW65" s="288"/>
      <c r="CWX65" s="288"/>
      <c r="CWY65" s="288"/>
      <c r="CWZ65" s="288"/>
      <c r="CXA65" s="124"/>
      <c r="CXB65" s="259"/>
      <c r="CXC65" s="259"/>
      <c r="CXD65" s="259"/>
      <c r="CXE65" s="288"/>
      <c r="CXF65" s="288"/>
      <c r="CXG65" s="288"/>
      <c r="CXH65" s="288"/>
      <c r="CXI65" s="288"/>
      <c r="CXJ65" s="288"/>
      <c r="CXK65" s="288"/>
      <c r="CXL65" s="288"/>
      <c r="CXM65" s="288"/>
      <c r="CXN65" s="124"/>
      <c r="CXO65" s="259"/>
      <c r="CXP65" s="259"/>
      <c r="CXQ65" s="259"/>
      <c r="CXR65" s="288"/>
      <c r="CXS65" s="288"/>
      <c r="CXT65" s="288"/>
      <c r="CXU65" s="288"/>
      <c r="CXV65" s="288"/>
      <c r="CXW65" s="288"/>
      <c r="CXX65" s="288"/>
      <c r="CXY65" s="288"/>
      <c r="CXZ65" s="288"/>
      <c r="CYA65" s="124"/>
      <c r="CYB65" s="259"/>
      <c r="CYC65" s="259"/>
      <c r="CYD65" s="259"/>
      <c r="CYE65" s="288"/>
      <c r="CYF65" s="288"/>
      <c r="CYG65" s="288"/>
      <c r="CYH65" s="288"/>
      <c r="CYI65" s="288"/>
      <c r="CYJ65" s="288"/>
      <c r="CYK65" s="288"/>
      <c r="CYL65" s="288"/>
      <c r="CYM65" s="288"/>
      <c r="CYN65" s="124"/>
      <c r="CYO65" s="259"/>
      <c r="CYP65" s="259"/>
      <c r="CYQ65" s="259"/>
      <c r="CYR65" s="288"/>
      <c r="CYS65" s="288"/>
      <c r="CYT65" s="288"/>
      <c r="CYU65" s="288"/>
      <c r="CYV65" s="288"/>
      <c r="CYW65" s="288"/>
      <c r="CYX65" s="288"/>
      <c r="CYY65" s="288"/>
      <c r="CYZ65" s="288"/>
      <c r="CZA65" s="124"/>
      <c r="CZB65" s="259"/>
      <c r="CZC65" s="259"/>
      <c r="CZD65" s="259"/>
      <c r="CZE65" s="288"/>
      <c r="CZF65" s="288"/>
      <c r="CZG65" s="288"/>
      <c r="CZH65" s="288"/>
      <c r="CZI65" s="288"/>
      <c r="CZJ65" s="288"/>
      <c r="CZK65" s="288"/>
      <c r="CZL65" s="288"/>
      <c r="CZM65" s="288"/>
      <c r="CZN65" s="124"/>
      <c r="CZO65" s="259"/>
      <c r="CZP65" s="259"/>
      <c r="CZQ65" s="259"/>
      <c r="CZR65" s="288"/>
      <c r="CZS65" s="288"/>
      <c r="CZT65" s="288"/>
      <c r="CZU65" s="288"/>
      <c r="CZV65" s="288"/>
      <c r="CZW65" s="288"/>
      <c r="CZX65" s="288"/>
      <c r="CZY65" s="288"/>
      <c r="CZZ65" s="288"/>
      <c r="DAA65" s="124"/>
      <c r="DAB65" s="259"/>
      <c r="DAC65" s="259"/>
      <c r="DAD65" s="259"/>
      <c r="DAE65" s="288"/>
      <c r="DAF65" s="288"/>
      <c r="DAG65" s="288"/>
      <c r="DAH65" s="288"/>
      <c r="DAI65" s="288"/>
      <c r="DAJ65" s="288"/>
      <c r="DAK65" s="288"/>
      <c r="DAL65" s="288"/>
      <c r="DAM65" s="288"/>
      <c r="DAN65" s="124"/>
      <c r="DAO65" s="259"/>
      <c r="DAP65" s="259"/>
      <c r="DAQ65" s="259"/>
      <c r="DAR65" s="288"/>
      <c r="DAS65" s="288"/>
      <c r="DAT65" s="288"/>
      <c r="DAU65" s="288"/>
      <c r="DAV65" s="288"/>
      <c r="DAW65" s="288"/>
      <c r="DAX65" s="288"/>
      <c r="DAY65" s="288"/>
      <c r="DAZ65" s="288"/>
      <c r="DBA65" s="124"/>
      <c r="DBB65" s="259"/>
      <c r="DBC65" s="259"/>
      <c r="DBD65" s="259"/>
      <c r="DBE65" s="288"/>
      <c r="DBF65" s="288"/>
      <c r="DBG65" s="288"/>
      <c r="DBH65" s="288"/>
      <c r="DBI65" s="288"/>
      <c r="DBJ65" s="288"/>
      <c r="DBK65" s="288"/>
      <c r="DBL65" s="288"/>
      <c r="DBM65" s="288"/>
      <c r="DBN65" s="124"/>
      <c r="DBO65" s="259"/>
      <c r="DBP65" s="259"/>
      <c r="DBQ65" s="259"/>
      <c r="DBR65" s="288"/>
      <c r="DBS65" s="288"/>
      <c r="DBT65" s="288"/>
      <c r="DBU65" s="288"/>
      <c r="DBV65" s="288"/>
      <c r="DBW65" s="288"/>
      <c r="DBX65" s="288"/>
      <c r="DBY65" s="288"/>
      <c r="DBZ65" s="288"/>
      <c r="DCA65" s="124"/>
      <c r="DCB65" s="259"/>
      <c r="DCC65" s="259"/>
      <c r="DCD65" s="259"/>
      <c r="DCE65" s="288"/>
      <c r="DCF65" s="288"/>
      <c r="DCG65" s="288"/>
      <c r="DCH65" s="288"/>
      <c r="DCI65" s="288"/>
      <c r="DCJ65" s="288"/>
      <c r="DCK65" s="288"/>
      <c r="DCL65" s="288"/>
      <c r="DCM65" s="288"/>
      <c r="DCN65" s="124"/>
      <c r="DCO65" s="259"/>
      <c r="DCP65" s="259"/>
      <c r="DCQ65" s="259"/>
      <c r="DCR65" s="288"/>
      <c r="DCS65" s="288"/>
      <c r="DCT65" s="288"/>
      <c r="DCU65" s="288"/>
      <c r="DCV65" s="288"/>
      <c r="DCW65" s="288"/>
      <c r="DCX65" s="288"/>
      <c r="DCY65" s="288"/>
      <c r="DCZ65" s="288"/>
      <c r="DDA65" s="124"/>
      <c r="DDB65" s="259"/>
      <c r="DDC65" s="259"/>
      <c r="DDD65" s="259"/>
      <c r="DDE65" s="288"/>
      <c r="DDF65" s="288"/>
      <c r="DDG65" s="288"/>
      <c r="DDH65" s="288"/>
      <c r="DDI65" s="288"/>
      <c r="DDJ65" s="288"/>
      <c r="DDK65" s="288"/>
      <c r="DDL65" s="288"/>
      <c r="DDM65" s="288"/>
      <c r="DDN65" s="124"/>
      <c r="DDO65" s="259"/>
      <c r="DDP65" s="259"/>
      <c r="DDQ65" s="259"/>
      <c r="DDR65" s="288"/>
      <c r="DDS65" s="288"/>
      <c r="DDT65" s="288"/>
      <c r="DDU65" s="288"/>
      <c r="DDV65" s="288"/>
      <c r="DDW65" s="288"/>
      <c r="DDX65" s="288"/>
      <c r="DDY65" s="288"/>
      <c r="DDZ65" s="288"/>
      <c r="DEA65" s="124"/>
      <c r="DEB65" s="259"/>
      <c r="DEC65" s="259"/>
      <c r="DED65" s="259"/>
      <c r="DEE65" s="288"/>
      <c r="DEF65" s="288"/>
      <c r="DEG65" s="288"/>
      <c r="DEH65" s="288"/>
      <c r="DEI65" s="288"/>
      <c r="DEJ65" s="288"/>
      <c r="DEK65" s="288"/>
      <c r="DEL65" s="288"/>
      <c r="DEM65" s="288"/>
      <c r="DEN65" s="124"/>
      <c r="DEO65" s="259"/>
      <c r="DEP65" s="259"/>
      <c r="DEQ65" s="259"/>
      <c r="DER65" s="288"/>
      <c r="DES65" s="288"/>
      <c r="DET65" s="288"/>
      <c r="DEU65" s="288"/>
      <c r="DEV65" s="288"/>
      <c r="DEW65" s="288"/>
      <c r="DEX65" s="288"/>
      <c r="DEY65" s="288"/>
      <c r="DEZ65" s="288"/>
      <c r="DFA65" s="124"/>
      <c r="DFB65" s="259"/>
      <c r="DFC65" s="259"/>
      <c r="DFD65" s="259"/>
      <c r="DFE65" s="288"/>
      <c r="DFF65" s="288"/>
      <c r="DFG65" s="288"/>
      <c r="DFH65" s="288"/>
      <c r="DFI65" s="288"/>
      <c r="DFJ65" s="288"/>
      <c r="DFK65" s="288"/>
      <c r="DFL65" s="288"/>
      <c r="DFM65" s="288"/>
      <c r="DFN65" s="124"/>
      <c r="DFO65" s="259"/>
      <c r="DFP65" s="259"/>
      <c r="DFQ65" s="259"/>
      <c r="DFR65" s="288"/>
      <c r="DFS65" s="288"/>
      <c r="DFT65" s="288"/>
      <c r="DFU65" s="288"/>
      <c r="DFV65" s="288"/>
      <c r="DFW65" s="288"/>
      <c r="DFX65" s="288"/>
      <c r="DFY65" s="288"/>
      <c r="DFZ65" s="288"/>
      <c r="DGA65" s="124"/>
      <c r="DGB65" s="259"/>
      <c r="DGC65" s="259"/>
      <c r="DGD65" s="259"/>
      <c r="DGE65" s="288"/>
      <c r="DGF65" s="288"/>
      <c r="DGG65" s="288"/>
      <c r="DGH65" s="288"/>
      <c r="DGI65" s="288"/>
      <c r="DGJ65" s="288"/>
      <c r="DGK65" s="288"/>
      <c r="DGL65" s="288"/>
      <c r="DGM65" s="288"/>
      <c r="DGN65" s="124"/>
      <c r="DGO65" s="259"/>
      <c r="DGP65" s="259"/>
      <c r="DGQ65" s="259"/>
      <c r="DGR65" s="288"/>
      <c r="DGS65" s="288"/>
      <c r="DGT65" s="288"/>
      <c r="DGU65" s="288"/>
      <c r="DGV65" s="288"/>
      <c r="DGW65" s="288"/>
      <c r="DGX65" s="288"/>
      <c r="DGY65" s="288"/>
      <c r="DGZ65" s="288"/>
      <c r="DHA65" s="124"/>
      <c r="DHB65" s="259"/>
      <c r="DHC65" s="259"/>
      <c r="DHD65" s="259"/>
      <c r="DHE65" s="288"/>
      <c r="DHF65" s="288"/>
      <c r="DHG65" s="288"/>
      <c r="DHH65" s="288"/>
      <c r="DHI65" s="288"/>
      <c r="DHJ65" s="288"/>
      <c r="DHK65" s="288"/>
      <c r="DHL65" s="288"/>
      <c r="DHM65" s="288"/>
      <c r="DHN65" s="124"/>
      <c r="DHO65" s="259"/>
      <c r="DHP65" s="259"/>
      <c r="DHQ65" s="259"/>
      <c r="DHR65" s="288"/>
      <c r="DHS65" s="288"/>
      <c r="DHT65" s="288"/>
      <c r="DHU65" s="288"/>
      <c r="DHV65" s="288"/>
      <c r="DHW65" s="288"/>
      <c r="DHX65" s="288"/>
      <c r="DHY65" s="288"/>
      <c r="DHZ65" s="288"/>
      <c r="DIA65" s="124"/>
      <c r="DIB65" s="259"/>
      <c r="DIC65" s="259"/>
      <c r="DID65" s="259"/>
      <c r="DIE65" s="288"/>
      <c r="DIF65" s="288"/>
      <c r="DIG65" s="288"/>
      <c r="DIH65" s="288"/>
      <c r="DII65" s="288"/>
      <c r="DIJ65" s="288"/>
      <c r="DIK65" s="288"/>
      <c r="DIL65" s="288"/>
      <c r="DIM65" s="288"/>
      <c r="DIN65" s="124"/>
      <c r="DIO65" s="259"/>
      <c r="DIP65" s="259"/>
      <c r="DIQ65" s="259"/>
      <c r="DIR65" s="288"/>
      <c r="DIS65" s="288"/>
      <c r="DIT65" s="288"/>
      <c r="DIU65" s="288"/>
      <c r="DIV65" s="288"/>
      <c r="DIW65" s="288"/>
      <c r="DIX65" s="288"/>
      <c r="DIY65" s="288"/>
      <c r="DIZ65" s="288"/>
      <c r="DJA65" s="124"/>
      <c r="DJB65" s="259"/>
      <c r="DJC65" s="259"/>
      <c r="DJD65" s="259"/>
      <c r="DJE65" s="288"/>
      <c r="DJF65" s="288"/>
      <c r="DJG65" s="288"/>
      <c r="DJH65" s="288"/>
      <c r="DJI65" s="288"/>
      <c r="DJJ65" s="288"/>
      <c r="DJK65" s="288"/>
      <c r="DJL65" s="288"/>
      <c r="DJM65" s="288"/>
      <c r="DJN65" s="124"/>
      <c r="DJO65" s="259"/>
      <c r="DJP65" s="259"/>
      <c r="DJQ65" s="259"/>
      <c r="DJR65" s="288"/>
      <c r="DJS65" s="288"/>
      <c r="DJT65" s="288"/>
      <c r="DJU65" s="288"/>
      <c r="DJV65" s="288"/>
      <c r="DJW65" s="288"/>
      <c r="DJX65" s="288"/>
      <c r="DJY65" s="288"/>
      <c r="DJZ65" s="288"/>
      <c r="DKA65" s="124"/>
      <c r="DKB65" s="259"/>
      <c r="DKC65" s="259"/>
      <c r="DKD65" s="259"/>
      <c r="DKE65" s="288"/>
      <c r="DKF65" s="288"/>
      <c r="DKG65" s="288"/>
      <c r="DKH65" s="288"/>
      <c r="DKI65" s="288"/>
      <c r="DKJ65" s="288"/>
      <c r="DKK65" s="288"/>
      <c r="DKL65" s="288"/>
      <c r="DKM65" s="288"/>
      <c r="DKN65" s="124"/>
      <c r="DKO65" s="259"/>
      <c r="DKP65" s="259"/>
      <c r="DKQ65" s="259"/>
      <c r="DKR65" s="288"/>
      <c r="DKS65" s="288"/>
      <c r="DKT65" s="288"/>
      <c r="DKU65" s="288"/>
      <c r="DKV65" s="288"/>
      <c r="DKW65" s="288"/>
      <c r="DKX65" s="288"/>
      <c r="DKY65" s="288"/>
      <c r="DKZ65" s="288"/>
      <c r="DLA65" s="124"/>
      <c r="DLB65" s="259"/>
      <c r="DLC65" s="259"/>
      <c r="DLD65" s="259"/>
      <c r="DLE65" s="288"/>
      <c r="DLF65" s="288"/>
      <c r="DLG65" s="288"/>
      <c r="DLH65" s="288"/>
      <c r="DLI65" s="288"/>
      <c r="DLJ65" s="288"/>
      <c r="DLK65" s="288"/>
      <c r="DLL65" s="288"/>
      <c r="DLM65" s="288"/>
      <c r="DLN65" s="124"/>
      <c r="DLO65" s="259"/>
      <c r="DLP65" s="259"/>
      <c r="DLQ65" s="259"/>
      <c r="DLR65" s="288"/>
      <c r="DLS65" s="288"/>
      <c r="DLT65" s="288"/>
      <c r="DLU65" s="288"/>
      <c r="DLV65" s="288"/>
      <c r="DLW65" s="288"/>
      <c r="DLX65" s="288"/>
      <c r="DLY65" s="288"/>
      <c r="DLZ65" s="288"/>
      <c r="DMA65" s="124"/>
      <c r="DMB65" s="259"/>
      <c r="DMC65" s="259"/>
      <c r="DMD65" s="259"/>
      <c r="DME65" s="288"/>
      <c r="DMF65" s="288"/>
      <c r="DMG65" s="288"/>
      <c r="DMH65" s="288"/>
      <c r="DMI65" s="288"/>
      <c r="DMJ65" s="288"/>
      <c r="DMK65" s="288"/>
      <c r="DML65" s="288"/>
      <c r="DMM65" s="288"/>
      <c r="DMN65" s="124"/>
      <c r="DMO65" s="259"/>
      <c r="DMP65" s="259"/>
      <c r="DMQ65" s="259"/>
      <c r="DMR65" s="288"/>
      <c r="DMS65" s="288"/>
      <c r="DMT65" s="288"/>
      <c r="DMU65" s="288"/>
      <c r="DMV65" s="288"/>
      <c r="DMW65" s="288"/>
      <c r="DMX65" s="288"/>
      <c r="DMY65" s="288"/>
      <c r="DMZ65" s="288"/>
      <c r="DNA65" s="124"/>
      <c r="DNB65" s="259"/>
      <c r="DNC65" s="259"/>
      <c r="DND65" s="259"/>
      <c r="DNE65" s="288"/>
      <c r="DNF65" s="288"/>
      <c r="DNG65" s="288"/>
      <c r="DNH65" s="288"/>
      <c r="DNI65" s="288"/>
      <c r="DNJ65" s="288"/>
      <c r="DNK65" s="288"/>
      <c r="DNL65" s="288"/>
      <c r="DNM65" s="288"/>
      <c r="DNN65" s="124"/>
      <c r="DNO65" s="259"/>
      <c r="DNP65" s="259"/>
      <c r="DNQ65" s="259"/>
      <c r="DNR65" s="288"/>
      <c r="DNS65" s="288"/>
      <c r="DNT65" s="288"/>
      <c r="DNU65" s="288"/>
      <c r="DNV65" s="288"/>
      <c r="DNW65" s="288"/>
      <c r="DNX65" s="288"/>
      <c r="DNY65" s="288"/>
      <c r="DNZ65" s="288"/>
      <c r="DOA65" s="124"/>
      <c r="DOB65" s="259"/>
      <c r="DOC65" s="259"/>
      <c r="DOD65" s="259"/>
      <c r="DOE65" s="288"/>
      <c r="DOF65" s="288"/>
      <c r="DOG65" s="288"/>
      <c r="DOH65" s="288"/>
      <c r="DOI65" s="288"/>
      <c r="DOJ65" s="288"/>
      <c r="DOK65" s="288"/>
      <c r="DOL65" s="288"/>
      <c r="DOM65" s="288"/>
      <c r="DON65" s="124"/>
      <c r="DOO65" s="259"/>
      <c r="DOP65" s="259"/>
      <c r="DOQ65" s="259"/>
      <c r="DOR65" s="288"/>
      <c r="DOS65" s="288"/>
      <c r="DOT65" s="288"/>
      <c r="DOU65" s="288"/>
      <c r="DOV65" s="288"/>
      <c r="DOW65" s="288"/>
      <c r="DOX65" s="288"/>
      <c r="DOY65" s="288"/>
      <c r="DOZ65" s="288"/>
      <c r="DPA65" s="124"/>
      <c r="DPB65" s="259"/>
      <c r="DPC65" s="259"/>
      <c r="DPD65" s="259"/>
      <c r="DPE65" s="288"/>
      <c r="DPF65" s="288"/>
      <c r="DPG65" s="288"/>
      <c r="DPH65" s="288"/>
      <c r="DPI65" s="288"/>
      <c r="DPJ65" s="288"/>
      <c r="DPK65" s="288"/>
      <c r="DPL65" s="288"/>
      <c r="DPM65" s="288"/>
      <c r="DPN65" s="124"/>
      <c r="DPO65" s="259"/>
      <c r="DPP65" s="259"/>
      <c r="DPQ65" s="259"/>
      <c r="DPR65" s="288"/>
      <c r="DPS65" s="288"/>
      <c r="DPT65" s="288"/>
      <c r="DPU65" s="288"/>
      <c r="DPV65" s="288"/>
      <c r="DPW65" s="288"/>
      <c r="DPX65" s="288"/>
      <c r="DPY65" s="288"/>
      <c r="DPZ65" s="288"/>
      <c r="DQA65" s="124"/>
      <c r="DQB65" s="259"/>
      <c r="DQC65" s="259"/>
      <c r="DQD65" s="259"/>
      <c r="DQE65" s="288"/>
      <c r="DQF65" s="288"/>
      <c r="DQG65" s="288"/>
      <c r="DQH65" s="288"/>
      <c r="DQI65" s="288"/>
      <c r="DQJ65" s="288"/>
      <c r="DQK65" s="288"/>
      <c r="DQL65" s="288"/>
      <c r="DQM65" s="288"/>
      <c r="DQN65" s="124"/>
      <c r="DQO65" s="259"/>
      <c r="DQP65" s="259"/>
      <c r="DQQ65" s="259"/>
      <c r="DQR65" s="288"/>
      <c r="DQS65" s="288"/>
      <c r="DQT65" s="288"/>
      <c r="DQU65" s="288"/>
      <c r="DQV65" s="288"/>
      <c r="DQW65" s="288"/>
      <c r="DQX65" s="288"/>
      <c r="DQY65" s="288"/>
      <c r="DQZ65" s="288"/>
      <c r="DRA65" s="124"/>
      <c r="DRB65" s="259"/>
      <c r="DRC65" s="259"/>
      <c r="DRD65" s="259"/>
      <c r="DRE65" s="288"/>
      <c r="DRF65" s="288"/>
      <c r="DRG65" s="288"/>
      <c r="DRH65" s="288"/>
      <c r="DRI65" s="288"/>
      <c r="DRJ65" s="288"/>
      <c r="DRK65" s="288"/>
      <c r="DRL65" s="288"/>
      <c r="DRM65" s="288"/>
      <c r="DRN65" s="124"/>
      <c r="DRO65" s="259"/>
      <c r="DRP65" s="259"/>
      <c r="DRQ65" s="259"/>
      <c r="DRR65" s="288"/>
      <c r="DRS65" s="288"/>
      <c r="DRT65" s="288"/>
      <c r="DRU65" s="288"/>
      <c r="DRV65" s="288"/>
      <c r="DRW65" s="288"/>
      <c r="DRX65" s="288"/>
      <c r="DRY65" s="288"/>
      <c r="DRZ65" s="288"/>
      <c r="DSA65" s="124"/>
      <c r="DSB65" s="259"/>
      <c r="DSC65" s="259"/>
      <c r="DSD65" s="259"/>
      <c r="DSE65" s="288"/>
      <c r="DSF65" s="288"/>
      <c r="DSG65" s="288"/>
      <c r="DSH65" s="288"/>
      <c r="DSI65" s="288"/>
      <c r="DSJ65" s="288"/>
      <c r="DSK65" s="288"/>
      <c r="DSL65" s="288"/>
      <c r="DSM65" s="288"/>
      <c r="DSN65" s="124"/>
      <c r="DSO65" s="259"/>
      <c r="DSP65" s="259"/>
      <c r="DSQ65" s="259"/>
      <c r="DSR65" s="288"/>
      <c r="DSS65" s="288"/>
      <c r="DST65" s="288"/>
      <c r="DSU65" s="288"/>
      <c r="DSV65" s="288"/>
      <c r="DSW65" s="288"/>
      <c r="DSX65" s="288"/>
      <c r="DSY65" s="288"/>
      <c r="DSZ65" s="288"/>
      <c r="DTA65" s="124"/>
      <c r="DTB65" s="259"/>
      <c r="DTC65" s="259"/>
      <c r="DTD65" s="259"/>
      <c r="DTE65" s="288"/>
      <c r="DTF65" s="288"/>
      <c r="DTG65" s="288"/>
      <c r="DTH65" s="288"/>
      <c r="DTI65" s="288"/>
      <c r="DTJ65" s="288"/>
      <c r="DTK65" s="288"/>
      <c r="DTL65" s="288"/>
      <c r="DTM65" s="288"/>
      <c r="DTN65" s="124"/>
      <c r="DTO65" s="259"/>
      <c r="DTP65" s="259"/>
      <c r="DTQ65" s="259"/>
      <c r="DTR65" s="288"/>
      <c r="DTS65" s="288"/>
      <c r="DTT65" s="288"/>
      <c r="DTU65" s="288"/>
      <c r="DTV65" s="288"/>
      <c r="DTW65" s="288"/>
      <c r="DTX65" s="288"/>
      <c r="DTY65" s="288"/>
      <c r="DTZ65" s="288"/>
      <c r="DUA65" s="124"/>
      <c r="DUB65" s="259"/>
      <c r="DUC65" s="259"/>
      <c r="DUD65" s="259"/>
      <c r="DUE65" s="288"/>
      <c r="DUF65" s="288"/>
      <c r="DUG65" s="288"/>
      <c r="DUH65" s="288"/>
      <c r="DUI65" s="288"/>
      <c r="DUJ65" s="288"/>
      <c r="DUK65" s="288"/>
      <c r="DUL65" s="288"/>
      <c r="DUM65" s="288"/>
      <c r="DUN65" s="124"/>
      <c r="DUO65" s="259"/>
      <c r="DUP65" s="259"/>
      <c r="DUQ65" s="259"/>
      <c r="DUR65" s="288"/>
      <c r="DUS65" s="288"/>
      <c r="DUT65" s="288"/>
      <c r="DUU65" s="288"/>
      <c r="DUV65" s="288"/>
      <c r="DUW65" s="288"/>
      <c r="DUX65" s="288"/>
      <c r="DUY65" s="288"/>
      <c r="DUZ65" s="288"/>
      <c r="DVA65" s="124"/>
      <c r="DVB65" s="259"/>
      <c r="DVC65" s="259"/>
      <c r="DVD65" s="259"/>
      <c r="DVE65" s="288"/>
      <c r="DVF65" s="288"/>
      <c r="DVG65" s="288"/>
      <c r="DVH65" s="288"/>
      <c r="DVI65" s="288"/>
      <c r="DVJ65" s="288"/>
      <c r="DVK65" s="288"/>
      <c r="DVL65" s="288"/>
      <c r="DVM65" s="288"/>
      <c r="DVN65" s="124"/>
      <c r="DVO65" s="259"/>
      <c r="DVP65" s="259"/>
      <c r="DVQ65" s="259"/>
      <c r="DVR65" s="288"/>
      <c r="DVS65" s="288"/>
      <c r="DVT65" s="288"/>
      <c r="DVU65" s="288"/>
      <c r="DVV65" s="288"/>
      <c r="DVW65" s="288"/>
      <c r="DVX65" s="288"/>
      <c r="DVY65" s="288"/>
      <c r="DVZ65" s="288"/>
      <c r="DWA65" s="124"/>
      <c r="DWB65" s="259"/>
      <c r="DWC65" s="259"/>
      <c r="DWD65" s="259"/>
      <c r="DWE65" s="288"/>
      <c r="DWF65" s="288"/>
      <c r="DWG65" s="288"/>
      <c r="DWH65" s="288"/>
      <c r="DWI65" s="288"/>
      <c r="DWJ65" s="288"/>
      <c r="DWK65" s="288"/>
      <c r="DWL65" s="288"/>
      <c r="DWM65" s="288"/>
      <c r="DWN65" s="124"/>
      <c r="DWO65" s="259"/>
      <c r="DWP65" s="259"/>
      <c r="DWQ65" s="259"/>
      <c r="DWR65" s="288"/>
      <c r="DWS65" s="288"/>
      <c r="DWT65" s="288"/>
      <c r="DWU65" s="288"/>
      <c r="DWV65" s="288"/>
      <c r="DWW65" s="288"/>
      <c r="DWX65" s="288"/>
      <c r="DWY65" s="288"/>
      <c r="DWZ65" s="288"/>
      <c r="DXA65" s="124"/>
      <c r="DXB65" s="259"/>
      <c r="DXC65" s="259"/>
      <c r="DXD65" s="259"/>
      <c r="DXE65" s="288"/>
      <c r="DXF65" s="288"/>
      <c r="DXG65" s="288"/>
      <c r="DXH65" s="288"/>
      <c r="DXI65" s="288"/>
      <c r="DXJ65" s="288"/>
      <c r="DXK65" s="288"/>
      <c r="DXL65" s="288"/>
      <c r="DXM65" s="288"/>
      <c r="DXN65" s="124"/>
      <c r="DXO65" s="259"/>
      <c r="DXP65" s="259"/>
      <c r="DXQ65" s="259"/>
      <c r="DXR65" s="288"/>
      <c r="DXS65" s="288"/>
      <c r="DXT65" s="288"/>
      <c r="DXU65" s="288"/>
      <c r="DXV65" s="288"/>
      <c r="DXW65" s="288"/>
      <c r="DXX65" s="288"/>
      <c r="DXY65" s="288"/>
      <c r="DXZ65" s="288"/>
      <c r="DYA65" s="124"/>
      <c r="DYB65" s="259"/>
      <c r="DYC65" s="259"/>
      <c r="DYD65" s="259"/>
      <c r="DYE65" s="288"/>
      <c r="DYF65" s="288"/>
      <c r="DYG65" s="288"/>
      <c r="DYH65" s="288"/>
      <c r="DYI65" s="288"/>
      <c r="DYJ65" s="288"/>
      <c r="DYK65" s="288"/>
      <c r="DYL65" s="288"/>
      <c r="DYM65" s="288"/>
      <c r="DYN65" s="124"/>
      <c r="DYO65" s="259"/>
      <c r="DYP65" s="259"/>
      <c r="DYQ65" s="259"/>
      <c r="DYR65" s="288"/>
      <c r="DYS65" s="288"/>
      <c r="DYT65" s="288"/>
      <c r="DYU65" s="288"/>
      <c r="DYV65" s="288"/>
      <c r="DYW65" s="288"/>
      <c r="DYX65" s="288"/>
      <c r="DYY65" s="288"/>
      <c r="DYZ65" s="288"/>
      <c r="DZA65" s="124"/>
      <c r="DZB65" s="259"/>
      <c r="DZC65" s="259"/>
      <c r="DZD65" s="259"/>
      <c r="DZE65" s="288"/>
      <c r="DZF65" s="288"/>
      <c r="DZG65" s="288"/>
      <c r="DZH65" s="288"/>
      <c r="DZI65" s="288"/>
      <c r="DZJ65" s="288"/>
      <c r="DZK65" s="288"/>
      <c r="DZL65" s="288"/>
      <c r="DZM65" s="288"/>
      <c r="DZN65" s="124"/>
      <c r="DZO65" s="259"/>
      <c r="DZP65" s="259"/>
      <c r="DZQ65" s="259"/>
      <c r="DZR65" s="288"/>
      <c r="DZS65" s="288"/>
      <c r="DZT65" s="288"/>
      <c r="DZU65" s="288"/>
      <c r="DZV65" s="288"/>
      <c r="DZW65" s="288"/>
      <c r="DZX65" s="288"/>
      <c r="DZY65" s="288"/>
      <c r="DZZ65" s="288"/>
      <c r="EAA65" s="124"/>
      <c r="EAB65" s="259"/>
      <c r="EAC65" s="259"/>
      <c r="EAD65" s="259"/>
      <c r="EAE65" s="288"/>
      <c r="EAF65" s="288"/>
      <c r="EAG65" s="288"/>
      <c r="EAH65" s="288"/>
      <c r="EAI65" s="288"/>
      <c r="EAJ65" s="288"/>
      <c r="EAK65" s="288"/>
      <c r="EAL65" s="288"/>
      <c r="EAM65" s="288"/>
      <c r="EAN65" s="124"/>
      <c r="EAO65" s="259"/>
      <c r="EAP65" s="259"/>
      <c r="EAQ65" s="259"/>
      <c r="EAR65" s="288"/>
      <c r="EAS65" s="288"/>
      <c r="EAT65" s="288"/>
      <c r="EAU65" s="288"/>
      <c r="EAV65" s="288"/>
      <c r="EAW65" s="288"/>
      <c r="EAX65" s="288"/>
      <c r="EAY65" s="288"/>
      <c r="EAZ65" s="288"/>
      <c r="EBA65" s="124"/>
      <c r="EBB65" s="259"/>
      <c r="EBC65" s="259"/>
      <c r="EBD65" s="259"/>
      <c r="EBE65" s="288"/>
      <c r="EBF65" s="288"/>
      <c r="EBG65" s="288"/>
      <c r="EBH65" s="288"/>
      <c r="EBI65" s="288"/>
      <c r="EBJ65" s="288"/>
      <c r="EBK65" s="288"/>
      <c r="EBL65" s="288"/>
      <c r="EBM65" s="288"/>
      <c r="EBN65" s="124"/>
      <c r="EBO65" s="259"/>
      <c r="EBP65" s="259"/>
      <c r="EBQ65" s="259"/>
      <c r="EBR65" s="288"/>
      <c r="EBS65" s="288"/>
      <c r="EBT65" s="288"/>
      <c r="EBU65" s="288"/>
      <c r="EBV65" s="288"/>
      <c r="EBW65" s="288"/>
      <c r="EBX65" s="288"/>
      <c r="EBY65" s="288"/>
      <c r="EBZ65" s="288"/>
      <c r="ECA65" s="124"/>
      <c r="ECB65" s="259"/>
      <c r="ECC65" s="259"/>
      <c r="ECD65" s="259"/>
      <c r="ECE65" s="288"/>
      <c r="ECF65" s="288"/>
      <c r="ECG65" s="288"/>
      <c r="ECH65" s="288"/>
      <c r="ECI65" s="288"/>
      <c r="ECJ65" s="288"/>
      <c r="ECK65" s="288"/>
      <c r="ECL65" s="288"/>
      <c r="ECM65" s="288"/>
      <c r="ECN65" s="124"/>
      <c r="ECO65" s="259"/>
      <c r="ECP65" s="259"/>
      <c r="ECQ65" s="259"/>
      <c r="ECR65" s="288"/>
      <c r="ECS65" s="288"/>
      <c r="ECT65" s="288"/>
      <c r="ECU65" s="288"/>
      <c r="ECV65" s="288"/>
      <c r="ECW65" s="288"/>
      <c r="ECX65" s="288"/>
      <c r="ECY65" s="288"/>
      <c r="ECZ65" s="288"/>
      <c r="EDA65" s="124"/>
      <c r="EDB65" s="259"/>
      <c r="EDC65" s="259"/>
      <c r="EDD65" s="259"/>
      <c r="EDE65" s="288"/>
      <c r="EDF65" s="288"/>
      <c r="EDG65" s="288"/>
      <c r="EDH65" s="288"/>
      <c r="EDI65" s="288"/>
      <c r="EDJ65" s="288"/>
      <c r="EDK65" s="288"/>
      <c r="EDL65" s="288"/>
      <c r="EDM65" s="288"/>
      <c r="EDN65" s="124"/>
      <c r="EDO65" s="259"/>
      <c r="EDP65" s="259"/>
      <c r="EDQ65" s="259"/>
      <c r="EDR65" s="288"/>
      <c r="EDS65" s="288"/>
      <c r="EDT65" s="288"/>
      <c r="EDU65" s="288"/>
      <c r="EDV65" s="288"/>
      <c r="EDW65" s="288"/>
      <c r="EDX65" s="288"/>
      <c r="EDY65" s="288"/>
      <c r="EDZ65" s="288"/>
      <c r="EEA65" s="124"/>
      <c r="EEB65" s="259"/>
      <c r="EEC65" s="259"/>
      <c r="EED65" s="259"/>
      <c r="EEE65" s="288"/>
      <c r="EEF65" s="288"/>
      <c r="EEG65" s="288"/>
      <c r="EEH65" s="288"/>
      <c r="EEI65" s="288"/>
      <c r="EEJ65" s="288"/>
      <c r="EEK65" s="288"/>
      <c r="EEL65" s="288"/>
      <c r="EEM65" s="288"/>
      <c r="EEN65" s="124"/>
      <c r="EEO65" s="259"/>
      <c r="EEP65" s="259"/>
      <c r="EEQ65" s="259"/>
      <c r="EER65" s="288"/>
      <c r="EES65" s="288"/>
      <c r="EET65" s="288"/>
      <c r="EEU65" s="288"/>
      <c r="EEV65" s="288"/>
      <c r="EEW65" s="288"/>
      <c r="EEX65" s="288"/>
      <c r="EEY65" s="288"/>
      <c r="EEZ65" s="288"/>
      <c r="EFA65" s="124"/>
      <c r="EFB65" s="259"/>
      <c r="EFC65" s="259"/>
      <c r="EFD65" s="259"/>
      <c r="EFE65" s="288"/>
      <c r="EFF65" s="288"/>
      <c r="EFG65" s="288"/>
      <c r="EFH65" s="288"/>
      <c r="EFI65" s="288"/>
      <c r="EFJ65" s="288"/>
      <c r="EFK65" s="288"/>
      <c r="EFL65" s="288"/>
      <c r="EFM65" s="288"/>
      <c r="EFN65" s="124"/>
      <c r="EFO65" s="259"/>
      <c r="EFP65" s="259"/>
      <c r="EFQ65" s="259"/>
      <c r="EFR65" s="288"/>
      <c r="EFS65" s="288"/>
      <c r="EFT65" s="288"/>
      <c r="EFU65" s="288"/>
      <c r="EFV65" s="288"/>
      <c r="EFW65" s="288"/>
      <c r="EFX65" s="288"/>
      <c r="EFY65" s="288"/>
      <c r="EFZ65" s="288"/>
      <c r="EGA65" s="124"/>
      <c r="EGB65" s="259"/>
      <c r="EGC65" s="259"/>
      <c r="EGD65" s="259"/>
      <c r="EGE65" s="288"/>
      <c r="EGF65" s="288"/>
      <c r="EGG65" s="288"/>
      <c r="EGH65" s="288"/>
      <c r="EGI65" s="288"/>
      <c r="EGJ65" s="288"/>
      <c r="EGK65" s="288"/>
      <c r="EGL65" s="288"/>
      <c r="EGM65" s="288"/>
      <c r="EGN65" s="124"/>
      <c r="EGO65" s="259"/>
      <c r="EGP65" s="259"/>
      <c r="EGQ65" s="259"/>
      <c r="EGR65" s="288"/>
      <c r="EGS65" s="288"/>
      <c r="EGT65" s="288"/>
      <c r="EGU65" s="288"/>
      <c r="EGV65" s="288"/>
      <c r="EGW65" s="288"/>
      <c r="EGX65" s="288"/>
      <c r="EGY65" s="288"/>
      <c r="EGZ65" s="288"/>
      <c r="EHA65" s="124"/>
      <c r="EHB65" s="259"/>
      <c r="EHC65" s="259"/>
      <c r="EHD65" s="259"/>
      <c r="EHE65" s="288"/>
      <c r="EHF65" s="288"/>
      <c r="EHG65" s="288"/>
      <c r="EHH65" s="288"/>
      <c r="EHI65" s="288"/>
      <c r="EHJ65" s="288"/>
      <c r="EHK65" s="288"/>
      <c r="EHL65" s="288"/>
      <c r="EHM65" s="288"/>
      <c r="EHN65" s="124"/>
      <c r="EHO65" s="259"/>
      <c r="EHP65" s="259"/>
      <c r="EHQ65" s="259"/>
      <c r="EHR65" s="288"/>
      <c r="EHS65" s="288"/>
      <c r="EHT65" s="288"/>
      <c r="EHU65" s="288"/>
      <c r="EHV65" s="288"/>
      <c r="EHW65" s="288"/>
      <c r="EHX65" s="288"/>
      <c r="EHY65" s="288"/>
      <c r="EHZ65" s="288"/>
      <c r="EIA65" s="124"/>
      <c r="EIB65" s="259"/>
      <c r="EIC65" s="259"/>
      <c r="EID65" s="259"/>
      <c r="EIE65" s="288"/>
      <c r="EIF65" s="288"/>
      <c r="EIG65" s="288"/>
      <c r="EIH65" s="288"/>
      <c r="EII65" s="288"/>
      <c r="EIJ65" s="288"/>
      <c r="EIK65" s="288"/>
      <c r="EIL65" s="288"/>
      <c r="EIM65" s="288"/>
      <c r="EIN65" s="124"/>
      <c r="EIO65" s="259"/>
      <c r="EIP65" s="259"/>
      <c r="EIQ65" s="259"/>
      <c r="EIR65" s="288"/>
      <c r="EIS65" s="288"/>
      <c r="EIT65" s="288"/>
      <c r="EIU65" s="288"/>
      <c r="EIV65" s="288"/>
      <c r="EIW65" s="288"/>
      <c r="EIX65" s="288"/>
      <c r="EIY65" s="288"/>
      <c r="EIZ65" s="288"/>
      <c r="EJA65" s="124"/>
      <c r="EJB65" s="259"/>
      <c r="EJC65" s="259"/>
      <c r="EJD65" s="259"/>
      <c r="EJE65" s="288"/>
      <c r="EJF65" s="288"/>
      <c r="EJG65" s="288"/>
      <c r="EJH65" s="288"/>
      <c r="EJI65" s="288"/>
      <c r="EJJ65" s="288"/>
      <c r="EJK65" s="288"/>
      <c r="EJL65" s="288"/>
      <c r="EJM65" s="288"/>
      <c r="EJN65" s="124"/>
      <c r="EJO65" s="259"/>
      <c r="EJP65" s="259"/>
      <c r="EJQ65" s="259"/>
      <c r="EJR65" s="288"/>
      <c r="EJS65" s="288"/>
      <c r="EJT65" s="288"/>
      <c r="EJU65" s="288"/>
      <c r="EJV65" s="288"/>
      <c r="EJW65" s="288"/>
      <c r="EJX65" s="288"/>
      <c r="EJY65" s="288"/>
      <c r="EJZ65" s="288"/>
      <c r="EKA65" s="124"/>
      <c r="EKB65" s="259"/>
      <c r="EKC65" s="259"/>
      <c r="EKD65" s="259"/>
      <c r="EKE65" s="288"/>
      <c r="EKF65" s="288"/>
      <c r="EKG65" s="288"/>
      <c r="EKH65" s="288"/>
      <c r="EKI65" s="288"/>
      <c r="EKJ65" s="288"/>
      <c r="EKK65" s="288"/>
      <c r="EKL65" s="288"/>
      <c r="EKM65" s="288"/>
      <c r="EKN65" s="124"/>
      <c r="EKO65" s="259"/>
      <c r="EKP65" s="259"/>
      <c r="EKQ65" s="259"/>
      <c r="EKR65" s="288"/>
      <c r="EKS65" s="288"/>
      <c r="EKT65" s="288"/>
      <c r="EKU65" s="288"/>
      <c r="EKV65" s="288"/>
      <c r="EKW65" s="288"/>
      <c r="EKX65" s="288"/>
      <c r="EKY65" s="288"/>
      <c r="EKZ65" s="288"/>
      <c r="ELA65" s="124"/>
      <c r="ELB65" s="259"/>
      <c r="ELC65" s="259"/>
      <c r="ELD65" s="259"/>
      <c r="ELE65" s="288"/>
      <c r="ELF65" s="288"/>
      <c r="ELG65" s="288"/>
      <c r="ELH65" s="288"/>
      <c r="ELI65" s="288"/>
      <c r="ELJ65" s="288"/>
      <c r="ELK65" s="288"/>
      <c r="ELL65" s="288"/>
      <c r="ELM65" s="288"/>
      <c r="ELN65" s="124"/>
      <c r="ELO65" s="259"/>
      <c r="ELP65" s="259"/>
      <c r="ELQ65" s="259"/>
      <c r="ELR65" s="288"/>
      <c r="ELS65" s="288"/>
      <c r="ELT65" s="288"/>
      <c r="ELU65" s="288"/>
      <c r="ELV65" s="288"/>
      <c r="ELW65" s="288"/>
      <c r="ELX65" s="288"/>
      <c r="ELY65" s="288"/>
      <c r="ELZ65" s="288"/>
      <c r="EMA65" s="124"/>
      <c r="EMB65" s="259"/>
      <c r="EMC65" s="259"/>
      <c r="EMD65" s="259"/>
      <c r="EME65" s="288"/>
      <c r="EMF65" s="288"/>
      <c r="EMG65" s="288"/>
      <c r="EMH65" s="288"/>
      <c r="EMI65" s="288"/>
      <c r="EMJ65" s="288"/>
      <c r="EMK65" s="288"/>
      <c r="EML65" s="288"/>
      <c r="EMM65" s="288"/>
      <c r="EMN65" s="124"/>
      <c r="EMO65" s="259"/>
      <c r="EMP65" s="259"/>
      <c r="EMQ65" s="259"/>
      <c r="EMR65" s="288"/>
      <c r="EMS65" s="288"/>
      <c r="EMT65" s="288"/>
      <c r="EMU65" s="288"/>
      <c r="EMV65" s="288"/>
      <c r="EMW65" s="288"/>
      <c r="EMX65" s="288"/>
      <c r="EMY65" s="288"/>
      <c r="EMZ65" s="288"/>
      <c r="ENA65" s="124"/>
      <c r="ENB65" s="259"/>
      <c r="ENC65" s="259"/>
      <c r="END65" s="259"/>
      <c r="ENE65" s="288"/>
      <c r="ENF65" s="288"/>
      <c r="ENG65" s="288"/>
      <c r="ENH65" s="288"/>
      <c r="ENI65" s="288"/>
      <c r="ENJ65" s="288"/>
      <c r="ENK65" s="288"/>
      <c r="ENL65" s="288"/>
      <c r="ENM65" s="288"/>
      <c r="ENN65" s="124"/>
      <c r="ENO65" s="259"/>
      <c r="ENP65" s="259"/>
      <c r="ENQ65" s="259"/>
      <c r="ENR65" s="288"/>
      <c r="ENS65" s="288"/>
      <c r="ENT65" s="288"/>
      <c r="ENU65" s="288"/>
      <c r="ENV65" s="288"/>
      <c r="ENW65" s="288"/>
      <c r="ENX65" s="288"/>
      <c r="ENY65" s="288"/>
      <c r="ENZ65" s="288"/>
      <c r="EOA65" s="124"/>
      <c r="EOB65" s="259"/>
      <c r="EOC65" s="259"/>
      <c r="EOD65" s="259"/>
      <c r="EOE65" s="288"/>
      <c r="EOF65" s="288"/>
      <c r="EOG65" s="288"/>
      <c r="EOH65" s="288"/>
      <c r="EOI65" s="288"/>
      <c r="EOJ65" s="288"/>
      <c r="EOK65" s="288"/>
      <c r="EOL65" s="288"/>
      <c r="EOM65" s="288"/>
      <c r="EON65" s="124"/>
      <c r="EOO65" s="259"/>
      <c r="EOP65" s="259"/>
      <c r="EOQ65" s="259"/>
      <c r="EOR65" s="288"/>
      <c r="EOS65" s="288"/>
      <c r="EOT65" s="288"/>
      <c r="EOU65" s="288"/>
      <c r="EOV65" s="288"/>
      <c r="EOW65" s="288"/>
      <c r="EOX65" s="288"/>
      <c r="EOY65" s="288"/>
      <c r="EOZ65" s="288"/>
      <c r="EPA65" s="124"/>
      <c r="EPB65" s="259"/>
      <c r="EPC65" s="259"/>
      <c r="EPD65" s="259"/>
      <c r="EPE65" s="288"/>
      <c r="EPF65" s="288"/>
      <c r="EPG65" s="288"/>
      <c r="EPH65" s="288"/>
      <c r="EPI65" s="288"/>
      <c r="EPJ65" s="288"/>
      <c r="EPK65" s="288"/>
      <c r="EPL65" s="288"/>
      <c r="EPM65" s="288"/>
      <c r="EPN65" s="124"/>
      <c r="EPO65" s="259"/>
      <c r="EPP65" s="259"/>
      <c r="EPQ65" s="259"/>
      <c r="EPR65" s="288"/>
      <c r="EPS65" s="288"/>
      <c r="EPT65" s="288"/>
      <c r="EPU65" s="288"/>
      <c r="EPV65" s="288"/>
      <c r="EPW65" s="288"/>
      <c r="EPX65" s="288"/>
      <c r="EPY65" s="288"/>
      <c r="EPZ65" s="288"/>
      <c r="EQA65" s="124"/>
      <c r="EQB65" s="259"/>
      <c r="EQC65" s="259"/>
      <c r="EQD65" s="259"/>
      <c r="EQE65" s="288"/>
      <c r="EQF65" s="288"/>
      <c r="EQG65" s="288"/>
      <c r="EQH65" s="288"/>
      <c r="EQI65" s="288"/>
      <c r="EQJ65" s="288"/>
      <c r="EQK65" s="288"/>
      <c r="EQL65" s="288"/>
      <c r="EQM65" s="288"/>
      <c r="EQN65" s="124"/>
      <c r="EQO65" s="259"/>
      <c r="EQP65" s="259"/>
      <c r="EQQ65" s="259"/>
      <c r="EQR65" s="288"/>
      <c r="EQS65" s="288"/>
      <c r="EQT65" s="288"/>
      <c r="EQU65" s="288"/>
      <c r="EQV65" s="288"/>
      <c r="EQW65" s="288"/>
      <c r="EQX65" s="288"/>
      <c r="EQY65" s="288"/>
      <c r="EQZ65" s="288"/>
      <c r="ERA65" s="124"/>
      <c r="ERB65" s="259"/>
      <c r="ERC65" s="259"/>
      <c r="ERD65" s="259"/>
      <c r="ERE65" s="288"/>
      <c r="ERF65" s="288"/>
      <c r="ERG65" s="288"/>
      <c r="ERH65" s="288"/>
      <c r="ERI65" s="288"/>
      <c r="ERJ65" s="288"/>
      <c r="ERK65" s="288"/>
      <c r="ERL65" s="288"/>
      <c r="ERM65" s="288"/>
      <c r="ERN65" s="124"/>
      <c r="ERO65" s="259"/>
      <c r="ERP65" s="259"/>
      <c r="ERQ65" s="259"/>
      <c r="ERR65" s="288"/>
      <c r="ERS65" s="288"/>
      <c r="ERT65" s="288"/>
      <c r="ERU65" s="288"/>
      <c r="ERV65" s="288"/>
      <c r="ERW65" s="288"/>
      <c r="ERX65" s="288"/>
      <c r="ERY65" s="288"/>
      <c r="ERZ65" s="288"/>
      <c r="ESA65" s="124"/>
      <c r="ESB65" s="259"/>
      <c r="ESC65" s="259"/>
      <c r="ESD65" s="259"/>
      <c r="ESE65" s="288"/>
      <c r="ESF65" s="288"/>
      <c r="ESG65" s="288"/>
      <c r="ESH65" s="288"/>
      <c r="ESI65" s="288"/>
      <c r="ESJ65" s="288"/>
      <c r="ESK65" s="288"/>
      <c r="ESL65" s="288"/>
      <c r="ESM65" s="288"/>
      <c r="ESN65" s="124"/>
      <c r="ESO65" s="259"/>
      <c r="ESP65" s="259"/>
      <c r="ESQ65" s="259"/>
      <c r="ESR65" s="288"/>
      <c r="ESS65" s="288"/>
      <c r="EST65" s="288"/>
      <c r="ESU65" s="288"/>
      <c r="ESV65" s="288"/>
      <c r="ESW65" s="288"/>
      <c r="ESX65" s="288"/>
      <c r="ESY65" s="288"/>
      <c r="ESZ65" s="288"/>
      <c r="ETA65" s="124"/>
      <c r="ETB65" s="259"/>
      <c r="ETC65" s="259"/>
      <c r="ETD65" s="259"/>
      <c r="ETE65" s="288"/>
      <c r="ETF65" s="288"/>
      <c r="ETG65" s="288"/>
      <c r="ETH65" s="288"/>
      <c r="ETI65" s="288"/>
      <c r="ETJ65" s="288"/>
      <c r="ETK65" s="288"/>
      <c r="ETL65" s="288"/>
      <c r="ETM65" s="288"/>
      <c r="ETN65" s="124"/>
      <c r="ETO65" s="259"/>
      <c r="ETP65" s="259"/>
      <c r="ETQ65" s="259"/>
      <c r="ETR65" s="288"/>
      <c r="ETS65" s="288"/>
      <c r="ETT65" s="288"/>
      <c r="ETU65" s="288"/>
      <c r="ETV65" s="288"/>
      <c r="ETW65" s="288"/>
      <c r="ETX65" s="288"/>
      <c r="ETY65" s="288"/>
      <c r="ETZ65" s="288"/>
      <c r="EUA65" s="124"/>
      <c r="EUB65" s="259"/>
      <c r="EUC65" s="259"/>
      <c r="EUD65" s="259"/>
      <c r="EUE65" s="288"/>
      <c r="EUF65" s="288"/>
      <c r="EUG65" s="288"/>
      <c r="EUH65" s="288"/>
      <c r="EUI65" s="288"/>
      <c r="EUJ65" s="288"/>
      <c r="EUK65" s="288"/>
      <c r="EUL65" s="288"/>
      <c r="EUM65" s="288"/>
      <c r="EUN65" s="124"/>
      <c r="EUO65" s="259"/>
      <c r="EUP65" s="259"/>
      <c r="EUQ65" s="259"/>
      <c r="EUR65" s="288"/>
      <c r="EUS65" s="288"/>
      <c r="EUT65" s="288"/>
      <c r="EUU65" s="288"/>
      <c r="EUV65" s="288"/>
      <c r="EUW65" s="288"/>
      <c r="EUX65" s="288"/>
      <c r="EUY65" s="288"/>
      <c r="EUZ65" s="288"/>
      <c r="EVA65" s="124"/>
      <c r="EVB65" s="259"/>
      <c r="EVC65" s="259"/>
      <c r="EVD65" s="259"/>
      <c r="EVE65" s="288"/>
      <c r="EVF65" s="288"/>
      <c r="EVG65" s="288"/>
      <c r="EVH65" s="288"/>
      <c r="EVI65" s="288"/>
      <c r="EVJ65" s="288"/>
      <c r="EVK65" s="288"/>
      <c r="EVL65" s="288"/>
      <c r="EVM65" s="288"/>
      <c r="EVN65" s="124"/>
      <c r="EVO65" s="259"/>
      <c r="EVP65" s="259"/>
      <c r="EVQ65" s="259"/>
      <c r="EVR65" s="288"/>
      <c r="EVS65" s="288"/>
      <c r="EVT65" s="288"/>
      <c r="EVU65" s="288"/>
      <c r="EVV65" s="288"/>
      <c r="EVW65" s="288"/>
      <c r="EVX65" s="288"/>
      <c r="EVY65" s="288"/>
      <c r="EVZ65" s="288"/>
      <c r="EWA65" s="124"/>
      <c r="EWB65" s="259"/>
      <c r="EWC65" s="259"/>
      <c r="EWD65" s="259"/>
      <c r="EWE65" s="288"/>
      <c r="EWF65" s="288"/>
      <c r="EWG65" s="288"/>
      <c r="EWH65" s="288"/>
      <c r="EWI65" s="288"/>
      <c r="EWJ65" s="288"/>
      <c r="EWK65" s="288"/>
      <c r="EWL65" s="288"/>
      <c r="EWM65" s="288"/>
      <c r="EWN65" s="124"/>
      <c r="EWO65" s="259"/>
      <c r="EWP65" s="259"/>
      <c r="EWQ65" s="259"/>
      <c r="EWR65" s="288"/>
      <c r="EWS65" s="288"/>
      <c r="EWT65" s="288"/>
      <c r="EWU65" s="288"/>
      <c r="EWV65" s="288"/>
      <c r="EWW65" s="288"/>
      <c r="EWX65" s="288"/>
      <c r="EWY65" s="288"/>
      <c r="EWZ65" s="288"/>
      <c r="EXA65" s="124"/>
      <c r="EXB65" s="259"/>
      <c r="EXC65" s="259"/>
      <c r="EXD65" s="259"/>
      <c r="EXE65" s="288"/>
      <c r="EXF65" s="288"/>
      <c r="EXG65" s="288"/>
      <c r="EXH65" s="288"/>
      <c r="EXI65" s="288"/>
      <c r="EXJ65" s="288"/>
      <c r="EXK65" s="288"/>
      <c r="EXL65" s="288"/>
      <c r="EXM65" s="288"/>
      <c r="EXN65" s="124"/>
      <c r="EXO65" s="259"/>
      <c r="EXP65" s="259"/>
      <c r="EXQ65" s="259"/>
      <c r="EXR65" s="288"/>
      <c r="EXS65" s="288"/>
      <c r="EXT65" s="288"/>
      <c r="EXU65" s="288"/>
      <c r="EXV65" s="288"/>
      <c r="EXW65" s="288"/>
      <c r="EXX65" s="288"/>
      <c r="EXY65" s="288"/>
      <c r="EXZ65" s="288"/>
      <c r="EYA65" s="124"/>
      <c r="EYB65" s="259"/>
      <c r="EYC65" s="259"/>
      <c r="EYD65" s="259"/>
      <c r="EYE65" s="288"/>
      <c r="EYF65" s="288"/>
      <c r="EYG65" s="288"/>
      <c r="EYH65" s="288"/>
      <c r="EYI65" s="288"/>
      <c r="EYJ65" s="288"/>
      <c r="EYK65" s="288"/>
      <c r="EYL65" s="288"/>
      <c r="EYM65" s="288"/>
      <c r="EYN65" s="124"/>
      <c r="EYO65" s="259"/>
      <c r="EYP65" s="259"/>
      <c r="EYQ65" s="259"/>
      <c r="EYR65" s="288"/>
      <c r="EYS65" s="288"/>
      <c r="EYT65" s="288"/>
      <c r="EYU65" s="288"/>
      <c r="EYV65" s="288"/>
      <c r="EYW65" s="288"/>
      <c r="EYX65" s="288"/>
      <c r="EYY65" s="288"/>
      <c r="EYZ65" s="288"/>
      <c r="EZA65" s="124"/>
      <c r="EZB65" s="259"/>
      <c r="EZC65" s="259"/>
      <c r="EZD65" s="259"/>
      <c r="EZE65" s="288"/>
      <c r="EZF65" s="288"/>
      <c r="EZG65" s="288"/>
      <c r="EZH65" s="288"/>
      <c r="EZI65" s="288"/>
      <c r="EZJ65" s="288"/>
      <c r="EZK65" s="288"/>
      <c r="EZL65" s="288"/>
      <c r="EZM65" s="288"/>
      <c r="EZN65" s="124"/>
      <c r="EZO65" s="259"/>
      <c r="EZP65" s="259"/>
      <c r="EZQ65" s="259"/>
      <c r="EZR65" s="288"/>
      <c r="EZS65" s="288"/>
      <c r="EZT65" s="288"/>
      <c r="EZU65" s="288"/>
      <c r="EZV65" s="288"/>
      <c r="EZW65" s="288"/>
      <c r="EZX65" s="288"/>
      <c r="EZY65" s="288"/>
      <c r="EZZ65" s="288"/>
      <c r="FAA65" s="124"/>
      <c r="FAB65" s="259"/>
      <c r="FAC65" s="259"/>
      <c r="FAD65" s="259"/>
      <c r="FAE65" s="288"/>
      <c r="FAF65" s="288"/>
      <c r="FAG65" s="288"/>
      <c r="FAH65" s="288"/>
      <c r="FAI65" s="288"/>
      <c r="FAJ65" s="288"/>
      <c r="FAK65" s="288"/>
      <c r="FAL65" s="288"/>
      <c r="FAM65" s="288"/>
      <c r="FAN65" s="124"/>
      <c r="FAO65" s="259"/>
      <c r="FAP65" s="259"/>
      <c r="FAQ65" s="259"/>
      <c r="FAR65" s="288"/>
      <c r="FAS65" s="288"/>
      <c r="FAT65" s="288"/>
      <c r="FAU65" s="288"/>
      <c r="FAV65" s="288"/>
      <c r="FAW65" s="288"/>
      <c r="FAX65" s="288"/>
      <c r="FAY65" s="288"/>
      <c r="FAZ65" s="288"/>
      <c r="FBA65" s="124"/>
      <c r="FBB65" s="259"/>
      <c r="FBC65" s="259"/>
      <c r="FBD65" s="259"/>
      <c r="FBE65" s="288"/>
      <c r="FBF65" s="288"/>
      <c r="FBG65" s="288"/>
      <c r="FBH65" s="288"/>
      <c r="FBI65" s="288"/>
      <c r="FBJ65" s="288"/>
      <c r="FBK65" s="288"/>
      <c r="FBL65" s="288"/>
      <c r="FBM65" s="288"/>
      <c r="FBN65" s="124"/>
      <c r="FBO65" s="259"/>
      <c r="FBP65" s="259"/>
      <c r="FBQ65" s="259"/>
      <c r="FBR65" s="288"/>
      <c r="FBS65" s="288"/>
      <c r="FBT65" s="288"/>
      <c r="FBU65" s="288"/>
      <c r="FBV65" s="288"/>
      <c r="FBW65" s="288"/>
      <c r="FBX65" s="288"/>
      <c r="FBY65" s="288"/>
      <c r="FBZ65" s="288"/>
      <c r="FCA65" s="124"/>
      <c r="FCB65" s="259"/>
      <c r="FCC65" s="259"/>
      <c r="FCD65" s="259"/>
      <c r="FCE65" s="288"/>
      <c r="FCF65" s="288"/>
      <c r="FCG65" s="288"/>
      <c r="FCH65" s="288"/>
      <c r="FCI65" s="288"/>
      <c r="FCJ65" s="288"/>
      <c r="FCK65" s="288"/>
      <c r="FCL65" s="288"/>
      <c r="FCM65" s="288"/>
      <c r="FCN65" s="124"/>
      <c r="FCO65" s="259"/>
      <c r="FCP65" s="259"/>
      <c r="FCQ65" s="259"/>
      <c r="FCR65" s="288"/>
      <c r="FCS65" s="288"/>
      <c r="FCT65" s="288"/>
      <c r="FCU65" s="288"/>
      <c r="FCV65" s="288"/>
      <c r="FCW65" s="288"/>
      <c r="FCX65" s="288"/>
      <c r="FCY65" s="288"/>
      <c r="FCZ65" s="288"/>
      <c r="FDA65" s="124"/>
      <c r="FDB65" s="259"/>
      <c r="FDC65" s="259"/>
      <c r="FDD65" s="259"/>
      <c r="FDE65" s="288"/>
      <c r="FDF65" s="288"/>
      <c r="FDG65" s="288"/>
      <c r="FDH65" s="288"/>
      <c r="FDI65" s="288"/>
      <c r="FDJ65" s="288"/>
      <c r="FDK65" s="288"/>
      <c r="FDL65" s="288"/>
      <c r="FDM65" s="288"/>
      <c r="FDN65" s="124"/>
      <c r="FDO65" s="259"/>
      <c r="FDP65" s="259"/>
      <c r="FDQ65" s="259"/>
      <c r="FDR65" s="288"/>
      <c r="FDS65" s="288"/>
      <c r="FDT65" s="288"/>
      <c r="FDU65" s="288"/>
      <c r="FDV65" s="288"/>
      <c r="FDW65" s="288"/>
      <c r="FDX65" s="288"/>
      <c r="FDY65" s="288"/>
      <c r="FDZ65" s="288"/>
      <c r="FEA65" s="124"/>
      <c r="FEB65" s="259"/>
      <c r="FEC65" s="259"/>
      <c r="FED65" s="259"/>
      <c r="FEE65" s="288"/>
      <c r="FEF65" s="288"/>
      <c r="FEG65" s="288"/>
      <c r="FEH65" s="288"/>
      <c r="FEI65" s="288"/>
      <c r="FEJ65" s="288"/>
      <c r="FEK65" s="288"/>
      <c r="FEL65" s="288"/>
      <c r="FEM65" s="288"/>
      <c r="FEN65" s="124"/>
      <c r="FEO65" s="259"/>
      <c r="FEP65" s="259"/>
      <c r="FEQ65" s="259"/>
      <c r="FER65" s="288"/>
      <c r="FES65" s="288"/>
      <c r="FET65" s="288"/>
      <c r="FEU65" s="288"/>
      <c r="FEV65" s="288"/>
      <c r="FEW65" s="288"/>
      <c r="FEX65" s="288"/>
      <c r="FEY65" s="288"/>
      <c r="FEZ65" s="288"/>
      <c r="FFA65" s="124"/>
      <c r="FFB65" s="259"/>
      <c r="FFC65" s="259"/>
      <c r="FFD65" s="259"/>
      <c r="FFE65" s="288"/>
      <c r="FFF65" s="288"/>
      <c r="FFG65" s="288"/>
      <c r="FFH65" s="288"/>
      <c r="FFI65" s="288"/>
      <c r="FFJ65" s="288"/>
      <c r="FFK65" s="288"/>
      <c r="FFL65" s="288"/>
      <c r="FFM65" s="288"/>
      <c r="FFN65" s="124"/>
      <c r="FFO65" s="259"/>
      <c r="FFP65" s="259"/>
      <c r="FFQ65" s="259"/>
      <c r="FFR65" s="288"/>
      <c r="FFS65" s="288"/>
      <c r="FFT65" s="288"/>
      <c r="FFU65" s="288"/>
      <c r="FFV65" s="288"/>
      <c r="FFW65" s="288"/>
      <c r="FFX65" s="288"/>
      <c r="FFY65" s="288"/>
      <c r="FFZ65" s="288"/>
      <c r="FGA65" s="124"/>
      <c r="FGB65" s="259"/>
      <c r="FGC65" s="259"/>
      <c r="FGD65" s="259"/>
      <c r="FGE65" s="288"/>
      <c r="FGF65" s="288"/>
      <c r="FGG65" s="288"/>
      <c r="FGH65" s="288"/>
      <c r="FGI65" s="288"/>
      <c r="FGJ65" s="288"/>
      <c r="FGK65" s="288"/>
      <c r="FGL65" s="288"/>
      <c r="FGM65" s="288"/>
      <c r="FGN65" s="124"/>
      <c r="FGO65" s="259"/>
      <c r="FGP65" s="259"/>
      <c r="FGQ65" s="259"/>
      <c r="FGR65" s="288"/>
      <c r="FGS65" s="288"/>
      <c r="FGT65" s="288"/>
      <c r="FGU65" s="288"/>
      <c r="FGV65" s="288"/>
      <c r="FGW65" s="288"/>
      <c r="FGX65" s="288"/>
      <c r="FGY65" s="288"/>
      <c r="FGZ65" s="288"/>
      <c r="FHA65" s="124"/>
      <c r="FHB65" s="259"/>
      <c r="FHC65" s="259"/>
      <c r="FHD65" s="259"/>
      <c r="FHE65" s="288"/>
      <c r="FHF65" s="288"/>
      <c r="FHG65" s="288"/>
      <c r="FHH65" s="288"/>
      <c r="FHI65" s="288"/>
      <c r="FHJ65" s="288"/>
      <c r="FHK65" s="288"/>
      <c r="FHL65" s="288"/>
      <c r="FHM65" s="288"/>
      <c r="FHN65" s="124"/>
      <c r="FHO65" s="259"/>
      <c r="FHP65" s="259"/>
      <c r="FHQ65" s="259"/>
      <c r="FHR65" s="288"/>
      <c r="FHS65" s="288"/>
      <c r="FHT65" s="288"/>
      <c r="FHU65" s="288"/>
      <c r="FHV65" s="288"/>
      <c r="FHW65" s="288"/>
      <c r="FHX65" s="288"/>
      <c r="FHY65" s="288"/>
      <c r="FHZ65" s="288"/>
      <c r="FIA65" s="124"/>
      <c r="FIB65" s="259"/>
      <c r="FIC65" s="259"/>
      <c r="FID65" s="259"/>
      <c r="FIE65" s="288"/>
      <c r="FIF65" s="288"/>
      <c r="FIG65" s="288"/>
      <c r="FIH65" s="288"/>
      <c r="FII65" s="288"/>
      <c r="FIJ65" s="288"/>
      <c r="FIK65" s="288"/>
      <c r="FIL65" s="288"/>
      <c r="FIM65" s="288"/>
      <c r="FIN65" s="124"/>
      <c r="FIO65" s="259"/>
      <c r="FIP65" s="259"/>
      <c r="FIQ65" s="259"/>
      <c r="FIR65" s="288"/>
      <c r="FIS65" s="288"/>
      <c r="FIT65" s="288"/>
      <c r="FIU65" s="288"/>
      <c r="FIV65" s="288"/>
      <c r="FIW65" s="288"/>
      <c r="FIX65" s="288"/>
      <c r="FIY65" s="288"/>
      <c r="FIZ65" s="288"/>
      <c r="FJA65" s="124"/>
      <c r="FJB65" s="259"/>
      <c r="FJC65" s="259"/>
      <c r="FJD65" s="259"/>
      <c r="FJE65" s="288"/>
      <c r="FJF65" s="288"/>
      <c r="FJG65" s="288"/>
      <c r="FJH65" s="288"/>
      <c r="FJI65" s="288"/>
      <c r="FJJ65" s="288"/>
      <c r="FJK65" s="288"/>
      <c r="FJL65" s="288"/>
      <c r="FJM65" s="288"/>
      <c r="FJN65" s="124"/>
      <c r="FJO65" s="259"/>
      <c r="FJP65" s="259"/>
      <c r="FJQ65" s="259"/>
      <c r="FJR65" s="288"/>
      <c r="FJS65" s="288"/>
      <c r="FJT65" s="288"/>
      <c r="FJU65" s="288"/>
      <c r="FJV65" s="288"/>
      <c r="FJW65" s="288"/>
      <c r="FJX65" s="288"/>
      <c r="FJY65" s="288"/>
      <c r="FJZ65" s="288"/>
      <c r="FKA65" s="124"/>
      <c r="FKB65" s="259"/>
      <c r="FKC65" s="259"/>
      <c r="FKD65" s="259"/>
      <c r="FKE65" s="288"/>
      <c r="FKF65" s="288"/>
      <c r="FKG65" s="288"/>
      <c r="FKH65" s="288"/>
      <c r="FKI65" s="288"/>
      <c r="FKJ65" s="288"/>
      <c r="FKK65" s="288"/>
      <c r="FKL65" s="288"/>
      <c r="FKM65" s="288"/>
      <c r="FKN65" s="124"/>
      <c r="FKO65" s="259"/>
      <c r="FKP65" s="259"/>
      <c r="FKQ65" s="259"/>
      <c r="FKR65" s="288"/>
      <c r="FKS65" s="288"/>
      <c r="FKT65" s="288"/>
      <c r="FKU65" s="288"/>
      <c r="FKV65" s="288"/>
      <c r="FKW65" s="288"/>
      <c r="FKX65" s="288"/>
      <c r="FKY65" s="288"/>
      <c r="FKZ65" s="288"/>
      <c r="FLA65" s="124"/>
      <c r="FLB65" s="259"/>
      <c r="FLC65" s="259"/>
      <c r="FLD65" s="259"/>
      <c r="FLE65" s="288"/>
      <c r="FLF65" s="288"/>
      <c r="FLG65" s="288"/>
      <c r="FLH65" s="288"/>
      <c r="FLI65" s="288"/>
      <c r="FLJ65" s="288"/>
      <c r="FLK65" s="288"/>
      <c r="FLL65" s="288"/>
      <c r="FLM65" s="288"/>
      <c r="FLN65" s="124"/>
      <c r="FLO65" s="259"/>
      <c r="FLP65" s="259"/>
      <c r="FLQ65" s="259"/>
      <c r="FLR65" s="288"/>
      <c r="FLS65" s="288"/>
      <c r="FLT65" s="288"/>
      <c r="FLU65" s="288"/>
      <c r="FLV65" s="288"/>
      <c r="FLW65" s="288"/>
      <c r="FLX65" s="288"/>
      <c r="FLY65" s="288"/>
      <c r="FLZ65" s="288"/>
      <c r="FMA65" s="124"/>
      <c r="FMB65" s="259"/>
      <c r="FMC65" s="259"/>
      <c r="FMD65" s="259"/>
      <c r="FME65" s="288"/>
      <c r="FMF65" s="288"/>
      <c r="FMG65" s="288"/>
      <c r="FMH65" s="288"/>
      <c r="FMI65" s="288"/>
      <c r="FMJ65" s="288"/>
      <c r="FMK65" s="288"/>
      <c r="FML65" s="288"/>
      <c r="FMM65" s="288"/>
      <c r="FMN65" s="124"/>
      <c r="FMO65" s="259"/>
      <c r="FMP65" s="259"/>
      <c r="FMQ65" s="259"/>
      <c r="FMR65" s="288"/>
      <c r="FMS65" s="288"/>
      <c r="FMT65" s="288"/>
      <c r="FMU65" s="288"/>
      <c r="FMV65" s="288"/>
      <c r="FMW65" s="288"/>
      <c r="FMX65" s="288"/>
      <c r="FMY65" s="288"/>
      <c r="FMZ65" s="288"/>
      <c r="FNA65" s="124"/>
      <c r="FNB65" s="259"/>
      <c r="FNC65" s="259"/>
      <c r="FND65" s="259"/>
      <c r="FNE65" s="288"/>
      <c r="FNF65" s="288"/>
      <c r="FNG65" s="288"/>
      <c r="FNH65" s="288"/>
      <c r="FNI65" s="288"/>
      <c r="FNJ65" s="288"/>
      <c r="FNK65" s="288"/>
      <c r="FNL65" s="288"/>
      <c r="FNM65" s="288"/>
      <c r="FNN65" s="124"/>
      <c r="FNO65" s="259"/>
      <c r="FNP65" s="259"/>
      <c r="FNQ65" s="259"/>
      <c r="FNR65" s="288"/>
      <c r="FNS65" s="288"/>
      <c r="FNT65" s="288"/>
      <c r="FNU65" s="288"/>
      <c r="FNV65" s="288"/>
      <c r="FNW65" s="288"/>
      <c r="FNX65" s="288"/>
      <c r="FNY65" s="288"/>
      <c r="FNZ65" s="288"/>
      <c r="FOA65" s="124"/>
      <c r="FOB65" s="259"/>
      <c r="FOC65" s="259"/>
      <c r="FOD65" s="259"/>
      <c r="FOE65" s="288"/>
      <c r="FOF65" s="288"/>
      <c r="FOG65" s="288"/>
      <c r="FOH65" s="288"/>
      <c r="FOI65" s="288"/>
      <c r="FOJ65" s="288"/>
      <c r="FOK65" s="288"/>
      <c r="FOL65" s="288"/>
      <c r="FOM65" s="288"/>
      <c r="FON65" s="124"/>
      <c r="FOO65" s="259"/>
      <c r="FOP65" s="259"/>
      <c r="FOQ65" s="259"/>
      <c r="FOR65" s="288"/>
      <c r="FOS65" s="288"/>
      <c r="FOT65" s="288"/>
      <c r="FOU65" s="288"/>
      <c r="FOV65" s="288"/>
      <c r="FOW65" s="288"/>
      <c r="FOX65" s="288"/>
      <c r="FOY65" s="288"/>
      <c r="FOZ65" s="288"/>
      <c r="FPA65" s="124"/>
      <c r="FPB65" s="259"/>
      <c r="FPC65" s="259"/>
      <c r="FPD65" s="259"/>
      <c r="FPE65" s="288"/>
      <c r="FPF65" s="288"/>
      <c r="FPG65" s="288"/>
      <c r="FPH65" s="288"/>
      <c r="FPI65" s="288"/>
      <c r="FPJ65" s="288"/>
      <c r="FPK65" s="288"/>
      <c r="FPL65" s="288"/>
      <c r="FPM65" s="288"/>
      <c r="FPN65" s="124"/>
      <c r="FPO65" s="259"/>
      <c r="FPP65" s="259"/>
      <c r="FPQ65" s="259"/>
      <c r="FPR65" s="288"/>
      <c r="FPS65" s="288"/>
      <c r="FPT65" s="288"/>
      <c r="FPU65" s="288"/>
      <c r="FPV65" s="288"/>
      <c r="FPW65" s="288"/>
      <c r="FPX65" s="288"/>
      <c r="FPY65" s="288"/>
      <c r="FPZ65" s="288"/>
      <c r="FQA65" s="124"/>
      <c r="FQB65" s="259"/>
      <c r="FQC65" s="259"/>
      <c r="FQD65" s="259"/>
      <c r="FQE65" s="288"/>
      <c r="FQF65" s="288"/>
      <c r="FQG65" s="288"/>
      <c r="FQH65" s="288"/>
      <c r="FQI65" s="288"/>
      <c r="FQJ65" s="288"/>
      <c r="FQK65" s="288"/>
      <c r="FQL65" s="288"/>
      <c r="FQM65" s="288"/>
      <c r="FQN65" s="124"/>
      <c r="FQO65" s="259"/>
      <c r="FQP65" s="259"/>
      <c r="FQQ65" s="259"/>
      <c r="FQR65" s="288"/>
      <c r="FQS65" s="288"/>
      <c r="FQT65" s="288"/>
      <c r="FQU65" s="288"/>
      <c r="FQV65" s="288"/>
      <c r="FQW65" s="288"/>
      <c r="FQX65" s="288"/>
      <c r="FQY65" s="288"/>
      <c r="FQZ65" s="288"/>
      <c r="FRA65" s="124"/>
      <c r="FRB65" s="259"/>
      <c r="FRC65" s="259"/>
      <c r="FRD65" s="259"/>
      <c r="FRE65" s="288"/>
      <c r="FRF65" s="288"/>
      <c r="FRG65" s="288"/>
      <c r="FRH65" s="288"/>
      <c r="FRI65" s="288"/>
      <c r="FRJ65" s="288"/>
      <c r="FRK65" s="288"/>
      <c r="FRL65" s="288"/>
      <c r="FRM65" s="288"/>
      <c r="FRN65" s="124"/>
      <c r="FRO65" s="259"/>
      <c r="FRP65" s="259"/>
      <c r="FRQ65" s="259"/>
      <c r="FRR65" s="288"/>
      <c r="FRS65" s="288"/>
      <c r="FRT65" s="288"/>
      <c r="FRU65" s="288"/>
      <c r="FRV65" s="288"/>
      <c r="FRW65" s="288"/>
      <c r="FRX65" s="288"/>
      <c r="FRY65" s="288"/>
      <c r="FRZ65" s="288"/>
      <c r="FSA65" s="124"/>
      <c r="FSB65" s="259"/>
      <c r="FSC65" s="259"/>
      <c r="FSD65" s="259"/>
      <c r="FSE65" s="288"/>
      <c r="FSF65" s="288"/>
      <c r="FSG65" s="288"/>
      <c r="FSH65" s="288"/>
      <c r="FSI65" s="288"/>
      <c r="FSJ65" s="288"/>
      <c r="FSK65" s="288"/>
      <c r="FSL65" s="288"/>
      <c r="FSM65" s="288"/>
      <c r="FSN65" s="124"/>
      <c r="FSO65" s="259"/>
      <c r="FSP65" s="259"/>
      <c r="FSQ65" s="259"/>
      <c r="FSR65" s="288"/>
      <c r="FSS65" s="288"/>
      <c r="FST65" s="288"/>
      <c r="FSU65" s="288"/>
      <c r="FSV65" s="288"/>
      <c r="FSW65" s="288"/>
      <c r="FSX65" s="288"/>
      <c r="FSY65" s="288"/>
      <c r="FSZ65" s="288"/>
      <c r="FTA65" s="124"/>
      <c r="FTB65" s="259"/>
      <c r="FTC65" s="259"/>
      <c r="FTD65" s="259"/>
      <c r="FTE65" s="288"/>
      <c r="FTF65" s="288"/>
      <c r="FTG65" s="288"/>
      <c r="FTH65" s="288"/>
      <c r="FTI65" s="288"/>
      <c r="FTJ65" s="288"/>
      <c r="FTK65" s="288"/>
      <c r="FTL65" s="288"/>
      <c r="FTM65" s="288"/>
      <c r="FTN65" s="124"/>
      <c r="FTO65" s="259"/>
      <c r="FTP65" s="259"/>
      <c r="FTQ65" s="259"/>
      <c r="FTR65" s="288"/>
      <c r="FTS65" s="288"/>
      <c r="FTT65" s="288"/>
      <c r="FTU65" s="288"/>
      <c r="FTV65" s="288"/>
      <c r="FTW65" s="288"/>
      <c r="FTX65" s="288"/>
      <c r="FTY65" s="288"/>
      <c r="FTZ65" s="288"/>
      <c r="FUA65" s="124"/>
      <c r="FUB65" s="259"/>
      <c r="FUC65" s="259"/>
      <c r="FUD65" s="259"/>
      <c r="FUE65" s="288"/>
      <c r="FUF65" s="288"/>
      <c r="FUG65" s="288"/>
      <c r="FUH65" s="288"/>
      <c r="FUI65" s="288"/>
      <c r="FUJ65" s="288"/>
      <c r="FUK65" s="288"/>
      <c r="FUL65" s="288"/>
      <c r="FUM65" s="288"/>
      <c r="FUN65" s="124"/>
      <c r="FUO65" s="259"/>
      <c r="FUP65" s="259"/>
      <c r="FUQ65" s="259"/>
      <c r="FUR65" s="288"/>
      <c r="FUS65" s="288"/>
      <c r="FUT65" s="288"/>
      <c r="FUU65" s="288"/>
      <c r="FUV65" s="288"/>
      <c r="FUW65" s="288"/>
      <c r="FUX65" s="288"/>
      <c r="FUY65" s="288"/>
      <c r="FUZ65" s="288"/>
      <c r="FVA65" s="124"/>
      <c r="FVB65" s="259"/>
      <c r="FVC65" s="259"/>
      <c r="FVD65" s="259"/>
      <c r="FVE65" s="288"/>
      <c r="FVF65" s="288"/>
      <c r="FVG65" s="288"/>
      <c r="FVH65" s="288"/>
      <c r="FVI65" s="288"/>
      <c r="FVJ65" s="288"/>
      <c r="FVK65" s="288"/>
      <c r="FVL65" s="288"/>
      <c r="FVM65" s="288"/>
      <c r="FVN65" s="124"/>
      <c r="FVO65" s="259"/>
      <c r="FVP65" s="259"/>
      <c r="FVQ65" s="259"/>
      <c r="FVR65" s="288"/>
      <c r="FVS65" s="288"/>
      <c r="FVT65" s="288"/>
      <c r="FVU65" s="288"/>
      <c r="FVV65" s="288"/>
      <c r="FVW65" s="288"/>
      <c r="FVX65" s="288"/>
      <c r="FVY65" s="288"/>
      <c r="FVZ65" s="288"/>
      <c r="FWA65" s="124"/>
      <c r="FWB65" s="259"/>
      <c r="FWC65" s="259"/>
      <c r="FWD65" s="259"/>
      <c r="FWE65" s="288"/>
      <c r="FWF65" s="288"/>
      <c r="FWG65" s="288"/>
      <c r="FWH65" s="288"/>
      <c r="FWI65" s="288"/>
      <c r="FWJ65" s="288"/>
      <c r="FWK65" s="288"/>
      <c r="FWL65" s="288"/>
      <c r="FWM65" s="288"/>
      <c r="FWN65" s="124"/>
      <c r="FWO65" s="259"/>
      <c r="FWP65" s="259"/>
      <c r="FWQ65" s="259"/>
      <c r="FWR65" s="288"/>
      <c r="FWS65" s="288"/>
      <c r="FWT65" s="288"/>
      <c r="FWU65" s="288"/>
      <c r="FWV65" s="288"/>
      <c r="FWW65" s="288"/>
      <c r="FWX65" s="288"/>
      <c r="FWY65" s="288"/>
      <c r="FWZ65" s="288"/>
      <c r="FXA65" s="124"/>
      <c r="FXB65" s="259"/>
      <c r="FXC65" s="259"/>
      <c r="FXD65" s="259"/>
      <c r="FXE65" s="288"/>
      <c r="FXF65" s="288"/>
      <c r="FXG65" s="288"/>
      <c r="FXH65" s="288"/>
      <c r="FXI65" s="288"/>
      <c r="FXJ65" s="288"/>
      <c r="FXK65" s="288"/>
      <c r="FXL65" s="288"/>
      <c r="FXM65" s="288"/>
      <c r="FXN65" s="124"/>
      <c r="FXO65" s="259"/>
      <c r="FXP65" s="259"/>
      <c r="FXQ65" s="259"/>
      <c r="FXR65" s="288"/>
      <c r="FXS65" s="288"/>
      <c r="FXT65" s="288"/>
      <c r="FXU65" s="288"/>
      <c r="FXV65" s="288"/>
      <c r="FXW65" s="288"/>
      <c r="FXX65" s="288"/>
      <c r="FXY65" s="288"/>
      <c r="FXZ65" s="288"/>
      <c r="FYA65" s="124"/>
      <c r="FYB65" s="259"/>
      <c r="FYC65" s="259"/>
      <c r="FYD65" s="259"/>
      <c r="FYE65" s="288"/>
      <c r="FYF65" s="288"/>
      <c r="FYG65" s="288"/>
      <c r="FYH65" s="288"/>
      <c r="FYI65" s="288"/>
      <c r="FYJ65" s="288"/>
      <c r="FYK65" s="288"/>
      <c r="FYL65" s="288"/>
      <c r="FYM65" s="288"/>
      <c r="FYN65" s="124"/>
      <c r="FYO65" s="259"/>
      <c r="FYP65" s="259"/>
      <c r="FYQ65" s="259"/>
      <c r="FYR65" s="288"/>
      <c r="FYS65" s="288"/>
      <c r="FYT65" s="288"/>
      <c r="FYU65" s="288"/>
      <c r="FYV65" s="288"/>
      <c r="FYW65" s="288"/>
      <c r="FYX65" s="288"/>
      <c r="FYY65" s="288"/>
      <c r="FYZ65" s="288"/>
      <c r="FZA65" s="124"/>
      <c r="FZB65" s="259"/>
      <c r="FZC65" s="259"/>
      <c r="FZD65" s="259"/>
      <c r="FZE65" s="288"/>
      <c r="FZF65" s="288"/>
      <c r="FZG65" s="288"/>
      <c r="FZH65" s="288"/>
      <c r="FZI65" s="288"/>
      <c r="FZJ65" s="288"/>
      <c r="FZK65" s="288"/>
      <c r="FZL65" s="288"/>
      <c r="FZM65" s="288"/>
      <c r="FZN65" s="124"/>
      <c r="FZO65" s="259"/>
      <c r="FZP65" s="259"/>
      <c r="FZQ65" s="259"/>
      <c r="FZR65" s="288"/>
      <c r="FZS65" s="288"/>
      <c r="FZT65" s="288"/>
      <c r="FZU65" s="288"/>
      <c r="FZV65" s="288"/>
      <c r="FZW65" s="288"/>
      <c r="FZX65" s="288"/>
      <c r="FZY65" s="288"/>
      <c r="FZZ65" s="288"/>
      <c r="GAA65" s="124"/>
      <c r="GAB65" s="259"/>
      <c r="GAC65" s="259"/>
      <c r="GAD65" s="259"/>
      <c r="GAE65" s="288"/>
      <c r="GAF65" s="288"/>
      <c r="GAG65" s="288"/>
      <c r="GAH65" s="288"/>
      <c r="GAI65" s="288"/>
      <c r="GAJ65" s="288"/>
      <c r="GAK65" s="288"/>
      <c r="GAL65" s="288"/>
      <c r="GAM65" s="288"/>
      <c r="GAN65" s="124"/>
      <c r="GAO65" s="259"/>
      <c r="GAP65" s="259"/>
      <c r="GAQ65" s="259"/>
      <c r="GAR65" s="288"/>
      <c r="GAS65" s="288"/>
      <c r="GAT65" s="288"/>
      <c r="GAU65" s="288"/>
      <c r="GAV65" s="288"/>
      <c r="GAW65" s="288"/>
      <c r="GAX65" s="288"/>
      <c r="GAY65" s="288"/>
      <c r="GAZ65" s="288"/>
      <c r="GBA65" s="124"/>
      <c r="GBB65" s="259"/>
      <c r="GBC65" s="259"/>
      <c r="GBD65" s="259"/>
      <c r="GBE65" s="288"/>
      <c r="GBF65" s="288"/>
      <c r="GBG65" s="288"/>
      <c r="GBH65" s="288"/>
      <c r="GBI65" s="288"/>
      <c r="GBJ65" s="288"/>
      <c r="GBK65" s="288"/>
      <c r="GBL65" s="288"/>
      <c r="GBM65" s="288"/>
      <c r="GBN65" s="124"/>
      <c r="GBO65" s="259"/>
      <c r="GBP65" s="259"/>
      <c r="GBQ65" s="259"/>
      <c r="GBR65" s="288"/>
      <c r="GBS65" s="288"/>
      <c r="GBT65" s="288"/>
      <c r="GBU65" s="288"/>
      <c r="GBV65" s="288"/>
      <c r="GBW65" s="288"/>
      <c r="GBX65" s="288"/>
      <c r="GBY65" s="288"/>
      <c r="GBZ65" s="288"/>
      <c r="GCA65" s="124"/>
      <c r="GCB65" s="259"/>
      <c r="GCC65" s="259"/>
      <c r="GCD65" s="259"/>
      <c r="GCE65" s="288"/>
      <c r="GCF65" s="288"/>
      <c r="GCG65" s="288"/>
      <c r="GCH65" s="288"/>
      <c r="GCI65" s="288"/>
      <c r="GCJ65" s="288"/>
      <c r="GCK65" s="288"/>
      <c r="GCL65" s="288"/>
      <c r="GCM65" s="288"/>
      <c r="GCN65" s="124"/>
      <c r="GCO65" s="259"/>
      <c r="GCP65" s="259"/>
      <c r="GCQ65" s="259"/>
      <c r="GCR65" s="288"/>
      <c r="GCS65" s="288"/>
      <c r="GCT65" s="288"/>
      <c r="GCU65" s="288"/>
      <c r="GCV65" s="288"/>
      <c r="GCW65" s="288"/>
      <c r="GCX65" s="288"/>
      <c r="GCY65" s="288"/>
      <c r="GCZ65" s="288"/>
      <c r="GDA65" s="124"/>
      <c r="GDB65" s="259"/>
      <c r="GDC65" s="259"/>
      <c r="GDD65" s="259"/>
      <c r="GDE65" s="288"/>
      <c r="GDF65" s="288"/>
      <c r="GDG65" s="288"/>
      <c r="GDH65" s="288"/>
      <c r="GDI65" s="288"/>
      <c r="GDJ65" s="288"/>
      <c r="GDK65" s="288"/>
      <c r="GDL65" s="288"/>
      <c r="GDM65" s="288"/>
      <c r="GDN65" s="124"/>
      <c r="GDO65" s="259"/>
      <c r="GDP65" s="259"/>
      <c r="GDQ65" s="259"/>
      <c r="GDR65" s="288"/>
      <c r="GDS65" s="288"/>
      <c r="GDT65" s="288"/>
      <c r="GDU65" s="288"/>
      <c r="GDV65" s="288"/>
      <c r="GDW65" s="288"/>
      <c r="GDX65" s="288"/>
      <c r="GDY65" s="288"/>
      <c r="GDZ65" s="288"/>
      <c r="GEA65" s="124"/>
      <c r="GEB65" s="259"/>
      <c r="GEC65" s="259"/>
      <c r="GED65" s="259"/>
      <c r="GEE65" s="288"/>
      <c r="GEF65" s="288"/>
      <c r="GEG65" s="288"/>
      <c r="GEH65" s="288"/>
      <c r="GEI65" s="288"/>
      <c r="GEJ65" s="288"/>
      <c r="GEK65" s="288"/>
      <c r="GEL65" s="288"/>
      <c r="GEM65" s="288"/>
      <c r="GEN65" s="124"/>
      <c r="GEO65" s="259"/>
      <c r="GEP65" s="259"/>
      <c r="GEQ65" s="259"/>
      <c r="GER65" s="288"/>
      <c r="GES65" s="288"/>
      <c r="GET65" s="288"/>
      <c r="GEU65" s="288"/>
      <c r="GEV65" s="288"/>
      <c r="GEW65" s="288"/>
      <c r="GEX65" s="288"/>
      <c r="GEY65" s="288"/>
      <c r="GEZ65" s="288"/>
      <c r="GFA65" s="124"/>
      <c r="GFB65" s="259"/>
      <c r="GFC65" s="259"/>
      <c r="GFD65" s="259"/>
      <c r="GFE65" s="288"/>
      <c r="GFF65" s="288"/>
      <c r="GFG65" s="288"/>
      <c r="GFH65" s="288"/>
      <c r="GFI65" s="288"/>
      <c r="GFJ65" s="288"/>
      <c r="GFK65" s="288"/>
      <c r="GFL65" s="288"/>
      <c r="GFM65" s="288"/>
      <c r="GFN65" s="124"/>
      <c r="GFO65" s="259"/>
      <c r="GFP65" s="259"/>
      <c r="GFQ65" s="259"/>
      <c r="GFR65" s="288"/>
      <c r="GFS65" s="288"/>
      <c r="GFT65" s="288"/>
      <c r="GFU65" s="288"/>
      <c r="GFV65" s="288"/>
      <c r="GFW65" s="288"/>
      <c r="GFX65" s="288"/>
      <c r="GFY65" s="288"/>
      <c r="GFZ65" s="288"/>
      <c r="GGA65" s="124"/>
      <c r="GGB65" s="259"/>
      <c r="GGC65" s="259"/>
      <c r="GGD65" s="259"/>
      <c r="GGE65" s="288"/>
      <c r="GGF65" s="288"/>
      <c r="GGG65" s="288"/>
      <c r="GGH65" s="288"/>
      <c r="GGI65" s="288"/>
      <c r="GGJ65" s="288"/>
      <c r="GGK65" s="288"/>
      <c r="GGL65" s="288"/>
      <c r="GGM65" s="288"/>
      <c r="GGN65" s="124"/>
      <c r="GGO65" s="259"/>
      <c r="GGP65" s="259"/>
      <c r="GGQ65" s="259"/>
      <c r="GGR65" s="288"/>
      <c r="GGS65" s="288"/>
      <c r="GGT65" s="288"/>
      <c r="GGU65" s="288"/>
      <c r="GGV65" s="288"/>
      <c r="GGW65" s="288"/>
      <c r="GGX65" s="288"/>
      <c r="GGY65" s="288"/>
      <c r="GGZ65" s="288"/>
      <c r="GHA65" s="124"/>
      <c r="GHB65" s="259"/>
      <c r="GHC65" s="259"/>
      <c r="GHD65" s="259"/>
      <c r="GHE65" s="288"/>
      <c r="GHF65" s="288"/>
      <c r="GHG65" s="288"/>
      <c r="GHH65" s="288"/>
      <c r="GHI65" s="288"/>
      <c r="GHJ65" s="288"/>
      <c r="GHK65" s="288"/>
      <c r="GHL65" s="288"/>
      <c r="GHM65" s="288"/>
      <c r="GHN65" s="124"/>
      <c r="GHO65" s="259"/>
      <c r="GHP65" s="259"/>
      <c r="GHQ65" s="259"/>
      <c r="GHR65" s="288"/>
      <c r="GHS65" s="288"/>
      <c r="GHT65" s="288"/>
      <c r="GHU65" s="288"/>
      <c r="GHV65" s="288"/>
      <c r="GHW65" s="288"/>
      <c r="GHX65" s="288"/>
      <c r="GHY65" s="288"/>
      <c r="GHZ65" s="288"/>
      <c r="GIA65" s="124"/>
      <c r="GIB65" s="259"/>
      <c r="GIC65" s="259"/>
      <c r="GID65" s="259"/>
      <c r="GIE65" s="288"/>
      <c r="GIF65" s="288"/>
      <c r="GIG65" s="288"/>
      <c r="GIH65" s="288"/>
      <c r="GII65" s="288"/>
      <c r="GIJ65" s="288"/>
      <c r="GIK65" s="288"/>
      <c r="GIL65" s="288"/>
      <c r="GIM65" s="288"/>
      <c r="GIN65" s="124"/>
      <c r="GIO65" s="259"/>
      <c r="GIP65" s="259"/>
      <c r="GIQ65" s="259"/>
      <c r="GIR65" s="288"/>
      <c r="GIS65" s="288"/>
      <c r="GIT65" s="288"/>
      <c r="GIU65" s="288"/>
      <c r="GIV65" s="288"/>
      <c r="GIW65" s="288"/>
      <c r="GIX65" s="288"/>
      <c r="GIY65" s="288"/>
      <c r="GIZ65" s="288"/>
      <c r="GJA65" s="124"/>
      <c r="GJB65" s="259"/>
      <c r="GJC65" s="259"/>
      <c r="GJD65" s="259"/>
      <c r="GJE65" s="288"/>
      <c r="GJF65" s="288"/>
      <c r="GJG65" s="288"/>
      <c r="GJH65" s="288"/>
      <c r="GJI65" s="288"/>
      <c r="GJJ65" s="288"/>
      <c r="GJK65" s="288"/>
      <c r="GJL65" s="288"/>
      <c r="GJM65" s="288"/>
      <c r="GJN65" s="124"/>
      <c r="GJO65" s="259"/>
      <c r="GJP65" s="259"/>
      <c r="GJQ65" s="259"/>
      <c r="GJR65" s="288"/>
      <c r="GJS65" s="288"/>
      <c r="GJT65" s="288"/>
      <c r="GJU65" s="288"/>
      <c r="GJV65" s="288"/>
      <c r="GJW65" s="288"/>
      <c r="GJX65" s="288"/>
      <c r="GJY65" s="288"/>
      <c r="GJZ65" s="288"/>
      <c r="GKA65" s="124"/>
      <c r="GKB65" s="259"/>
      <c r="GKC65" s="259"/>
      <c r="GKD65" s="259"/>
      <c r="GKE65" s="288"/>
      <c r="GKF65" s="288"/>
      <c r="GKG65" s="288"/>
      <c r="GKH65" s="288"/>
      <c r="GKI65" s="288"/>
      <c r="GKJ65" s="288"/>
      <c r="GKK65" s="288"/>
      <c r="GKL65" s="288"/>
      <c r="GKM65" s="288"/>
      <c r="GKN65" s="124"/>
      <c r="GKO65" s="259"/>
      <c r="GKP65" s="259"/>
      <c r="GKQ65" s="259"/>
      <c r="GKR65" s="288"/>
      <c r="GKS65" s="288"/>
      <c r="GKT65" s="288"/>
      <c r="GKU65" s="288"/>
      <c r="GKV65" s="288"/>
      <c r="GKW65" s="288"/>
      <c r="GKX65" s="288"/>
      <c r="GKY65" s="288"/>
      <c r="GKZ65" s="288"/>
      <c r="GLA65" s="124"/>
      <c r="GLB65" s="259"/>
      <c r="GLC65" s="259"/>
      <c r="GLD65" s="259"/>
      <c r="GLE65" s="288"/>
      <c r="GLF65" s="288"/>
      <c r="GLG65" s="288"/>
      <c r="GLH65" s="288"/>
      <c r="GLI65" s="288"/>
      <c r="GLJ65" s="288"/>
      <c r="GLK65" s="288"/>
      <c r="GLL65" s="288"/>
      <c r="GLM65" s="288"/>
      <c r="GLN65" s="124"/>
      <c r="GLO65" s="259"/>
      <c r="GLP65" s="259"/>
      <c r="GLQ65" s="259"/>
      <c r="GLR65" s="288"/>
      <c r="GLS65" s="288"/>
      <c r="GLT65" s="288"/>
      <c r="GLU65" s="288"/>
      <c r="GLV65" s="288"/>
      <c r="GLW65" s="288"/>
      <c r="GLX65" s="288"/>
      <c r="GLY65" s="288"/>
      <c r="GLZ65" s="288"/>
      <c r="GMA65" s="124"/>
      <c r="GMB65" s="259"/>
      <c r="GMC65" s="259"/>
      <c r="GMD65" s="259"/>
      <c r="GME65" s="288"/>
      <c r="GMF65" s="288"/>
      <c r="GMG65" s="288"/>
      <c r="GMH65" s="288"/>
      <c r="GMI65" s="288"/>
      <c r="GMJ65" s="288"/>
      <c r="GMK65" s="288"/>
      <c r="GML65" s="288"/>
      <c r="GMM65" s="288"/>
      <c r="GMN65" s="124"/>
      <c r="GMO65" s="259"/>
      <c r="GMP65" s="259"/>
      <c r="GMQ65" s="259"/>
      <c r="GMR65" s="288"/>
      <c r="GMS65" s="288"/>
      <c r="GMT65" s="288"/>
      <c r="GMU65" s="288"/>
      <c r="GMV65" s="288"/>
      <c r="GMW65" s="288"/>
      <c r="GMX65" s="288"/>
      <c r="GMY65" s="288"/>
      <c r="GMZ65" s="288"/>
      <c r="GNA65" s="124"/>
      <c r="GNB65" s="259"/>
      <c r="GNC65" s="259"/>
      <c r="GND65" s="259"/>
      <c r="GNE65" s="288"/>
      <c r="GNF65" s="288"/>
      <c r="GNG65" s="288"/>
      <c r="GNH65" s="288"/>
      <c r="GNI65" s="288"/>
      <c r="GNJ65" s="288"/>
      <c r="GNK65" s="288"/>
      <c r="GNL65" s="288"/>
      <c r="GNM65" s="288"/>
      <c r="GNN65" s="124"/>
      <c r="GNO65" s="259"/>
      <c r="GNP65" s="259"/>
      <c r="GNQ65" s="259"/>
      <c r="GNR65" s="288"/>
      <c r="GNS65" s="288"/>
      <c r="GNT65" s="288"/>
      <c r="GNU65" s="288"/>
      <c r="GNV65" s="288"/>
      <c r="GNW65" s="288"/>
      <c r="GNX65" s="288"/>
      <c r="GNY65" s="288"/>
      <c r="GNZ65" s="288"/>
      <c r="GOA65" s="124"/>
      <c r="GOB65" s="259"/>
      <c r="GOC65" s="259"/>
      <c r="GOD65" s="259"/>
      <c r="GOE65" s="288"/>
      <c r="GOF65" s="288"/>
      <c r="GOG65" s="288"/>
      <c r="GOH65" s="288"/>
      <c r="GOI65" s="288"/>
      <c r="GOJ65" s="288"/>
      <c r="GOK65" s="288"/>
      <c r="GOL65" s="288"/>
      <c r="GOM65" s="288"/>
      <c r="GON65" s="124"/>
      <c r="GOO65" s="259"/>
      <c r="GOP65" s="259"/>
      <c r="GOQ65" s="259"/>
      <c r="GOR65" s="288"/>
      <c r="GOS65" s="288"/>
      <c r="GOT65" s="288"/>
      <c r="GOU65" s="288"/>
      <c r="GOV65" s="288"/>
      <c r="GOW65" s="288"/>
      <c r="GOX65" s="288"/>
      <c r="GOY65" s="288"/>
      <c r="GOZ65" s="288"/>
      <c r="GPA65" s="124"/>
      <c r="GPB65" s="259"/>
      <c r="GPC65" s="259"/>
      <c r="GPD65" s="259"/>
      <c r="GPE65" s="288"/>
      <c r="GPF65" s="288"/>
      <c r="GPG65" s="288"/>
      <c r="GPH65" s="288"/>
      <c r="GPI65" s="288"/>
      <c r="GPJ65" s="288"/>
      <c r="GPK65" s="288"/>
      <c r="GPL65" s="288"/>
      <c r="GPM65" s="288"/>
      <c r="GPN65" s="124"/>
      <c r="GPO65" s="259"/>
      <c r="GPP65" s="259"/>
      <c r="GPQ65" s="259"/>
      <c r="GPR65" s="288"/>
      <c r="GPS65" s="288"/>
      <c r="GPT65" s="288"/>
      <c r="GPU65" s="288"/>
      <c r="GPV65" s="288"/>
      <c r="GPW65" s="288"/>
      <c r="GPX65" s="288"/>
      <c r="GPY65" s="288"/>
      <c r="GPZ65" s="288"/>
      <c r="GQA65" s="124"/>
      <c r="GQB65" s="259"/>
      <c r="GQC65" s="259"/>
      <c r="GQD65" s="259"/>
      <c r="GQE65" s="288"/>
      <c r="GQF65" s="288"/>
      <c r="GQG65" s="288"/>
      <c r="GQH65" s="288"/>
      <c r="GQI65" s="288"/>
      <c r="GQJ65" s="288"/>
      <c r="GQK65" s="288"/>
      <c r="GQL65" s="288"/>
      <c r="GQM65" s="288"/>
      <c r="GQN65" s="124"/>
      <c r="GQO65" s="259"/>
      <c r="GQP65" s="259"/>
      <c r="GQQ65" s="259"/>
      <c r="GQR65" s="288"/>
      <c r="GQS65" s="288"/>
      <c r="GQT65" s="288"/>
      <c r="GQU65" s="288"/>
      <c r="GQV65" s="288"/>
      <c r="GQW65" s="288"/>
      <c r="GQX65" s="288"/>
      <c r="GQY65" s="288"/>
      <c r="GQZ65" s="288"/>
      <c r="GRA65" s="124"/>
      <c r="GRB65" s="259"/>
      <c r="GRC65" s="259"/>
      <c r="GRD65" s="259"/>
      <c r="GRE65" s="288"/>
      <c r="GRF65" s="288"/>
      <c r="GRG65" s="288"/>
      <c r="GRH65" s="288"/>
      <c r="GRI65" s="288"/>
      <c r="GRJ65" s="288"/>
      <c r="GRK65" s="288"/>
      <c r="GRL65" s="288"/>
      <c r="GRM65" s="288"/>
      <c r="GRN65" s="124"/>
      <c r="GRO65" s="259"/>
      <c r="GRP65" s="259"/>
      <c r="GRQ65" s="259"/>
      <c r="GRR65" s="288"/>
      <c r="GRS65" s="288"/>
      <c r="GRT65" s="288"/>
      <c r="GRU65" s="288"/>
      <c r="GRV65" s="288"/>
      <c r="GRW65" s="288"/>
      <c r="GRX65" s="288"/>
      <c r="GRY65" s="288"/>
      <c r="GRZ65" s="288"/>
      <c r="GSA65" s="124"/>
      <c r="GSB65" s="259"/>
      <c r="GSC65" s="259"/>
      <c r="GSD65" s="259"/>
      <c r="GSE65" s="288"/>
      <c r="GSF65" s="288"/>
      <c r="GSG65" s="288"/>
      <c r="GSH65" s="288"/>
      <c r="GSI65" s="288"/>
      <c r="GSJ65" s="288"/>
      <c r="GSK65" s="288"/>
      <c r="GSL65" s="288"/>
      <c r="GSM65" s="288"/>
      <c r="GSN65" s="124"/>
      <c r="GSO65" s="259"/>
      <c r="GSP65" s="259"/>
      <c r="GSQ65" s="259"/>
      <c r="GSR65" s="288"/>
      <c r="GSS65" s="288"/>
      <c r="GST65" s="288"/>
      <c r="GSU65" s="288"/>
      <c r="GSV65" s="288"/>
      <c r="GSW65" s="288"/>
      <c r="GSX65" s="288"/>
      <c r="GSY65" s="288"/>
      <c r="GSZ65" s="288"/>
      <c r="GTA65" s="124"/>
      <c r="GTB65" s="259"/>
      <c r="GTC65" s="259"/>
      <c r="GTD65" s="259"/>
      <c r="GTE65" s="288"/>
      <c r="GTF65" s="288"/>
      <c r="GTG65" s="288"/>
      <c r="GTH65" s="288"/>
      <c r="GTI65" s="288"/>
      <c r="GTJ65" s="288"/>
      <c r="GTK65" s="288"/>
      <c r="GTL65" s="288"/>
      <c r="GTM65" s="288"/>
      <c r="GTN65" s="124"/>
      <c r="GTO65" s="259"/>
      <c r="GTP65" s="259"/>
      <c r="GTQ65" s="259"/>
      <c r="GTR65" s="288"/>
      <c r="GTS65" s="288"/>
      <c r="GTT65" s="288"/>
      <c r="GTU65" s="288"/>
      <c r="GTV65" s="288"/>
      <c r="GTW65" s="288"/>
      <c r="GTX65" s="288"/>
      <c r="GTY65" s="288"/>
      <c r="GTZ65" s="288"/>
      <c r="GUA65" s="124"/>
      <c r="GUB65" s="259"/>
      <c r="GUC65" s="259"/>
      <c r="GUD65" s="259"/>
      <c r="GUE65" s="288"/>
      <c r="GUF65" s="288"/>
      <c r="GUG65" s="288"/>
      <c r="GUH65" s="288"/>
      <c r="GUI65" s="288"/>
      <c r="GUJ65" s="288"/>
      <c r="GUK65" s="288"/>
      <c r="GUL65" s="288"/>
      <c r="GUM65" s="288"/>
      <c r="GUN65" s="124"/>
      <c r="GUO65" s="259"/>
      <c r="GUP65" s="259"/>
      <c r="GUQ65" s="259"/>
      <c r="GUR65" s="288"/>
      <c r="GUS65" s="288"/>
      <c r="GUT65" s="288"/>
      <c r="GUU65" s="288"/>
      <c r="GUV65" s="288"/>
      <c r="GUW65" s="288"/>
      <c r="GUX65" s="288"/>
      <c r="GUY65" s="288"/>
      <c r="GUZ65" s="288"/>
      <c r="GVA65" s="124"/>
      <c r="GVB65" s="259"/>
      <c r="GVC65" s="259"/>
      <c r="GVD65" s="259"/>
      <c r="GVE65" s="288"/>
      <c r="GVF65" s="288"/>
      <c r="GVG65" s="288"/>
      <c r="GVH65" s="288"/>
      <c r="GVI65" s="288"/>
      <c r="GVJ65" s="288"/>
      <c r="GVK65" s="288"/>
      <c r="GVL65" s="288"/>
      <c r="GVM65" s="288"/>
      <c r="GVN65" s="124"/>
      <c r="GVO65" s="259"/>
      <c r="GVP65" s="259"/>
      <c r="GVQ65" s="259"/>
      <c r="GVR65" s="288"/>
      <c r="GVS65" s="288"/>
      <c r="GVT65" s="288"/>
      <c r="GVU65" s="288"/>
      <c r="GVV65" s="288"/>
      <c r="GVW65" s="288"/>
      <c r="GVX65" s="288"/>
      <c r="GVY65" s="288"/>
      <c r="GVZ65" s="288"/>
      <c r="GWA65" s="124"/>
      <c r="GWB65" s="259"/>
      <c r="GWC65" s="259"/>
      <c r="GWD65" s="259"/>
      <c r="GWE65" s="288"/>
      <c r="GWF65" s="288"/>
      <c r="GWG65" s="288"/>
      <c r="GWH65" s="288"/>
      <c r="GWI65" s="288"/>
      <c r="GWJ65" s="288"/>
      <c r="GWK65" s="288"/>
      <c r="GWL65" s="288"/>
      <c r="GWM65" s="288"/>
      <c r="GWN65" s="124"/>
      <c r="GWO65" s="259"/>
      <c r="GWP65" s="259"/>
      <c r="GWQ65" s="259"/>
      <c r="GWR65" s="288"/>
      <c r="GWS65" s="288"/>
      <c r="GWT65" s="288"/>
      <c r="GWU65" s="288"/>
      <c r="GWV65" s="288"/>
      <c r="GWW65" s="288"/>
      <c r="GWX65" s="288"/>
      <c r="GWY65" s="288"/>
      <c r="GWZ65" s="288"/>
      <c r="GXA65" s="124"/>
      <c r="GXB65" s="259"/>
      <c r="GXC65" s="259"/>
      <c r="GXD65" s="259"/>
      <c r="GXE65" s="288"/>
      <c r="GXF65" s="288"/>
      <c r="GXG65" s="288"/>
      <c r="GXH65" s="288"/>
      <c r="GXI65" s="288"/>
      <c r="GXJ65" s="288"/>
      <c r="GXK65" s="288"/>
      <c r="GXL65" s="288"/>
      <c r="GXM65" s="288"/>
      <c r="GXN65" s="124"/>
      <c r="GXO65" s="259"/>
      <c r="GXP65" s="259"/>
      <c r="GXQ65" s="259"/>
      <c r="GXR65" s="288"/>
      <c r="GXS65" s="288"/>
      <c r="GXT65" s="288"/>
      <c r="GXU65" s="288"/>
      <c r="GXV65" s="288"/>
      <c r="GXW65" s="288"/>
      <c r="GXX65" s="288"/>
      <c r="GXY65" s="288"/>
      <c r="GXZ65" s="288"/>
      <c r="GYA65" s="124"/>
      <c r="GYB65" s="259"/>
      <c r="GYC65" s="259"/>
      <c r="GYD65" s="259"/>
      <c r="GYE65" s="288"/>
      <c r="GYF65" s="288"/>
      <c r="GYG65" s="288"/>
      <c r="GYH65" s="288"/>
      <c r="GYI65" s="288"/>
      <c r="GYJ65" s="288"/>
      <c r="GYK65" s="288"/>
      <c r="GYL65" s="288"/>
      <c r="GYM65" s="288"/>
      <c r="GYN65" s="124"/>
      <c r="GYO65" s="259"/>
      <c r="GYP65" s="259"/>
      <c r="GYQ65" s="259"/>
      <c r="GYR65" s="288"/>
      <c r="GYS65" s="288"/>
      <c r="GYT65" s="288"/>
      <c r="GYU65" s="288"/>
      <c r="GYV65" s="288"/>
      <c r="GYW65" s="288"/>
      <c r="GYX65" s="288"/>
      <c r="GYY65" s="288"/>
      <c r="GYZ65" s="288"/>
      <c r="GZA65" s="124"/>
      <c r="GZB65" s="259"/>
      <c r="GZC65" s="259"/>
      <c r="GZD65" s="259"/>
      <c r="GZE65" s="288"/>
      <c r="GZF65" s="288"/>
      <c r="GZG65" s="288"/>
      <c r="GZH65" s="288"/>
      <c r="GZI65" s="288"/>
      <c r="GZJ65" s="288"/>
      <c r="GZK65" s="288"/>
      <c r="GZL65" s="288"/>
      <c r="GZM65" s="288"/>
      <c r="GZN65" s="124"/>
      <c r="GZO65" s="259"/>
      <c r="GZP65" s="259"/>
      <c r="GZQ65" s="259"/>
      <c r="GZR65" s="288"/>
      <c r="GZS65" s="288"/>
      <c r="GZT65" s="288"/>
      <c r="GZU65" s="288"/>
      <c r="GZV65" s="288"/>
      <c r="GZW65" s="288"/>
      <c r="GZX65" s="288"/>
      <c r="GZY65" s="288"/>
      <c r="GZZ65" s="288"/>
      <c r="HAA65" s="124"/>
      <c r="HAB65" s="259"/>
      <c r="HAC65" s="259"/>
      <c r="HAD65" s="259"/>
      <c r="HAE65" s="288"/>
      <c r="HAF65" s="288"/>
      <c r="HAG65" s="288"/>
      <c r="HAH65" s="288"/>
      <c r="HAI65" s="288"/>
      <c r="HAJ65" s="288"/>
      <c r="HAK65" s="288"/>
      <c r="HAL65" s="288"/>
      <c r="HAM65" s="288"/>
      <c r="HAN65" s="124"/>
      <c r="HAO65" s="259"/>
      <c r="HAP65" s="259"/>
      <c r="HAQ65" s="259"/>
      <c r="HAR65" s="288"/>
      <c r="HAS65" s="288"/>
      <c r="HAT65" s="288"/>
      <c r="HAU65" s="288"/>
      <c r="HAV65" s="288"/>
      <c r="HAW65" s="288"/>
      <c r="HAX65" s="288"/>
      <c r="HAY65" s="288"/>
      <c r="HAZ65" s="288"/>
      <c r="HBA65" s="124"/>
      <c r="HBB65" s="259"/>
      <c r="HBC65" s="259"/>
      <c r="HBD65" s="259"/>
      <c r="HBE65" s="288"/>
      <c r="HBF65" s="288"/>
      <c r="HBG65" s="288"/>
      <c r="HBH65" s="288"/>
      <c r="HBI65" s="288"/>
      <c r="HBJ65" s="288"/>
      <c r="HBK65" s="288"/>
      <c r="HBL65" s="288"/>
      <c r="HBM65" s="288"/>
      <c r="HBN65" s="124"/>
      <c r="HBO65" s="259"/>
      <c r="HBP65" s="259"/>
      <c r="HBQ65" s="259"/>
      <c r="HBR65" s="288"/>
      <c r="HBS65" s="288"/>
      <c r="HBT65" s="288"/>
      <c r="HBU65" s="288"/>
      <c r="HBV65" s="288"/>
      <c r="HBW65" s="288"/>
      <c r="HBX65" s="288"/>
      <c r="HBY65" s="288"/>
      <c r="HBZ65" s="288"/>
      <c r="HCA65" s="124"/>
      <c r="HCB65" s="259"/>
      <c r="HCC65" s="259"/>
      <c r="HCD65" s="259"/>
      <c r="HCE65" s="288"/>
      <c r="HCF65" s="288"/>
      <c r="HCG65" s="288"/>
      <c r="HCH65" s="288"/>
      <c r="HCI65" s="288"/>
      <c r="HCJ65" s="288"/>
      <c r="HCK65" s="288"/>
      <c r="HCL65" s="288"/>
      <c r="HCM65" s="288"/>
      <c r="HCN65" s="124"/>
      <c r="HCO65" s="259"/>
      <c r="HCP65" s="259"/>
      <c r="HCQ65" s="259"/>
      <c r="HCR65" s="288"/>
      <c r="HCS65" s="288"/>
      <c r="HCT65" s="288"/>
      <c r="HCU65" s="288"/>
      <c r="HCV65" s="288"/>
      <c r="HCW65" s="288"/>
      <c r="HCX65" s="288"/>
      <c r="HCY65" s="288"/>
      <c r="HCZ65" s="288"/>
      <c r="HDA65" s="124"/>
      <c r="HDB65" s="259"/>
      <c r="HDC65" s="259"/>
      <c r="HDD65" s="259"/>
      <c r="HDE65" s="288"/>
      <c r="HDF65" s="288"/>
      <c r="HDG65" s="288"/>
      <c r="HDH65" s="288"/>
      <c r="HDI65" s="288"/>
      <c r="HDJ65" s="288"/>
      <c r="HDK65" s="288"/>
      <c r="HDL65" s="288"/>
      <c r="HDM65" s="288"/>
      <c r="HDN65" s="124"/>
      <c r="HDO65" s="259"/>
      <c r="HDP65" s="259"/>
      <c r="HDQ65" s="259"/>
      <c r="HDR65" s="288"/>
      <c r="HDS65" s="288"/>
      <c r="HDT65" s="288"/>
      <c r="HDU65" s="288"/>
      <c r="HDV65" s="288"/>
      <c r="HDW65" s="288"/>
      <c r="HDX65" s="288"/>
      <c r="HDY65" s="288"/>
      <c r="HDZ65" s="288"/>
      <c r="HEA65" s="124"/>
      <c r="HEB65" s="259"/>
      <c r="HEC65" s="259"/>
      <c r="HED65" s="259"/>
      <c r="HEE65" s="288"/>
      <c r="HEF65" s="288"/>
      <c r="HEG65" s="288"/>
      <c r="HEH65" s="288"/>
      <c r="HEI65" s="288"/>
      <c r="HEJ65" s="288"/>
      <c r="HEK65" s="288"/>
      <c r="HEL65" s="288"/>
      <c r="HEM65" s="288"/>
      <c r="HEN65" s="124"/>
      <c r="HEO65" s="259"/>
      <c r="HEP65" s="259"/>
      <c r="HEQ65" s="259"/>
      <c r="HER65" s="288"/>
      <c r="HES65" s="288"/>
      <c r="HET65" s="288"/>
      <c r="HEU65" s="288"/>
      <c r="HEV65" s="288"/>
      <c r="HEW65" s="288"/>
      <c r="HEX65" s="288"/>
      <c r="HEY65" s="288"/>
      <c r="HEZ65" s="288"/>
      <c r="HFA65" s="124"/>
      <c r="HFB65" s="259"/>
      <c r="HFC65" s="259"/>
      <c r="HFD65" s="259"/>
      <c r="HFE65" s="288"/>
      <c r="HFF65" s="288"/>
      <c r="HFG65" s="288"/>
      <c r="HFH65" s="288"/>
      <c r="HFI65" s="288"/>
      <c r="HFJ65" s="288"/>
      <c r="HFK65" s="288"/>
      <c r="HFL65" s="288"/>
      <c r="HFM65" s="288"/>
      <c r="HFN65" s="124"/>
      <c r="HFO65" s="259"/>
      <c r="HFP65" s="259"/>
      <c r="HFQ65" s="259"/>
      <c r="HFR65" s="288"/>
      <c r="HFS65" s="288"/>
      <c r="HFT65" s="288"/>
      <c r="HFU65" s="288"/>
      <c r="HFV65" s="288"/>
      <c r="HFW65" s="288"/>
      <c r="HFX65" s="288"/>
      <c r="HFY65" s="288"/>
      <c r="HFZ65" s="288"/>
      <c r="HGA65" s="124"/>
      <c r="HGB65" s="259"/>
      <c r="HGC65" s="259"/>
      <c r="HGD65" s="259"/>
      <c r="HGE65" s="288"/>
      <c r="HGF65" s="288"/>
      <c r="HGG65" s="288"/>
      <c r="HGH65" s="288"/>
      <c r="HGI65" s="288"/>
      <c r="HGJ65" s="288"/>
      <c r="HGK65" s="288"/>
      <c r="HGL65" s="288"/>
      <c r="HGM65" s="288"/>
      <c r="HGN65" s="124"/>
      <c r="HGO65" s="259"/>
      <c r="HGP65" s="259"/>
      <c r="HGQ65" s="259"/>
      <c r="HGR65" s="288"/>
      <c r="HGS65" s="288"/>
      <c r="HGT65" s="288"/>
      <c r="HGU65" s="288"/>
      <c r="HGV65" s="288"/>
      <c r="HGW65" s="288"/>
      <c r="HGX65" s="288"/>
      <c r="HGY65" s="288"/>
      <c r="HGZ65" s="288"/>
      <c r="HHA65" s="124"/>
      <c r="HHB65" s="259"/>
      <c r="HHC65" s="259"/>
      <c r="HHD65" s="259"/>
      <c r="HHE65" s="288"/>
      <c r="HHF65" s="288"/>
      <c r="HHG65" s="288"/>
      <c r="HHH65" s="288"/>
      <c r="HHI65" s="288"/>
      <c r="HHJ65" s="288"/>
      <c r="HHK65" s="288"/>
      <c r="HHL65" s="288"/>
      <c r="HHM65" s="288"/>
      <c r="HHN65" s="124"/>
      <c r="HHO65" s="259"/>
      <c r="HHP65" s="259"/>
      <c r="HHQ65" s="259"/>
      <c r="HHR65" s="288"/>
      <c r="HHS65" s="288"/>
      <c r="HHT65" s="288"/>
      <c r="HHU65" s="288"/>
      <c r="HHV65" s="288"/>
      <c r="HHW65" s="288"/>
      <c r="HHX65" s="288"/>
      <c r="HHY65" s="288"/>
      <c r="HHZ65" s="288"/>
      <c r="HIA65" s="124"/>
      <c r="HIB65" s="259"/>
      <c r="HIC65" s="259"/>
      <c r="HID65" s="259"/>
      <c r="HIE65" s="288"/>
      <c r="HIF65" s="288"/>
      <c r="HIG65" s="288"/>
      <c r="HIH65" s="288"/>
      <c r="HII65" s="288"/>
      <c r="HIJ65" s="288"/>
      <c r="HIK65" s="288"/>
      <c r="HIL65" s="288"/>
      <c r="HIM65" s="288"/>
      <c r="HIN65" s="124"/>
      <c r="HIO65" s="259"/>
      <c r="HIP65" s="259"/>
      <c r="HIQ65" s="259"/>
      <c r="HIR65" s="288"/>
      <c r="HIS65" s="288"/>
      <c r="HIT65" s="288"/>
      <c r="HIU65" s="288"/>
      <c r="HIV65" s="288"/>
      <c r="HIW65" s="288"/>
      <c r="HIX65" s="288"/>
      <c r="HIY65" s="288"/>
      <c r="HIZ65" s="288"/>
      <c r="HJA65" s="124"/>
      <c r="HJB65" s="259"/>
      <c r="HJC65" s="259"/>
      <c r="HJD65" s="259"/>
      <c r="HJE65" s="288"/>
      <c r="HJF65" s="288"/>
      <c r="HJG65" s="288"/>
      <c r="HJH65" s="288"/>
      <c r="HJI65" s="288"/>
      <c r="HJJ65" s="288"/>
      <c r="HJK65" s="288"/>
      <c r="HJL65" s="288"/>
      <c r="HJM65" s="288"/>
      <c r="HJN65" s="124"/>
      <c r="HJO65" s="259"/>
      <c r="HJP65" s="259"/>
      <c r="HJQ65" s="259"/>
      <c r="HJR65" s="288"/>
      <c r="HJS65" s="288"/>
      <c r="HJT65" s="288"/>
      <c r="HJU65" s="288"/>
      <c r="HJV65" s="288"/>
      <c r="HJW65" s="288"/>
      <c r="HJX65" s="288"/>
      <c r="HJY65" s="288"/>
      <c r="HJZ65" s="288"/>
      <c r="HKA65" s="124"/>
      <c r="HKB65" s="259"/>
      <c r="HKC65" s="259"/>
      <c r="HKD65" s="259"/>
      <c r="HKE65" s="288"/>
      <c r="HKF65" s="288"/>
      <c r="HKG65" s="288"/>
      <c r="HKH65" s="288"/>
      <c r="HKI65" s="288"/>
      <c r="HKJ65" s="288"/>
      <c r="HKK65" s="288"/>
      <c r="HKL65" s="288"/>
      <c r="HKM65" s="288"/>
      <c r="HKN65" s="124"/>
      <c r="HKO65" s="259"/>
      <c r="HKP65" s="259"/>
      <c r="HKQ65" s="259"/>
      <c r="HKR65" s="288"/>
      <c r="HKS65" s="288"/>
      <c r="HKT65" s="288"/>
      <c r="HKU65" s="288"/>
      <c r="HKV65" s="288"/>
      <c r="HKW65" s="288"/>
      <c r="HKX65" s="288"/>
      <c r="HKY65" s="288"/>
      <c r="HKZ65" s="288"/>
      <c r="HLA65" s="124"/>
      <c r="HLB65" s="259"/>
      <c r="HLC65" s="259"/>
      <c r="HLD65" s="259"/>
      <c r="HLE65" s="288"/>
      <c r="HLF65" s="288"/>
      <c r="HLG65" s="288"/>
      <c r="HLH65" s="288"/>
      <c r="HLI65" s="288"/>
      <c r="HLJ65" s="288"/>
      <c r="HLK65" s="288"/>
      <c r="HLL65" s="288"/>
      <c r="HLM65" s="288"/>
      <c r="HLN65" s="124"/>
      <c r="HLO65" s="259"/>
      <c r="HLP65" s="259"/>
      <c r="HLQ65" s="259"/>
      <c r="HLR65" s="288"/>
      <c r="HLS65" s="288"/>
      <c r="HLT65" s="288"/>
      <c r="HLU65" s="288"/>
      <c r="HLV65" s="288"/>
      <c r="HLW65" s="288"/>
      <c r="HLX65" s="288"/>
      <c r="HLY65" s="288"/>
      <c r="HLZ65" s="288"/>
      <c r="HMA65" s="124"/>
      <c r="HMB65" s="259"/>
      <c r="HMC65" s="259"/>
      <c r="HMD65" s="259"/>
      <c r="HME65" s="288"/>
      <c r="HMF65" s="288"/>
      <c r="HMG65" s="288"/>
      <c r="HMH65" s="288"/>
      <c r="HMI65" s="288"/>
      <c r="HMJ65" s="288"/>
      <c r="HMK65" s="288"/>
      <c r="HML65" s="288"/>
      <c r="HMM65" s="288"/>
      <c r="HMN65" s="124"/>
      <c r="HMO65" s="259"/>
      <c r="HMP65" s="259"/>
      <c r="HMQ65" s="259"/>
      <c r="HMR65" s="288"/>
      <c r="HMS65" s="288"/>
      <c r="HMT65" s="288"/>
      <c r="HMU65" s="288"/>
      <c r="HMV65" s="288"/>
      <c r="HMW65" s="288"/>
      <c r="HMX65" s="288"/>
      <c r="HMY65" s="288"/>
      <c r="HMZ65" s="288"/>
      <c r="HNA65" s="124"/>
      <c r="HNB65" s="259"/>
      <c r="HNC65" s="259"/>
      <c r="HND65" s="259"/>
      <c r="HNE65" s="288"/>
      <c r="HNF65" s="288"/>
      <c r="HNG65" s="288"/>
      <c r="HNH65" s="288"/>
      <c r="HNI65" s="288"/>
      <c r="HNJ65" s="288"/>
      <c r="HNK65" s="288"/>
      <c r="HNL65" s="288"/>
      <c r="HNM65" s="288"/>
      <c r="HNN65" s="124"/>
      <c r="HNO65" s="259"/>
      <c r="HNP65" s="259"/>
      <c r="HNQ65" s="259"/>
      <c r="HNR65" s="288"/>
      <c r="HNS65" s="288"/>
      <c r="HNT65" s="288"/>
      <c r="HNU65" s="288"/>
      <c r="HNV65" s="288"/>
      <c r="HNW65" s="288"/>
      <c r="HNX65" s="288"/>
      <c r="HNY65" s="288"/>
      <c r="HNZ65" s="288"/>
      <c r="HOA65" s="124"/>
      <c r="HOB65" s="259"/>
      <c r="HOC65" s="259"/>
      <c r="HOD65" s="259"/>
      <c r="HOE65" s="288"/>
      <c r="HOF65" s="288"/>
      <c r="HOG65" s="288"/>
      <c r="HOH65" s="288"/>
      <c r="HOI65" s="288"/>
      <c r="HOJ65" s="288"/>
      <c r="HOK65" s="288"/>
      <c r="HOL65" s="288"/>
      <c r="HOM65" s="288"/>
      <c r="HON65" s="124"/>
      <c r="HOO65" s="259"/>
      <c r="HOP65" s="259"/>
      <c r="HOQ65" s="259"/>
      <c r="HOR65" s="288"/>
      <c r="HOS65" s="288"/>
      <c r="HOT65" s="288"/>
      <c r="HOU65" s="288"/>
      <c r="HOV65" s="288"/>
      <c r="HOW65" s="288"/>
      <c r="HOX65" s="288"/>
      <c r="HOY65" s="288"/>
      <c r="HOZ65" s="288"/>
      <c r="HPA65" s="124"/>
      <c r="HPB65" s="259"/>
      <c r="HPC65" s="259"/>
      <c r="HPD65" s="259"/>
      <c r="HPE65" s="288"/>
      <c r="HPF65" s="288"/>
      <c r="HPG65" s="288"/>
      <c r="HPH65" s="288"/>
      <c r="HPI65" s="288"/>
      <c r="HPJ65" s="288"/>
      <c r="HPK65" s="288"/>
      <c r="HPL65" s="288"/>
      <c r="HPM65" s="288"/>
      <c r="HPN65" s="124"/>
      <c r="HPO65" s="259"/>
      <c r="HPP65" s="259"/>
      <c r="HPQ65" s="259"/>
      <c r="HPR65" s="288"/>
      <c r="HPS65" s="288"/>
      <c r="HPT65" s="288"/>
      <c r="HPU65" s="288"/>
      <c r="HPV65" s="288"/>
      <c r="HPW65" s="288"/>
      <c r="HPX65" s="288"/>
      <c r="HPY65" s="288"/>
      <c r="HPZ65" s="288"/>
      <c r="HQA65" s="124"/>
      <c r="HQB65" s="259"/>
      <c r="HQC65" s="259"/>
      <c r="HQD65" s="259"/>
      <c r="HQE65" s="288"/>
      <c r="HQF65" s="288"/>
      <c r="HQG65" s="288"/>
      <c r="HQH65" s="288"/>
      <c r="HQI65" s="288"/>
      <c r="HQJ65" s="288"/>
      <c r="HQK65" s="288"/>
      <c r="HQL65" s="288"/>
      <c r="HQM65" s="288"/>
      <c r="HQN65" s="124"/>
      <c r="HQO65" s="259"/>
      <c r="HQP65" s="259"/>
      <c r="HQQ65" s="259"/>
      <c r="HQR65" s="288"/>
      <c r="HQS65" s="288"/>
      <c r="HQT65" s="288"/>
      <c r="HQU65" s="288"/>
      <c r="HQV65" s="288"/>
      <c r="HQW65" s="288"/>
      <c r="HQX65" s="288"/>
      <c r="HQY65" s="288"/>
      <c r="HQZ65" s="288"/>
      <c r="HRA65" s="124"/>
      <c r="HRB65" s="259"/>
      <c r="HRC65" s="259"/>
      <c r="HRD65" s="259"/>
      <c r="HRE65" s="288"/>
      <c r="HRF65" s="288"/>
      <c r="HRG65" s="288"/>
      <c r="HRH65" s="288"/>
      <c r="HRI65" s="288"/>
      <c r="HRJ65" s="288"/>
      <c r="HRK65" s="288"/>
      <c r="HRL65" s="288"/>
      <c r="HRM65" s="288"/>
      <c r="HRN65" s="124"/>
      <c r="HRO65" s="259"/>
      <c r="HRP65" s="259"/>
      <c r="HRQ65" s="259"/>
      <c r="HRR65" s="288"/>
      <c r="HRS65" s="288"/>
      <c r="HRT65" s="288"/>
      <c r="HRU65" s="288"/>
      <c r="HRV65" s="288"/>
      <c r="HRW65" s="288"/>
      <c r="HRX65" s="288"/>
      <c r="HRY65" s="288"/>
      <c r="HRZ65" s="288"/>
      <c r="HSA65" s="124"/>
      <c r="HSB65" s="259"/>
      <c r="HSC65" s="259"/>
      <c r="HSD65" s="259"/>
      <c r="HSE65" s="288"/>
      <c r="HSF65" s="288"/>
      <c r="HSG65" s="288"/>
      <c r="HSH65" s="288"/>
      <c r="HSI65" s="288"/>
      <c r="HSJ65" s="288"/>
      <c r="HSK65" s="288"/>
      <c r="HSL65" s="288"/>
      <c r="HSM65" s="288"/>
      <c r="HSN65" s="124"/>
      <c r="HSO65" s="259"/>
      <c r="HSP65" s="259"/>
      <c r="HSQ65" s="259"/>
      <c r="HSR65" s="288"/>
      <c r="HSS65" s="288"/>
      <c r="HST65" s="288"/>
      <c r="HSU65" s="288"/>
      <c r="HSV65" s="288"/>
      <c r="HSW65" s="288"/>
      <c r="HSX65" s="288"/>
      <c r="HSY65" s="288"/>
      <c r="HSZ65" s="288"/>
      <c r="HTA65" s="124"/>
      <c r="HTB65" s="259"/>
      <c r="HTC65" s="259"/>
      <c r="HTD65" s="259"/>
      <c r="HTE65" s="288"/>
      <c r="HTF65" s="288"/>
      <c r="HTG65" s="288"/>
      <c r="HTH65" s="288"/>
      <c r="HTI65" s="288"/>
      <c r="HTJ65" s="288"/>
      <c r="HTK65" s="288"/>
      <c r="HTL65" s="288"/>
      <c r="HTM65" s="288"/>
      <c r="HTN65" s="124"/>
      <c r="HTO65" s="259"/>
      <c r="HTP65" s="259"/>
      <c r="HTQ65" s="259"/>
      <c r="HTR65" s="288"/>
      <c r="HTS65" s="288"/>
      <c r="HTT65" s="288"/>
      <c r="HTU65" s="288"/>
      <c r="HTV65" s="288"/>
      <c r="HTW65" s="288"/>
      <c r="HTX65" s="288"/>
      <c r="HTY65" s="288"/>
      <c r="HTZ65" s="288"/>
      <c r="HUA65" s="124"/>
      <c r="HUB65" s="259"/>
      <c r="HUC65" s="259"/>
      <c r="HUD65" s="259"/>
      <c r="HUE65" s="288"/>
      <c r="HUF65" s="288"/>
      <c r="HUG65" s="288"/>
      <c r="HUH65" s="288"/>
      <c r="HUI65" s="288"/>
      <c r="HUJ65" s="288"/>
      <c r="HUK65" s="288"/>
      <c r="HUL65" s="288"/>
      <c r="HUM65" s="288"/>
      <c r="HUN65" s="124"/>
      <c r="HUO65" s="259"/>
      <c r="HUP65" s="259"/>
      <c r="HUQ65" s="259"/>
      <c r="HUR65" s="288"/>
      <c r="HUS65" s="288"/>
      <c r="HUT65" s="288"/>
      <c r="HUU65" s="288"/>
      <c r="HUV65" s="288"/>
      <c r="HUW65" s="288"/>
      <c r="HUX65" s="288"/>
      <c r="HUY65" s="288"/>
      <c r="HUZ65" s="288"/>
      <c r="HVA65" s="124"/>
      <c r="HVB65" s="259"/>
      <c r="HVC65" s="259"/>
      <c r="HVD65" s="259"/>
      <c r="HVE65" s="288"/>
      <c r="HVF65" s="288"/>
      <c r="HVG65" s="288"/>
      <c r="HVH65" s="288"/>
      <c r="HVI65" s="288"/>
      <c r="HVJ65" s="288"/>
      <c r="HVK65" s="288"/>
      <c r="HVL65" s="288"/>
      <c r="HVM65" s="288"/>
      <c r="HVN65" s="124"/>
      <c r="HVO65" s="259"/>
      <c r="HVP65" s="259"/>
      <c r="HVQ65" s="259"/>
      <c r="HVR65" s="288"/>
      <c r="HVS65" s="288"/>
      <c r="HVT65" s="288"/>
      <c r="HVU65" s="288"/>
      <c r="HVV65" s="288"/>
      <c r="HVW65" s="288"/>
      <c r="HVX65" s="288"/>
      <c r="HVY65" s="288"/>
      <c r="HVZ65" s="288"/>
      <c r="HWA65" s="124"/>
      <c r="HWB65" s="259"/>
      <c r="HWC65" s="259"/>
      <c r="HWD65" s="259"/>
      <c r="HWE65" s="288"/>
      <c r="HWF65" s="288"/>
      <c r="HWG65" s="288"/>
      <c r="HWH65" s="288"/>
      <c r="HWI65" s="288"/>
      <c r="HWJ65" s="288"/>
      <c r="HWK65" s="288"/>
      <c r="HWL65" s="288"/>
      <c r="HWM65" s="288"/>
      <c r="HWN65" s="124"/>
      <c r="HWO65" s="259"/>
      <c r="HWP65" s="259"/>
      <c r="HWQ65" s="259"/>
      <c r="HWR65" s="288"/>
      <c r="HWS65" s="288"/>
      <c r="HWT65" s="288"/>
      <c r="HWU65" s="288"/>
      <c r="HWV65" s="288"/>
      <c r="HWW65" s="288"/>
      <c r="HWX65" s="288"/>
      <c r="HWY65" s="288"/>
      <c r="HWZ65" s="288"/>
      <c r="HXA65" s="124"/>
      <c r="HXB65" s="259"/>
      <c r="HXC65" s="259"/>
      <c r="HXD65" s="259"/>
      <c r="HXE65" s="288"/>
      <c r="HXF65" s="288"/>
      <c r="HXG65" s="288"/>
      <c r="HXH65" s="288"/>
      <c r="HXI65" s="288"/>
      <c r="HXJ65" s="288"/>
      <c r="HXK65" s="288"/>
      <c r="HXL65" s="288"/>
      <c r="HXM65" s="288"/>
      <c r="HXN65" s="124"/>
      <c r="HXO65" s="259"/>
      <c r="HXP65" s="259"/>
      <c r="HXQ65" s="259"/>
      <c r="HXR65" s="288"/>
      <c r="HXS65" s="288"/>
      <c r="HXT65" s="288"/>
      <c r="HXU65" s="288"/>
      <c r="HXV65" s="288"/>
      <c r="HXW65" s="288"/>
      <c r="HXX65" s="288"/>
      <c r="HXY65" s="288"/>
      <c r="HXZ65" s="288"/>
      <c r="HYA65" s="124"/>
      <c r="HYB65" s="259"/>
      <c r="HYC65" s="259"/>
      <c r="HYD65" s="259"/>
      <c r="HYE65" s="288"/>
      <c r="HYF65" s="288"/>
      <c r="HYG65" s="288"/>
      <c r="HYH65" s="288"/>
      <c r="HYI65" s="288"/>
      <c r="HYJ65" s="288"/>
      <c r="HYK65" s="288"/>
      <c r="HYL65" s="288"/>
      <c r="HYM65" s="288"/>
      <c r="HYN65" s="124"/>
      <c r="HYO65" s="259"/>
      <c r="HYP65" s="259"/>
      <c r="HYQ65" s="259"/>
      <c r="HYR65" s="288"/>
      <c r="HYS65" s="288"/>
      <c r="HYT65" s="288"/>
      <c r="HYU65" s="288"/>
      <c r="HYV65" s="288"/>
      <c r="HYW65" s="288"/>
      <c r="HYX65" s="288"/>
      <c r="HYY65" s="288"/>
      <c r="HYZ65" s="288"/>
      <c r="HZA65" s="124"/>
      <c r="HZB65" s="259"/>
      <c r="HZC65" s="259"/>
      <c r="HZD65" s="259"/>
      <c r="HZE65" s="288"/>
      <c r="HZF65" s="288"/>
      <c r="HZG65" s="288"/>
      <c r="HZH65" s="288"/>
      <c r="HZI65" s="288"/>
      <c r="HZJ65" s="288"/>
      <c r="HZK65" s="288"/>
      <c r="HZL65" s="288"/>
      <c r="HZM65" s="288"/>
      <c r="HZN65" s="124"/>
      <c r="HZO65" s="259"/>
      <c r="HZP65" s="259"/>
      <c r="HZQ65" s="259"/>
      <c r="HZR65" s="288"/>
      <c r="HZS65" s="288"/>
      <c r="HZT65" s="288"/>
      <c r="HZU65" s="288"/>
      <c r="HZV65" s="288"/>
      <c r="HZW65" s="288"/>
      <c r="HZX65" s="288"/>
      <c r="HZY65" s="288"/>
      <c r="HZZ65" s="288"/>
      <c r="IAA65" s="124"/>
      <c r="IAB65" s="259"/>
      <c r="IAC65" s="259"/>
      <c r="IAD65" s="259"/>
      <c r="IAE65" s="288"/>
      <c r="IAF65" s="288"/>
      <c r="IAG65" s="288"/>
      <c r="IAH65" s="288"/>
      <c r="IAI65" s="288"/>
      <c r="IAJ65" s="288"/>
      <c r="IAK65" s="288"/>
      <c r="IAL65" s="288"/>
      <c r="IAM65" s="288"/>
      <c r="IAN65" s="124"/>
      <c r="IAO65" s="259"/>
      <c r="IAP65" s="259"/>
      <c r="IAQ65" s="259"/>
      <c r="IAR65" s="288"/>
      <c r="IAS65" s="288"/>
      <c r="IAT65" s="288"/>
      <c r="IAU65" s="288"/>
      <c r="IAV65" s="288"/>
      <c r="IAW65" s="288"/>
      <c r="IAX65" s="288"/>
      <c r="IAY65" s="288"/>
      <c r="IAZ65" s="288"/>
      <c r="IBA65" s="124"/>
      <c r="IBB65" s="259"/>
      <c r="IBC65" s="259"/>
      <c r="IBD65" s="259"/>
      <c r="IBE65" s="288"/>
      <c r="IBF65" s="288"/>
      <c r="IBG65" s="288"/>
      <c r="IBH65" s="288"/>
      <c r="IBI65" s="288"/>
      <c r="IBJ65" s="288"/>
      <c r="IBK65" s="288"/>
      <c r="IBL65" s="288"/>
      <c r="IBM65" s="288"/>
      <c r="IBN65" s="124"/>
      <c r="IBO65" s="259"/>
      <c r="IBP65" s="259"/>
      <c r="IBQ65" s="259"/>
      <c r="IBR65" s="288"/>
      <c r="IBS65" s="288"/>
      <c r="IBT65" s="288"/>
      <c r="IBU65" s="288"/>
      <c r="IBV65" s="288"/>
      <c r="IBW65" s="288"/>
      <c r="IBX65" s="288"/>
      <c r="IBY65" s="288"/>
      <c r="IBZ65" s="288"/>
      <c r="ICA65" s="124"/>
      <c r="ICB65" s="259"/>
      <c r="ICC65" s="259"/>
      <c r="ICD65" s="259"/>
      <c r="ICE65" s="288"/>
      <c r="ICF65" s="288"/>
      <c r="ICG65" s="288"/>
      <c r="ICH65" s="288"/>
      <c r="ICI65" s="288"/>
      <c r="ICJ65" s="288"/>
      <c r="ICK65" s="288"/>
      <c r="ICL65" s="288"/>
      <c r="ICM65" s="288"/>
      <c r="ICN65" s="124"/>
      <c r="ICO65" s="259"/>
      <c r="ICP65" s="259"/>
      <c r="ICQ65" s="259"/>
      <c r="ICR65" s="288"/>
      <c r="ICS65" s="288"/>
      <c r="ICT65" s="288"/>
      <c r="ICU65" s="288"/>
      <c r="ICV65" s="288"/>
      <c r="ICW65" s="288"/>
      <c r="ICX65" s="288"/>
      <c r="ICY65" s="288"/>
      <c r="ICZ65" s="288"/>
      <c r="IDA65" s="124"/>
      <c r="IDB65" s="259"/>
      <c r="IDC65" s="259"/>
      <c r="IDD65" s="259"/>
      <c r="IDE65" s="288"/>
      <c r="IDF65" s="288"/>
      <c r="IDG65" s="288"/>
      <c r="IDH65" s="288"/>
      <c r="IDI65" s="288"/>
      <c r="IDJ65" s="288"/>
      <c r="IDK65" s="288"/>
      <c r="IDL65" s="288"/>
      <c r="IDM65" s="288"/>
      <c r="IDN65" s="124"/>
      <c r="IDO65" s="259"/>
      <c r="IDP65" s="259"/>
      <c r="IDQ65" s="259"/>
      <c r="IDR65" s="288"/>
      <c r="IDS65" s="288"/>
      <c r="IDT65" s="288"/>
      <c r="IDU65" s="288"/>
      <c r="IDV65" s="288"/>
      <c r="IDW65" s="288"/>
      <c r="IDX65" s="288"/>
      <c r="IDY65" s="288"/>
      <c r="IDZ65" s="288"/>
      <c r="IEA65" s="124"/>
      <c r="IEB65" s="259"/>
      <c r="IEC65" s="259"/>
      <c r="IED65" s="259"/>
      <c r="IEE65" s="288"/>
      <c r="IEF65" s="288"/>
      <c r="IEG65" s="288"/>
      <c r="IEH65" s="288"/>
      <c r="IEI65" s="288"/>
      <c r="IEJ65" s="288"/>
      <c r="IEK65" s="288"/>
      <c r="IEL65" s="288"/>
      <c r="IEM65" s="288"/>
      <c r="IEN65" s="124"/>
      <c r="IEO65" s="259"/>
      <c r="IEP65" s="259"/>
      <c r="IEQ65" s="259"/>
      <c r="IER65" s="288"/>
      <c r="IES65" s="288"/>
      <c r="IET65" s="288"/>
      <c r="IEU65" s="288"/>
      <c r="IEV65" s="288"/>
      <c r="IEW65" s="288"/>
      <c r="IEX65" s="288"/>
      <c r="IEY65" s="288"/>
      <c r="IEZ65" s="288"/>
      <c r="IFA65" s="124"/>
      <c r="IFB65" s="259"/>
      <c r="IFC65" s="259"/>
      <c r="IFD65" s="259"/>
      <c r="IFE65" s="288"/>
      <c r="IFF65" s="288"/>
      <c r="IFG65" s="288"/>
      <c r="IFH65" s="288"/>
      <c r="IFI65" s="288"/>
      <c r="IFJ65" s="288"/>
      <c r="IFK65" s="288"/>
      <c r="IFL65" s="288"/>
      <c r="IFM65" s="288"/>
      <c r="IFN65" s="124"/>
      <c r="IFO65" s="259"/>
      <c r="IFP65" s="259"/>
      <c r="IFQ65" s="259"/>
      <c r="IFR65" s="288"/>
      <c r="IFS65" s="288"/>
      <c r="IFT65" s="288"/>
      <c r="IFU65" s="288"/>
      <c r="IFV65" s="288"/>
      <c r="IFW65" s="288"/>
      <c r="IFX65" s="288"/>
      <c r="IFY65" s="288"/>
      <c r="IFZ65" s="288"/>
      <c r="IGA65" s="124"/>
      <c r="IGB65" s="259"/>
      <c r="IGC65" s="259"/>
      <c r="IGD65" s="259"/>
      <c r="IGE65" s="288"/>
      <c r="IGF65" s="288"/>
      <c r="IGG65" s="288"/>
      <c r="IGH65" s="288"/>
      <c r="IGI65" s="288"/>
      <c r="IGJ65" s="288"/>
      <c r="IGK65" s="288"/>
      <c r="IGL65" s="288"/>
      <c r="IGM65" s="288"/>
      <c r="IGN65" s="124"/>
      <c r="IGO65" s="259"/>
      <c r="IGP65" s="259"/>
      <c r="IGQ65" s="259"/>
      <c r="IGR65" s="288"/>
      <c r="IGS65" s="288"/>
      <c r="IGT65" s="288"/>
      <c r="IGU65" s="288"/>
      <c r="IGV65" s="288"/>
      <c r="IGW65" s="288"/>
      <c r="IGX65" s="288"/>
      <c r="IGY65" s="288"/>
      <c r="IGZ65" s="288"/>
      <c r="IHA65" s="124"/>
      <c r="IHB65" s="259"/>
      <c r="IHC65" s="259"/>
      <c r="IHD65" s="259"/>
      <c r="IHE65" s="288"/>
      <c r="IHF65" s="288"/>
      <c r="IHG65" s="288"/>
      <c r="IHH65" s="288"/>
      <c r="IHI65" s="288"/>
      <c r="IHJ65" s="288"/>
      <c r="IHK65" s="288"/>
      <c r="IHL65" s="288"/>
      <c r="IHM65" s="288"/>
      <c r="IHN65" s="124"/>
      <c r="IHO65" s="259"/>
      <c r="IHP65" s="259"/>
      <c r="IHQ65" s="259"/>
      <c r="IHR65" s="288"/>
      <c r="IHS65" s="288"/>
      <c r="IHT65" s="288"/>
      <c r="IHU65" s="288"/>
      <c r="IHV65" s="288"/>
      <c r="IHW65" s="288"/>
      <c r="IHX65" s="288"/>
      <c r="IHY65" s="288"/>
      <c r="IHZ65" s="288"/>
      <c r="IIA65" s="124"/>
      <c r="IIB65" s="259"/>
      <c r="IIC65" s="259"/>
      <c r="IID65" s="259"/>
      <c r="IIE65" s="288"/>
      <c r="IIF65" s="288"/>
      <c r="IIG65" s="288"/>
      <c r="IIH65" s="288"/>
      <c r="III65" s="288"/>
      <c r="IIJ65" s="288"/>
      <c r="IIK65" s="288"/>
      <c r="IIL65" s="288"/>
      <c r="IIM65" s="288"/>
      <c r="IIN65" s="124"/>
      <c r="IIO65" s="259"/>
      <c r="IIP65" s="259"/>
      <c r="IIQ65" s="259"/>
      <c r="IIR65" s="288"/>
      <c r="IIS65" s="288"/>
      <c r="IIT65" s="288"/>
      <c r="IIU65" s="288"/>
      <c r="IIV65" s="288"/>
      <c r="IIW65" s="288"/>
      <c r="IIX65" s="288"/>
      <c r="IIY65" s="288"/>
      <c r="IIZ65" s="288"/>
      <c r="IJA65" s="124"/>
      <c r="IJB65" s="259"/>
      <c r="IJC65" s="259"/>
      <c r="IJD65" s="259"/>
      <c r="IJE65" s="288"/>
      <c r="IJF65" s="288"/>
      <c r="IJG65" s="288"/>
      <c r="IJH65" s="288"/>
      <c r="IJI65" s="288"/>
      <c r="IJJ65" s="288"/>
      <c r="IJK65" s="288"/>
      <c r="IJL65" s="288"/>
      <c r="IJM65" s="288"/>
      <c r="IJN65" s="124"/>
      <c r="IJO65" s="259"/>
      <c r="IJP65" s="259"/>
      <c r="IJQ65" s="259"/>
      <c r="IJR65" s="288"/>
      <c r="IJS65" s="288"/>
      <c r="IJT65" s="288"/>
      <c r="IJU65" s="288"/>
      <c r="IJV65" s="288"/>
      <c r="IJW65" s="288"/>
      <c r="IJX65" s="288"/>
      <c r="IJY65" s="288"/>
      <c r="IJZ65" s="288"/>
      <c r="IKA65" s="124"/>
      <c r="IKB65" s="259"/>
      <c r="IKC65" s="259"/>
      <c r="IKD65" s="259"/>
      <c r="IKE65" s="288"/>
      <c r="IKF65" s="288"/>
      <c r="IKG65" s="288"/>
      <c r="IKH65" s="288"/>
      <c r="IKI65" s="288"/>
      <c r="IKJ65" s="288"/>
      <c r="IKK65" s="288"/>
      <c r="IKL65" s="288"/>
      <c r="IKM65" s="288"/>
      <c r="IKN65" s="124"/>
      <c r="IKO65" s="259"/>
      <c r="IKP65" s="259"/>
      <c r="IKQ65" s="259"/>
      <c r="IKR65" s="288"/>
      <c r="IKS65" s="288"/>
      <c r="IKT65" s="288"/>
      <c r="IKU65" s="288"/>
      <c r="IKV65" s="288"/>
      <c r="IKW65" s="288"/>
      <c r="IKX65" s="288"/>
      <c r="IKY65" s="288"/>
      <c r="IKZ65" s="288"/>
      <c r="ILA65" s="124"/>
      <c r="ILB65" s="259"/>
      <c r="ILC65" s="259"/>
      <c r="ILD65" s="259"/>
      <c r="ILE65" s="288"/>
      <c r="ILF65" s="288"/>
      <c r="ILG65" s="288"/>
      <c r="ILH65" s="288"/>
      <c r="ILI65" s="288"/>
      <c r="ILJ65" s="288"/>
      <c r="ILK65" s="288"/>
      <c r="ILL65" s="288"/>
      <c r="ILM65" s="288"/>
      <c r="ILN65" s="124"/>
      <c r="ILO65" s="259"/>
      <c r="ILP65" s="259"/>
      <c r="ILQ65" s="259"/>
      <c r="ILR65" s="288"/>
      <c r="ILS65" s="288"/>
      <c r="ILT65" s="288"/>
      <c r="ILU65" s="288"/>
      <c r="ILV65" s="288"/>
      <c r="ILW65" s="288"/>
      <c r="ILX65" s="288"/>
      <c r="ILY65" s="288"/>
      <c r="ILZ65" s="288"/>
      <c r="IMA65" s="124"/>
      <c r="IMB65" s="259"/>
      <c r="IMC65" s="259"/>
      <c r="IMD65" s="259"/>
      <c r="IME65" s="288"/>
      <c r="IMF65" s="288"/>
      <c r="IMG65" s="288"/>
      <c r="IMH65" s="288"/>
      <c r="IMI65" s="288"/>
      <c r="IMJ65" s="288"/>
      <c r="IMK65" s="288"/>
      <c r="IML65" s="288"/>
      <c r="IMM65" s="288"/>
      <c r="IMN65" s="124"/>
      <c r="IMO65" s="259"/>
      <c r="IMP65" s="259"/>
      <c r="IMQ65" s="259"/>
      <c r="IMR65" s="288"/>
      <c r="IMS65" s="288"/>
      <c r="IMT65" s="288"/>
      <c r="IMU65" s="288"/>
      <c r="IMV65" s="288"/>
      <c r="IMW65" s="288"/>
      <c r="IMX65" s="288"/>
      <c r="IMY65" s="288"/>
      <c r="IMZ65" s="288"/>
      <c r="INA65" s="124"/>
      <c r="INB65" s="259"/>
      <c r="INC65" s="259"/>
      <c r="IND65" s="259"/>
      <c r="INE65" s="288"/>
      <c r="INF65" s="288"/>
      <c r="ING65" s="288"/>
      <c r="INH65" s="288"/>
      <c r="INI65" s="288"/>
      <c r="INJ65" s="288"/>
      <c r="INK65" s="288"/>
      <c r="INL65" s="288"/>
      <c r="INM65" s="288"/>
      <c r="INN65" s="124"/>
      <c r="INO65" s="259"/>
      <c r="INP65" s="259"/>
      <c r="INQ65" s="259"/>
      <c r="INR65" s="288"/>
      <c r="INS65" s="288"/>
      <c r="INT65" s="288"/>
      <c r="INU65" s="288"/>
      <c r="INV65" s="288"/>
      <c r="INW65" s="288"/>
      <c r="INX65" s="288"/>
      <c r="INY65" s="288"/>
      <c r="INZ65" s="288"/>
      <c r="IOA65" s="124"/>
      <c r="IOB65" s="259"/>
      <c r="IOC65" s="259"/>
      <c r="IOD65" s="259"/>
      <c r="IOE65" s="288"/>
      <c r="IOF65" s="288"/>
      <c r="IOG65" s="288"/>
      <c r="IOH65" s="288"/>
      <c r="IOI65" s="288"/>
      <c r="IOJ65" s="288"/>
      <c r="IOK65" s="288"/>
      <c r="IOL65" s="288"/>
      <c r="IOM65" s="288"/>
      <c r="ION65" s="124"/>
      <c r="IOO65" s="259"/>
      <c r="IOP65" s="259"/>
      <c r="IOQ65" s="259"/>
      <c r="IOR65" s="288"/>
      <c r="IOS65" s="288"/>
      <c r="IOT65" s="288"/>
      <c r="IOU65" s="288"/>
      <c r="IOV65" s="288"/>
      <c r="IOW65" s="288"/>
      <c r="IOX65" s="288"/>
      <c r="IOY65" s="288"/>
      <c r="IOZ65" s="288"/>
      <c r="IPA65" s="124"/>
      <c r="IPB65" s="259"/>
      <c r="IPC65" s="259"/>
      <c r="IPD65" s="259"/>
      <c r="IPE65" s="288"/>
      <c r="IPF65" s="288"/>
      <c r="IPG65" s="288"/>
      <c r="IPH65" s="288"/>
      <c r="IPI65" s="288"/>
      <c r="IPJ65" s="288"/>
      <c r="IPK65" s="288"/>
      <c r="IPL65" s="288"/>
      <c r="IPM65" s="288"/>
      <c r="IPN65" s="124"/>
      <c r="IPO65" s="259"/>
      <c r="IPP65" s="259"/>
      <c r="IPQ65" s="259"/>
      <c r="IPR65" s="288"/>
      <c r="IPS65" s="288"/>
      <c r="IPT65" s="288"/>
      <c r="IPU65" s="288"/>
      <c r="IPV65" s="288"/>
      <c r="IPW65" s="288"/>
      <c r="IPX65" s="288"/>
      <c r="IPY65" s="288"/>
      <c r="IPZ65" s="288"/>
      <c r="IQA65" s="124"/>
      <c r="IQB65" s="259"/>
      <c r="IQC65" s="259"/>
      <c r="IQD65" s="259"/>
      <c r="IQE65" s="288"/>
      <c r="IQF65" s="288"/>
      <c r="IQG65" s="288"/>
      <c r="IQH65" s="288"/>
      <c r="IQI65" s="288"/>
      <c r="IQJ65" s="288"/>
      <c r="IQK65" s="288"/>
      <c r="IQL65" s="288"/>
      <c r="IQM65" s="288"/>
      <c r="IQN65" s="124"/>
      <c r="IQO65" s="259"/>
      <c r="IQP65" s="259"/>
      <c r="IQQ65" s="259"/>
      <c r="IQR65" s="288"/>
      <c r="IQS65" s="288"/>
      <c r="IQT65" s="288"/>
      <c r="IQU65" s="288"/>
      <c r="IQV65" s="288"/>
      <c r="IQW65" s="288"/>
      <c r="IQX65" s="288"/>
      <c r="IQY65" s="288"/>
      <c r="IQZ65" s="288"/>
      <c r="IRA65" s="124"/>
      <c r="IRB65" s="259"/>
      <c r="IRC65" s="259"/>
      <c r="IRD65" s="259"/>
      <c r="IRE65" s="288"/>
      <c r="IRF65" s="288"/>
      <c r="IRG65" s="288"/>
      <c r="IRH65" s="288"/>
      <c r="IRI65" s="288"/>
      <c r="IRJ65" s="288"/>
      <c r="IRK65" s="288"/>
      <c r="IRL65" s="288"/>
      <c r="IRM65" s="288"/>
      <c r="IRN65" s="124"/>
      <c r="IRO65" s="259"/>
      <c r="IRP65" s="259"/>
      <c r="IRQ65" s="259"/>
      <c r="IRR65" s="288"/>
      <c r="IRS65" s="288"/>
      <c r="IRT65" s="288"/>
      <c r="IRU65" s="288"/>
      <c r="IRV65" s="288"/>
      <c r="IRW65" s="288"/>
      <c r="IRX65" s="288"/>
      <c r="IRY65" s="288"/>
      <c r="IRZ65" s="288"/>
      <c r="ISA65" s="124"/>
      <c r="ISB65" s="259"/>
      <c r="ISC65" s="259"/>
      <c r="ISD65" s="259"/>
      <c r="ISE65" s="288"/>
      <c r="ISF65" s="288"/>
      <c r="ISG65" s="288"/>
      <c r="ISH65" s="288"/>
      <c r="ISI65" s="288"/>
      <c r="ISJ65" s="288"/>
      <c r="ISK65" s="288"/>
      <c r="ISL65" s="288"/>
      <c r="ISM65" s="288"/>
      <c r="ISN65" s="124"/>
      <c r="ISO65" s="259"/>
      <c r="ISP65" s="259"/>
      <c r="ISQ65" s="259"/>
      <c r="ISR65" s="288"/>
      <c r="ISS65" s="288"/>
      <c r="IST65" s="288"/>
      <c r="ISU65" s="288"/>
      <c r="ISV65" s="288"/>
      <c r="ISW65" s="288"/>
      <c r="ISX65" s="288"/>
      <c r="ISY65" s="288"/>
      <c r="ISZ65" s="288"/>
      <c r="ITA65" s="124"/>
      <c r="ITB65" s="259"/>
      <c r="ITC65" s="259"/>
      <c r="ITD65" s="259"/>
      <c r="ITE65" s="288"/>
      <c r="ITF65" s="288"/>
      <c r="ITG65" s="288"/>
      <c r="ITH65" s="288"/>
      <c r="ITI65" s="288"/>
      <c r="ITJ65" s="288"/>
      <c r="ITK65" s="288"/>
      <c r="ITL65" s="288"/>
      <c r="ITM65" s="288"/>
      <c r="ITN65" s="124"/>
      <c r="ITO65" s="259"/>
      <c r="ITP65" s="259"/>
      <c r="ITQ65" s="259"/>
      <c r="ITR65" s="288"/>
      <c r="ITS65" s="288"/>
      <c r="ITT65" s="288"/>
      <c r="ITU65" s="288"/>
      <c r="ITV65" s="288"/>
      <c r="ITW65" s="288"/>
      <c r="ITX65" s="288"/>
      <c r="ITY65" s="288"/>
      <c r="ITZ65" s="288"/>
      <c r="IUA65" s="124"/>
      <c r="IUB65" s="259"/>
      <c r="IUC65" s="259"/>
      <c r="IUD65" s="259"/>
      <c r="IUE65" s="288"/>
      <c r="IUF65" s="288"/>
      <c r="IUG65" s="288"/>
      <c r="IUH65" s="288"/>
      <c r="IUI65" s="288"/>
      <c r="IUJ65" s="288"/>
      <c r="IUK65" s="288"/>
      <c r="IUL65" s="288"/>
      <c r="IUM65" s="288"/>
      <c r="IUN65" s="124"/>
      <c r="IUO65" s="259"/>
      <c r="IUP65" s="259"/>
      <c r="IUQ65" s="259"/>
      <c r="IUR65" s="288"/>
      <c r="IUS65" s="288"/>
      <c r="IUT65" s="288"/>
      <c r="IUU65" s="288"/>
      <c r="IUV65" s="288"/>
      <c r="IUW65" s="288"/>
      <c r="IUX65" s="288"/>
      <c r="IUY65" s="288"/>
      <c r="IUZ65" s="288"/>
      <c r="IVA65" s="124"/>
      <c r="IVB65" s="259"/>
      <c r="IVC65" s="259"/>
      <c r="IVD65" s="259"/>
      <c r="IVE65" s="288"/>
      <c r="IVF65" s="288"/>
      <c r="IVG65" s="288"/>
      <c r="IVH65" s="288"/>
      <c r="IVI65" s="288"/>
      <c r="IVJ65" s="288"/>
      <c r="IVK65" s="288"/>
      <c r="IVL65" s="288"/>
      <c r="IVM65" s="288"/>
      <c r="IVN65" s="124"/>
      <c r="IVO65" s="259"/>
      <c r="IVP65" s="259"/>
      <c r="IVQ65" s="259"/>
      <c r="IVR65" s="288"/>
      <c r="IVS65" s="288"/>
      <c r="IVT65" s="288"/>
      <c r="IVU65" s="288"/>
      <c r="IVV65" s="288"/>
      <c r="IVW65" s="288"/>
      <c r="IVX65" s="288"/>
      <c r="IVY65" s="288"/>
      <c r="IVZ65" s="288"/>
      <c r="IWA65" s="124"/>
      <c r="IWB65" s="259"/>
      <c r="IWC65" s="259"/>
      <c r="IWD65" s="259"/>
      <c r="IWE65" s="288"/>
      <c r="IWF65" s="288"/>
      <c r="IWG65" s="288"/>
      <c r="IWH65" s="288"/>
      <c r="IWI65" s="288"/>
      <c r="IWJ65" s="288"/>
      <c r="IWK65" s="288"/>
      <c r="IWL65" s="288"/>
      <c r="IWM65" s="288"/>
      <c r="IWN65" s="124"/>
      <c r="IWO65" s="259"/>
      <c r="IWP65" s="259"/>
      <c r="IWQ65" s="259"/>
      <c r="IWR65" s="288"/>
      <c r="IWS65" s="288"/>
      <c r="IWT65" s="288"/>
      <c r="IWU65" s="288"/>
      <c r="IWV65" s="288"/>
      <c r="IWW65" s="288"/>
      <c r="IWX65" s="288"/>
      <c r="IWY65" s="288"/>
      <c r="IWZ65" s="288"/>
      <c r="IXA65" s="124"/>
      <c r="IXB65" s="259"/>
      <c r="IXC65" s="259"/>
      <c r="IXD65" s="259"/>
      <c r="IXE65" s="288"/>
      <c r="IXF65" s="288"/>
      <c r="IXG65" s="288"/>
      <c r="IXH65" s="288"/>
      <c r="IXI65" s="288"/>
      <c r="IXJ65" s="288"/>
      <c r="IXK65" s="288"/>
      <c r="IXL65" s="288"/>
      <c r="IXM65" s="288"/>
      <c r="IXN65" s="124"/>
      <c r="IXO65" s="259"/>
      <c r="IXP65" s="259"/>
      <c r="IXQ65" s="259"/>
      <c r="IXR65" s="288"/>
      <c r="IXS65" s="288"/>
      <c r="IXT65" s="288"/>
      <c r="IXU65" s="288"/>
      <c r="IXV65" s="288"/>
      <c r="IXW65" s="288"/>
      <c r="IXX65" s="288"/>
      <c r="IXY65" s="288"/>
      <c r="IXZ65" s="288"/>
      <c r="IYA65" s="124"/>
      <c r="IYB65" s="259"/>
      <c r="IYC65" s="259"/>
      <c r="IYD65" s="259"/>
      <c r="IYE65" s="288"/>
      <c r="IYF65" s="288"/>
      <c r="IYG65" s="288"/>
      <c r="IYH65" s="288"/>
      <c r="IYI65" s="288"/>
      <c r="IYJ65" s="288"/>
      <c r="IYK65" s="288"/>
      <c r="IYL65" s="288"/>
      <c r="IYM65" s="288"/>
      <c r="IYN65" s="124"/>
      <c r="IYO65" s="259"/>
      <c r="IYP65" s="259"/>
      <c r="IYQ65" s="259"/>
      <c r="IYR65" s="288"/>
      <c r="IYS65" s="288"/>
      <c r="IYT65" s="288"/>
      <c r="IYU65" s="288"/>
      <c r="IYV65" s="288"/>
      <c r="IYW65" s="288"/>
      <c r="IYX65" s="288"/>
      <c r="IYY65" s="288"/>
      <c r="IYZ65" s="288"/>
      <c r="IZA65" s="124"/>
      <c r="IZB65" s="259"/>
      <c r="IZC65" s="259"/>
      <c r="IZD65" s="259"/>
      <c r="IZE65" s="288"/>
      <c r="IZF65" s="288"/>
      <c r="IZG65" s="288"/>
      <c r="IZH65" s="288"/>
      <c r="IZI65" s="288"/>
      <c r="IZJ65" s="288"/>
      <c r="IZK65" s="288"/>
      <c r="IZL65" s="288"/>
      <c r="IZM65" s="288"/>
      <c r="IZN65" s="124"/>
      <c r="IZO65" s="259"/>
      <c r="IZP65" s="259"/>
      <c r="IZQ65" s="259"/>
      <c r="IZR65" s="288"/>
      <c r="IZS65" s="288"/>
      <c r="IZT65" s="288"/>
      <c r="IZU65" s="288"/>
      <c r="IZV65" s="288"/>
      <c r="IZW65" s="288"/>
      <c r="IZX65" s="288"/>
      <c r="IZY65" s="288"/>
      <c r="IZZ65" s="288"/>
      <c r="JAA65" s="124"/>
      <c r="JAB65" s="259"/>
      <c r="JAC65" s="259"/>
      <c r="JAD65" s="259"/>
      <c r="JAE65" s="288"/>
      <c r="JAF65" s="288"/>
      <c r="JAG65" s="288"/>
      <c r="JAH65" s="288"/>
      <c r="JAI65" s="288"/>
      <c r="JAJ65" s="288"/>
      <c r="JAK65" s="288"/>
      <c r="JAL65" s="288"/>
      <c r="JAM65" s="288"/>
      <c r="JAN65" s="124"/>
      <c r="JAO65" s="259"/>
      <c r="JAP65" s="259"/>
      <c r="JAQ65" s="259"/>
      <c r="JAR65" s="288"/>
      <c r="JAS65" s="288"/>
      <c r="JAT65" s="288"/>
      <c r="JAU65" s="288"/>
      <c r="JAV65" s="288"/>
      <c r="JAW65" s="288"/>
      <c r="JAX65" s="288"/>
      <c r="JAY65" s="288"/>
      <c r="JAZ65" s="288"/>
      <c r="JBA65" s="124"/>
      <c r="JBB65" s="259"/>
      <c r="JBC65" s="259"/>
      <c r="JBD65" s="259"/>
      <c r="JBE65" s="288"/>
      <c r="JBF65" s="288"/>
      <c r="JBG65" s="288"/>
      <c r="JBH65" s="288"/>
      <c r="JBI65" s="288"/>
      <c r="JBJ65" s="288"/>
      <c r="JBK65" s="288"/>
      <c r="JBL65" s="288"/>
      <c r="JBM65" s="288"/>
      <c r="JBN65" s="124"/>
      <c r="JBO65" s="259"/>
      <c r="JBP65" s="259"/>
      <c r="JBQ65" s="259"/>
      <c r="JBR65" s="288"/>
      <c r="JBS65" s="288"/>
      <c r="JBT65" s="288"/>
      <c r="JBU65" s="288"/>
      <c r="JBV65" s="288"/>
      <c r="JBW65" s="288"/>
      <c r="JBX65" s="288"/>
      <c r="JBY65" s="288"/>
      <c r="JBZ65" s="288"/>
      <c r="JCA65" s="124"/>
      <c r="JCB65" s="259"/>
      <c r="JCC65" s="259"/>
      <c r="JCD65" s="259"/>
      <c r="JCE65" s="288"/>
      <c r="JCF65" s="288"/>
      <c r="JCG65" s="288"/>
      <c r="JCH65" s="288"/>
      <c r="JCI65" s="288"/>
      <c r="JCJ65" s="288"/>
      <c r="JCK65" s="288"/>
      <c r="JCL65" s="288"/>
      <c r="JCM65" s="288"/>
      <c r="JCN65" s="124"/>
      <c r="JCO65" s="259"/>
      <c r="JCP65" s="259"/>
      <c r="JCQ65" s="259"/>
      <c r="JCR65" s="288"/>
      <c r="JCS65" s="288"/>
      <c r="JCT65" s="288"/>
      <c r="JCU65" s="288"/>
      <c r="JCV65" s="288"/>
      <c r="JCW65" s="288"/>
      <c r="JCX65" s="288"/>
      <c r="JCY65" s="288"/>
      <c r="JCZ65" s="288"/>
      <c r="JDA65" s="124"/>
      <c r="JDB65" s="259"/>
      <c r="JDC65" s="259"/>
      <c r="JDD65" s="259"/>
      <c r="JDE65" s="288"/>
      <c r="JDF65" s="288"/>
      <c r="JDG65" s="288"/>
      <c r="JDH65" s="288"/>
      <c r="JDI65" s="288"/>
      <c r="JDJ65" s="288"/>
      <c r="JDK65" s="288"/>
      <c r="JDL65" s="288"/>
      <c r="JDM65" s="288"/>
      <c r="JDN65" s="124"/>
      <c r="JDO65" s="259"/>
      <c r="JDP65" s="259"/>
      <c r="JDQ65" s="259"/>
      <c r="JDR65" s="288"/>
      <c r="JDS65" s="288"/>
      <c r="JDT65" s="288"/>
      <c r="JDU65" s="288"/>
      <c r="JDV65" s="288"/>
      <c r="JDW65" s="288"/>
      <c r="JDX65" s="288"/>
      <c r="JDY65" s="288"/>
      <c r="JDZ65" s="288"/>
      <c r="JEA65" s="124"/>
      <c r="JEB65" s="259"/>
      <c r="JEC65" s="259"/>
      <c r="JED65" s="259"/>
      <c r="JEE65" s="288"/>
      <c r="JEF65" s="288"/>
      <c r="JEG65" s="288"/>
      <c r="JEH65" s="288"/>
      <c r="JEI65" s="288"/>
      <c r="JEJ65" s="288"/>
      <c r="JEK65" s="288"/>
      <c r="JEL65" s="288"/>
      <c r="JEM65" s="288"/>
      <c r="JEN65" s="124"/>
      <c r="JEO65" s="259"/>
      <c r="JEP65" s="259"/>
      <c r="JEQ65" s="259"/>
      <c r="JER65" s="288"/>
      <c r="JES65" s="288"/>
      <c r="JET65" s="288"/>
      <c r="JEU65" s="288"/>
      <c r="JEV65" s="288"/>
      <c r="JEW65" s="288"/>
      <c r="JEX65" s="288"/>
      <c r="JEY65" s="288"/>
      <c r="JEZ65" s="288"/>
      <c r="JFA65" s="124"/>
      <c r="JFB65" s="259"/>
      <c r="JFC65" s="259"/>
      <c r="JFD65" s="259"/>
      <c r="JFE65" s="288"/>
      <c r="JFF65" s="288"/>
      <c r="JFG65" s="288"/>
      <c r="JFH65" s="288"/>
      <c r="JFI65" s="288"/>
      <c r="JFJ65" s="288"/>
      <c r="JFK65" s="288"/>
      <c r="JFL65" s="288"/>
      <c r="JFM65" s="288"/>
      <c r="JFN65" s="124"/>
      <c r="JFO65" s="259"/>
      <c r="JFP65" s="259"/>
      <c r="JFQ65" s="259"/>
      <c r="JFR65" s="288"/>
      <c r="JFS65" s="288"/>
      <c r="JFT65" s="288"/>
      <c r="JFU65" s="288"/>
      <c r="JFV65" s="288"/>
      <c r="JFW65" s="288"/>
      <c r="JFX65" s="288"/>
      <c r="JFY65" s="288"/>
      <c r="JFZ65" s="288"/>
      <c r="JGA65" s="124"/>
      <c r="JGB65" s="259"/>
      <c r="JGC65" s="259"/>
      <c r="JGD65" s="259"/>
      <c r="JGE65" s="288"/>
      <c r="JGF65" s="288"/>
      <c r="JGG65" s="288"/>
      <c r="JGH65" s="288"/>
      <c r="JGI65" s="288"/>
      <c r="JGJ65" s="288"/>
      <c r="JGK65" s="288"/>
      <c r="JGL65" s="288"/>
      <c r="JGM65" s="288"/>
      <c r="JGN65" s="124"/>
      <c r="JGO65" s="259"/>
      <c r="JGP65" s="259"/>
      <c r="JGQ65" s="259"/>
      <c r="JGR65" s="288"/>
      <c r="JGS65" s="288"/>
      <c r="JGT65" s="288"/>
      <c r="JGU65" s="288"/>
      <c r="JGV65" s="288"/>
      <c r="JGW65" s="288"/>
      <c r="JGX65" s="288"/>
      <c r="JGY65" s="288"/>
      <c r="JGZ65" s="288"/>
      <c r="JHA65" s="124"/>
      <c r="JHB65" s="259"/>
      <c r="JHC65" s="259"/>
      <c r="JHD65" s="259"/>
      <c r="JHE65" s="288"/>
      <c r="JHF65" s="288"/>
      <c r="JHG65" s="288"/>
      <c r="JHH65" s="288"/>
      <c r="JHI65" s="288"/>
      <c r="JHJ65" s="288"/>
      <c r="JHK65" s="288"/>
      <c r="JHL65" s="288"/>
      <c r="JHM65" s="288"/>
      <c r="JHN65" s="124"/>
      <c r="JHO65" s="259"/>
      <c r="JHP65" s="259"/>
      <c r="JHQ65" s="259"/>
      <c r="JHR65" s="288"/>
      <c r="JHS65" s="288"/>
      <c r="JHT65" s="288"/>
      <c r="JHU65" s="288"/>
      <c r="JHV65" s="288"/>
      <c r="JHW65" s="288"/>
      <c r="JHX65" s="288"/>
      <c r="JHY65" s="288"/>
      <c r="JHZ65" s="288"/>
      <c r="JIA65" s="124"/>
      <c r="JIB65" s="259"/>
      <c r="JIC65" s="259"/>
      <c r="JID65" s="259"/>
      <c r="JIE65" s="288"/>
      <c r="JIF65" s="288"/>
      <c r="JIG65" s="288"/>
      <c r="JIH65" s="288"/>
      <c r="JII65" s="288"/>
      <c r="JIJ65" s="288"/>
      <c r="JIK65" s="288"/>
      <c r="JIL65" s="288"/>
      <c r="JIM65" s="288"/>
      <c r="JIN65" s="124"/>
      <c r="JIO65" s="259"/>
      <c r="JIP65" s="259"/>
      <c r="JIQ65" s="259"/>
      <c r="JIR65" s="288"/>
      <c r="JIS65" s="288"/>
      <c r="JIT65" s="288"/>
      <c r="JIU65" s="288"/>
      <c r="JIV65" s="288"/>
      <c r="JIW65" s="288"/>
      <c r="JIX65" s="288"/>
      <c r="JIY65" s="288"/>
      <c r="JIZ65" s="288"/>
      <c r="JJA65" s="124"/>
      <c r="JJB65" s="259"/>
      <c r="JJC65" s="259"/>
      <c r="JJD65" s="259"/>
      <c r="JJE65" s="288"/>
      <c r="JJF65" s="288"/>
      <c r="JJG65" s="288"/>
      <c r="JJH65" s="288"/>
      <c r="JJI65" s="288"/>
      <c r="JJJ65" s="288"/>
      <c r="JJK65" s="288"/>
      <c r="JJL65" s="288"/>
      <c r="JJM65" s="288"/>
      <c r="JJN65" s="124"/>
      <c r="JJO65" s="259"/>
      <c r="JJP65" s="259"/>
      <c r="JJQ65" s="259"/>
      <c r="JJR65" s="288"/>
      <c r="JJS65" s="288"/>
      <c r="JJT65" s="288"/>
      <c r="JJU65" s="288"/>
      <c r="JJV65" s="288"/>
      <c r="JJW65" s="288"/>
      <c r="JJX65" s="288"/>
      <c r="JJY65" s="288"/>
      <c r="JJZ65" s="288"/>
      <c r="JKA65" s="124"/>
      <c r="JKB65" s="259"/>
      <c r="JKC65" s="259"/>
      <c r="JKD65" s="259"/>
      <c r="JKE65" s="288"/>
      <c r="JKF65" s="288"/>
      <c r="JKG65" s="288"/>
      <c r="JKH65" s="288"/>
      <c r="JKI65" s="288"/>
      <c r="JKJ65" s="288"/>
      <c r="JKK65" s="288"/>
      <c r="JKL65" s="288"/>
      <c r="JKM65" s="288"/>
      <c r="JKN65" s="124"/>
      <c r="JKO65" s="259"/>
      <c r="JKP65" s="259"/>
      <c r="JKQ65" s="259"/>
      <c r="JKR65" s="288"/>
      <c r="JKS65" s="288"/>
      <c r="JKT65" s="288"/>
      <c r="JKU65" s="288"/>
      <c r="JKV65" s="288"/>
      <c r="JKW65" s="288"/>
      <c r="JKX65" s="288"/>
      <c r="JKY65" s="288"/>
      <c r="JKZ65" s="288"/>
      <c r="JLA65" s="124"/>
      <c r="JLB65" s="259"/>
      <c r="JLC65" s="259"/>
      <c r="JLD65" s="259"/>
      <c r="JLE65" s="288"/>
      <c r="JLF65" s="288"/>
      <c r="JLG65" s="288"/>
      <c r="JLH65" s="288"/>
      <c r="JLI65" s="288"/>
      <c r="JLJ65" s="288"/>
      <c r="JLK65" s="288"/>
      <c r="JLL65" s="288"/>
      <c r="JLM65" s="288"/>
      <c r="JLN65" s="124"/>
      <c r="JLO65" s="259"/>
      <c r="JLP65" s="259"/>
      <c r="JLQ65" s="259"/>
      <c r="JLR65" s="288"/>
      <c r="JLS65" s="288"/>
      <c r="JLT65" s="288"/>
      <c r="JLU65" s="288"/>
      <c r="JLV65" s="288"/>
      <c r="JLW65" s="288"/>
      <c r="JLX65" s="288"/>
      <c r="JLY65" s="288"/>
      <c r="JLZ65" s="288"/>
      <c r="JMA65" s="124"/>
      <c r="JMB65" s="259"/>
      <c r="JMC65" s="259"/>
      <c r="JMD65" s="259"/>
      <c r="JME65" s="288"/>
      <c r="JMF65" s="288"/>
      <c r="JMG65" s="288"/>
      <c r="JMH65" s="288"/>
      <c r="JMI65" s="288"/>
      <c r="JMJ65" s="288"/>
      <c r="JMK65" s="288"/>
      <c r="JML65" s="288"/>
      <c r="JMM65" s="288"/>
      <c r="JMN65" s="124"/>
      <c r="JMO65" s="259"/>
      <c r="JMP65" s="259"/>
      <c r="JMQ65" s="259"/>
      <c r="JMR65" s="288"/>
      <c r="JMS65" s="288"/>
      <c r="JMT65" s="288"/>
      <c r="JMU65" s="288"/>
      <c r="JMV65" s="288"/>
      <c r="JMW65" s="288"/>
      <c r="JMX65" s="288"/>
      <c r="JMY65" s="288"/>
      <c r="JMZ65" s="288"/>
      <c r="JNA65" s="124"/>
      <c r="JNB65" s="259"/>
      <c r="JNC65" s="259"/>
      <c r="JND65" s="259"/>
      <c r="JNE65" s="288"/>
      <c r="JNF65" s="288"/>
      <c r="JNG65" s="288"/>
      <c r="JNH65" s="288"/>
      <c r="JNI65" s="288"/>
      <c r="JNJ65" s="288"/>
      <c r="JNK65" s="288"/>
      <c r="JNL65" s="288"/>
      <c r="JNM65" s="288"/>
      <c r="JNN65" s="124"/>
      <c r="JNO65" s="259"/>
      <c r="JNP65" s="259"/>
      <c r="JNQ65" s="259"/>
      <c r="JNR65" s="288"/>
      <c r="JNS65" s="288"/>
      <c r="JNT65" s="288"/>
      <c r="JNU65" s="288"/>
      <c r="JNV65" s="288"/>
      <c r="JNW65" s="288"/>
      <c r="JNX65" s="288"/>
      <c r="JNY65" s="288"/>
      <c r="JNZ65" s="288"/>
      <c r="JOA65" s="124"/>
      <c r="JOB65" s="259"/>
      <c r="JOC65" s="259"/>
      <c r="JOD65" s="259"/>
      <c r="JOE65" s="288"/>
      <c r="JOF65" s="288"/>
      <c r="JOG65" s="288"/>
      <c r="JOH65" s="288"/>
      <c r="JOI65" s="288"/>
      <c r="JOJ65" s="288"/>
      <c r="JOK65" s="288"/>
      <c r="JOL65" s="288"/>
      <c r="JOM65" s="288"/>
      <c r="JON65" s="124"/>
      <c r="JOO65" s="259"/>
      <c r="JOP65" s="259"/>
      <c r="JOQ65" s="259"/>
      <c r="JOR65" s="288"/>
      <c r="JOS65" s="288"/>
      <c r="JOT65" s="288"/>
      <c r="JOU65" s="288"/>
      <c r="JOV65" s="288"/>
      <c r="JOW65" s="288"/>
      <c r="JOX65" s="288"/>
      <c r="JOY65" s="288"/>
      <c r="JOZ65" s="288"/>
      <c r="JPA65" s="124"/>
      <c r="JPB65" s="259"/>
      <c r="JPC65" s="259"/>
      <c r="JPD65" s="259"/>
      <c r="JPE65" s="288"/>
      <c r="JPF65" s="288"/>
      <c r="JPG65" s="288"/>
      <c r="JPH65" s="288"/>
      <c r="JPI65" s="288"/>
      <c r="JPJ65" s="288"/>
      <c r="JPK65" s="288"/>
      <c r="JPL65" s="288"/>
      <c r="JPM65" s="288"/>
      <c r="JPN65" s="124"/>
      <c r="JPO65" s="259"/>
      <c r="JPP65" s="259"/>
      <c r="JPQ65" s="259"/>
      <c r="JPR65" s="288"/>
      <c r="JPS65" s="288"/>
      <c r="JPT65" s="288"/>
      <c r="JPU65" s="288"/>
      <c r="JPV65" s="288"/>
      <c r="JPW65" s="288"/>
      <c r="JPX65" s="288"/>
      <c r="JPY65" s="288"/>
      <c r="JPZ65" s="288"/>
      <c r="JQA65" s="124"/>
      <c r="JQB65" s="259"/>
      <c r="JQC65" s="259"/>
      <c r="JQD65" s="259"/>
      <c r="JQE65" s="288"/>
      <c r="JQF65" s="288"/>
      <c r="JQG65" s="288"/>
      <c r="JQH65" s="288"/>
      <c r="JQI65" s="288"/>
      <c r="JQJ65" s="288"/>
      <c r="JQK65" s="288"/>
      <c r="JQL65" s="288"/>
      <c r="JQM65" s="288"/>
      <c r="JQN65" s="124"/>
      <c r="JQO65" s="259"/>
      <c r="JQP65" s="259"/>
      <c r="JQQ65" s="259"/>
      <c r="JQR65" s="288"/>
      <c r="JQS65" s="288"/>
      <c r="JQT65" s="288"/>
      <c r="JQU65" s="288"/>
      <c r="JQV65" s="288"/>
      <c r="JQW65" s="288"/>
      <c r="JQX65" s="288"/>
      <c r="JQY65" s="288"/>
      <c r="JQZ65" s="288"/>
      <c r="JRA65" s="124"/>
      <c r="JRB65" s="259"/>
      <c r="JRC65" s="259"/>
      <c r="JRD65" s="259"/>
      <c r="JRE65" s="288"/>
      <c r="JRF65" s="288"/>
      <c r="JRG65" s="288"/>
      <c r="JRH65" s="288"/>
      <c r="JRI65" s="288"/>
      <c r="JRJ65" s="288"/>
      <c r="JRK65" s="288"/>
      <c r="JRL65" s="288"/>
      <c r="JRM65" s="288"/>
      <c r="JRN65" s="124"/>
      <c r="JRO65" s="259"/>
      <c r="JRP65" s="259"/>
      <c r="JRQ65" s="259"/>
      <c r="JRR65" s="288"/>
      <c r="JRS65" s="288"/>
      <c r="JRT65" s="288"/>
      <c r="JRU65" s="288"/>
      <c r="JRV65" s="288"/>
      <c r="JRW65" s="288"/>
      <c r="JRX65" s="288"/>
      <c r="JRY65" s="288"/>
      <c r="JRZ65" s="288"/>
      <c r="JSA65" s="124"/>
      <c r="JSB65" s="259"/>
      <c r="JSC65" s="259"/>
      <c r="JSD65" s="259"/>
      <c r="JSE65" s="288"/>
      <c r="JSF65" s="288"/>
      <c r="JSG65" s="288"/>
      <c r="JSH65" s="288"/>
      <c r="JSI65" s="288"/>
      <c r="JSJ65" s="288"/>
      <c r="JSK65" s="288"/>
      <c r="JSL65" s="288"/>
      <c r="JSM65" s="288"/>
      <c r="JSN65" s="124"/>
      <c r="JSO65" s="259"/>
      <c r="JSP65" s="259"/>
      <c r="JSQ65" s="259"/>
      <c r="JSR65" s="288"/>
      <c r="JSS65" s="288"/>
      <c r="JST65" s="288"/>
      <c r="JSU65" s="288"/>
      <c r="JSV65" s="288"/>
      <c r="JSW65" s="288"/>
      <c r="JSX65" s="288"/>
      <c r="JSY65" s="288"/>
      <c r="JSZ65" s="288"/>
      <c r="JTA65" s="124"/>
      <c r="JTB65" s="259"/>
      <c r="JTC65" s="259"/>
      <c r="JTD65" s="259"/>
      <c r="JTE65" s="288"/>
      <c r="JTF65" s="288"/>
      <c r="JTG65" s="288"/>
      <c r="JTH65" s="288"/>
      <c r="JTI65" s="288"/>
      <c r="JTJ65" s="288"/>
      <c r="JTK65" s="288"/>
      <c r="JTL65" s="288"/>
      <c r="JTM65" s="288"/>
      <c r="JTN65" s="124"/>
      <c r="JTO65" s="259"/>
      <c r="JTP65" s="259"/>
      <c r="JTQ65" s="259"/>
      <c r="JTR65" s="288"/>
      <c r="JTS65" s="288"/>
      <c r="JTT65" s="288"/>
      <c r="JTU65" s="288"/>
      <c r="JTV65" s="288"/>
      <c r="JTW65" s="288"/>
      <c r="JTX65" s="288"/>
      <c r="JTY65" s="288"/>
      <c r="JTZ65" s="288"/>
      <c r="JUA65" s="124"/>
      <c r="JUB65" s="259"/>
      <c r="JUC65" s="259"/>
      <c r="JUD65" s="259"/>
      <c r="JUE65" s="288"/>
      <c r="JUF65" s="288"/>
      <c r="JUG65" s="288"/>
      <c r="JUH65" s="288"/>
      <c r="JUI65" s="288"/>
      <c r="JUJ65" s="288"/>
      <c r="JUK65" s="288"/>
      <c r="JUL65" s="288"/>
      <c r="JUM65" s="288"/>
      <c r="JUN65" s="124"/>
      <c r="JUO65" s="259"/>
      <c r="JUP65" s="259"/>
      <c r="JUQ65" s="259"/>
      <c r="JUR65" s="288"/>
      <c r="JUS65" s="288"/>
      <c r="JUT65" s="288"/>
      <c r="JUU65" s="288"/>
      <c r="JUV65" s="288"/>
      <c r="JUW65" s="288"/>
      <c r="JUX65" s="288"/>
      <c r="JUY65" s="288"/>
      <c r="JUZ65" s="288"/>
      <c r="JVA65" s="124"/>
      <c r="JVB65" s="259"/>
      <c r="JVC65" s="259"/>
      <c r="JVD65" s="259"/>
      <c r="JVE65" s="288"/>
      <c r="JVF65" s="288"/>
      <c r="JVG65" s="288"/>
      <c r="JVH65" s="288"/>
      <c r="JVI65" s="288"/>
      <c r="JVJ65" s="288"/>
      <c r="JVK65" s="288"/>
      <c r="JVL65" s="288"/>
      <c r="JVM65" s="288"/>
      <c r="JVN65" s="124"/>
      <c r="JVO65" s="259"/>
      <c r="JVP65" s="259"/>
      <c r="JVQ65" s="259"/>
      <c r="JVR65" s="288"/>
      <c r="JVS65" s="288"/>
      <c r="JVT65" s="288"/>
      <c r="JVU65" s="288"/>
      <c r="JVV65" s="288"/>
      <c r="JVW65" s="288"/>
      <c r="JVX65" s="288"/>
      <c r="JVY65" s="288"/>
      <c r="JVZ65" s="288"/>
      <c r="JWA65" s="124"/>
      <c r="JWB65" s="259"/>
      <c r="JWC65" s="259"/>
      <c r="JWD65" s="259"/>
      <c r="JWE65" s="288"/>
      <c r="JWF65" s="288"/>
      <c r="JWG65" s="288"/>
      <c r="JWH65" s="288"/>
      <c r="JWI65" s="288"/>
      <c r="JWJ65" s="288"/>
      <c r="JWK65" s="288"/>
      <c r="JWL65" s="288"/>
      <c r="JWM65" s="288"/>
      <c r="JWN65" s="124"/>
      <c r="JWO65" s="259"/>
      <c r="JWP65" s="259"/>
      <c r="JWQ65" s="259"/>
      <c r="JWR65" s="288"/>
      <c r="JWS65" s="288"/>
      <c r="JWT65" s="288"/>
      <c r="JWU65" s="288"/>
      <c r="JWV65" s="288"/>
      <c r="JWW65" s="288"/>
      <c r="JWX65" s="288"/>
      <c r="JWY65" s="288"/>
      <c r="JWZ65" s="288"/>
      <c r="JXA65" s="124"/>
      <c r="JXB65" s="259"/>
      <c r="JXC65" s="259"/>
      <c r="JXD65" s="259"/>
      <c r="JXE65" s="288"/>
      <c r="JXF65" s="288"/>
      <c r="JXG65" s="288"/>
      <c r="JXH65" s="288"/>
      <c r="JXI65" s="288"/>
      <c r="JXJ65" s="288"/>
      <c r="JXK65" s="288"/>
      <c r="JXL65" s="288"/>
      <c r="JXM65" s="288"/>
      <c r="JXN65" s="124"/>
      <c r="JXO65" s="259"/>
      <c r="JXP65" s="259"/>
      <c r="JXQ65" s="259"/>
      <c r="JXR65" s="288"/>
      <c r="JXS65" s="288"/>
      <c r="JXT65" s="288"/>
      <c r="JXU65" s="288"/>
      <c r="JXV65" s="288"/>
      <c r="JXW65" s="288"/>
      <c r="JXX65" s="288"/>
      <c r="JXY65" s="288"/>
      <c r="JXZ65" s="288"/>
      <c r="JYA65" s="124"/>
      <c r="JYB65" s="259"/>
      <c r="JYC65" s="259"/>
      <c r="JYD65" s="259"/>
      <c r="JYE65" s="288"/>
      <c r="JYF65" s="288"/>
      <c r="JYG65" s="288"/>
      <c r="JYH65" s="288"/>
      <c r="JYI65" s="288"/>
      <c r="JYJ65" s="288"/>
      <c r="JYK65" s="288"/>
      <c r="JYL65" s="288"/>
      <c r="JYM65" s="288"/>
      <c r="JYN65" s="124"/>
      <c r="JYO65" s="259"/>
      <c r="JYP65" s="259"/>
      <c r="JYQ65" s="259"/>
      <c r="JYR65" s="288"/>
      <c r="JYS65" s="288"/>
      <c r="JYT65" s="288"/>
      <c r="JYU65" s="288"/>
      <c r="JYV65" s="288"/>
      <c r="JYW65" s="288"/>
      <c r="JYX65" s="288"/>
      <c r="JYY65" s="288"/>
      <c r="JYZ65" s="288"/>
      <c r="JZA65" s="124"/>
      <c r="JZB65" s="259"/>
      <c r="JZC65" s="259"/>
      <c r="JZD65" s="259"/>
      <c r="JZE65" s="288"/>
      <c r="JZF65" s="288"/>
      <c r="JZG65" s="288"/>
      <c r="JZH65" s="288"/>
      <c r="JZI65" s="288"/>
      <c r="JZJ65" s="288"/>
      <c r="JZK65" s="288"/>
      <c r="JZL65" s="288"/>
      <c r="JZM65" s="288"/>
      <c r="JZN65" s="124"/>
      <c r="JZO65" s="259"/>
      <c r="JZP65" s="259"/>
      <c r="JZQ65" s="259"/>
      <c r="JZR65" s="288"/>
      <c r="JZS65" s="288"/>
      <c r="JZT65" s="288"/>
      <c r="JZU65" s="288"/>
      <c r="JZV65" s="288"/>
      <c r="JZW65" s="288"/>
      <c r="JZX65" s="288"/>
      <c r="JZY65" s="288"/>
      <c r="JZZ65" s="288"/>
      <c r="KAA65" s="124"/>
      <c r="KAB65" s="259"/>
      <c r="KAC65" s="259"/>
      <c r="KAD65" s="259"/>
      <c r="KAE65" s="288"/>
      <c r="KAF65" s="288"/>
      <c r="KAG65" s="288"/>
      <c r="KAH65" s="288"/>
      <c r="KAI65" s="288"/>
      <c r="KAJ65" s="288"/>
      <c r="KAK65" s="288"/>
      <c r="KAL65" s="288"/>
      <c r="KAM65" s="288"/>
      <c r="KAN65" s="124"/>
      <c r="KAO65" s="259"/>
      <c r="KAP65" s="259"/>
      <c r="KAQ65" s="259"/>
      <c r="KAR65" s="288"/>
      <c r="KAS65" s="288"/>
      <c r="KAT65" s="288"/>
      <c r="KAU65" s="288"/>
      <c r="KAV65" s="288"/>
      <c r="KAW65" s="288"/>
      <c r="KAX65" s="288"/>
      <c r="KAY65" s="288"/>
      <c r="KAZ65" s="288"/>
      <c r="KBA65" s="124"/>
      <c r="KBB65" s="259"/>
      <c r="KBC65" s="259"/>
      <c r="KBD65" s="259"/>
      <c r="KBE65" s="288"/>
      <c r="KBF65" s="288"/>
      <c r="KBG65" s="288"/>
      <c r="KBH65" s="288"/>
      <c r="KBI65" s="288"/>
      <c r="KBJ65" s="288"/>
      <c r="KBK65" s="288"/>
      <c r="KBL65" s="288"/>
      <c r="KBM65" s="288"/>
      <c r="KBN65" s="124"/>
      <c r="KBO65" s="259"/>
      <c r="KBP65" s="259"/>
      <c r="KBQ65" s="259"/>
      <c r="KBR65" s="288"/>
      <c r="KBS65" s="288"/>
      <c r="KBT65" s="288"/>
      <c r="KBU65" s="288"/>
      <c r="KBV65" s="288"/>
      <c r="KBW65" s="288"/>
      <c r="KBX65" s="288"/>
      <c r="KBY65" s="288"/>
      <c r="KBZ65" s="288"/>
      <c r="KCA65" s="124"/>
      <c r="KCB65" s="259"/>
      <c r="KCC65" s="259"/>
      <c r="KCD65" s="259"/>
      <c r="KCE65" s="288"/>
      <c r="KCF65" s="288"/>
      <c r="KCG65" s="288"/>
      <c r="KCH65" s="288"/>
      <c r="KCI65" s="288"/>
      <c r="KCJ65" s="288"/>
      <c r="KCK65" s="288"/>
      <c r="KCL65" s="288"/>
      <c r="KCM65" s="288"/>
      <c r="KCN65" s="124"/>
      <c r="KCO65" s="259"/>
      <c r="KCP65" s="259"/>
      <c r="KCQ65" s="259"/>
      <c r="KCR65" s="288"/>
      <c r="KCS65" s="288"/>
      <c r="KCT65" s="288"/>
      <c r="KCU65" s="288"/>
      <c r="KCV65" s="288"/>
      <c r="KCW65" s="288"/>
      <c r="KCX65" s="288"/>
      <c r="KCY65" s="288"/>
      <c r="KCZ65" s="288"/>
      <c r="KDA65" s="124"/>
      <c r="KDB65" s="259"/>
      <c r="KDC65" s="259"/>
      <c r="KDD65" s="259"/>
      <c r="KDE65" s="288"/>
      <c r="KDF65" s="288"/>
      <c r="KDG65" s="288"/>
      <c r="KDH65" s="288"/>
      <c r="KDI65" s="288"/>
      <c r="KDJ65" s="288"/>
      <c r="KDK65" s="288"/>
      <c r="KDL65" s="288"/>
      <c r="KDM65" s="288"/>
      <c r="KDN65" s="124"/>
      <c r="KDO65" s="259"/>
      <c r="KDP65" s="259"/>
      <c r="KDQ65" s="259"/>
      <c r="KDR65" s="288"/>
      <c r="KDS65" s="288"/>
      <c r="KDT65" s="288"/>
      <c r="KDU65" s="288"/>
      <c r="KDV65" s="288"/>
      <c r="KDW65" s="288"/>
      <c r="KDX65" s="288"/>
      <c r="KDY65" s="288"/>
      <c r="KDZ65" s="288"/>
      <c r="KEA65" s="124"/>
      <c r="KEB65" s="259"/>
      <c r="KEC65" s="259"/>
      <c r="KED65" s="259"/>
      <c r="KEE65" s="288"/>
      <c r="KEF65" s="288"/>
      <c r="KEG65" s="288"/>
      <c r="KEH65" s="288"/>
      <c r="KEI65" s="288"/>
      <c r="KEJ65" s="288"/>
      <c r="KEK65" s="288"/>
      <c r="KEL65" s="288"/>
      <c r="KEM65" s="288"/>
      <c r="KEN65" s="124"/>
      <c r="KEO65" s="259"/>
      <c r="KEP65" s="259"/>
      <c r="KEQ65" s="259"/>
      <c r="KER65" s="288"/>
      <c r="KES65" s="288"/>
      <c r="KET65" s="288"/>
      <c r="KEU65" s="288"/>
      <c r="KEV65" s="288"/>
      <c r="KEW65" s="288"/>
      <c r="KEX65" s="288"/>
      <c r="KEY65" s="288"/>
      <c r="KEZ65" s="288"/>
      <c r="KFA65" s="124"/>
      <c r="KFB65" s="259"/>
      <c r="KFC65" s="259"/>
      <c r="KFD65" s="259"/>
      <c r="KFE65" s="288"/>
      <c r="KFF65" s="288"/>
      <c r="KFG65" s="288"/>
      <c r="KFH65" s="288"/>
      <c r="KFI65" s="288"/>
      <c r="KFJ65" s="288"/>
      <c r="KFK65" s="288"/>
      <c r="KFL65" s="288"/>
      <c r="KFM65" s="288"/>
      <c r="KFN65" s="124"/>
      <c r="KFO65" s="259"/>
      <c r="KFP65" s="259"/>
      <c r="KFQ65" s="259"/>
      <c r="KFR65" s="288"/>
      <c r="KFS65" s="288"/>
      <c r="KFT65" s="288"/>
      <c r="KFU65" s="288"/>
      <c r="KFV65" s="288"/>
      <c r="KFW65" s="288"/>
      <c r="KFX65" s="288"/>
      <c r="KFY65" s="288"/>
      <c r="KFZ65" s="288"/>
      <c r="KGA65" s="124"/>
      <c r="KGB65" s="259"/>
      <c r="KGC65" s="259"/>
      <c r="KGD65" s="259"/>
      <c r="KGE65" s="288"/>
      <c r="KGF65" s="288"/>
      <c r="KGG65" s="288"/>
      <c r="KGH65" s="288"/>
      <c r="KGI65" s="288"/>
      <c r="KGJ65" s="288"/>
      <c r="KGK65" s="288"/>
      <c r="KGL65" s="288"/>
      <c r="KGM65" s="288"/>
      <c r="KGN65" s="124"/>
      <c r="KGO65" s="259"/>
      <c r="KGP65" s="259"/>
      <c r="KGQ65" s="259"/>
      <c r="KGR65" s="288"/>
      <c r="KGS65" s="288"/>
      <c r="KGT65" s="288"/>
      <c r="KGU65" s="288"/>
      <c r="KGV65" s="288"/>
      <c r="KGW65" s="288"/>
      <c r="KGX65" s="288"/>
      <c r="KGY65" s="288"/>
      <c r="KGZ65" s="288"/>
      <c r="KHA65" s="124"/>
      <c r="KHB65" s="259"/>
      <c r="KHC65" s="259"/>
      <c r="KHD65" s="259"/>
      <c r="KHE65" s="288"/>
      <c r="KHF65" s="288"/>
      <c r="KHG65" s="288"/>
      <c r="KHH65" s="288"/>
      <c r="KHI65" s="288"/>
      <c r="KHJ65" s="288"/>
      <c r="KHK65" s="288"/>
      <c r="KHL65" s="288"/>
      <c r="KHM65" s="288"/>
      <c r="KHN65" s="124"/>
      <c r="KHO65" s="259"/>
      <c r="KHP65" s="259"/>
      <c r="KHQ65" s="259"/>
      <c r="KHR65" s="288"/>
      <c r="KHS65" s="288"/>
      <c r="KHT65" s="288"/>
      <c r="KHU65" s="288"/>
      <c r="KHV65" s="288"/>
      <c r="KHW65" s="288"/>
      <c r="KHX65" s="288"/>
      <c r="KHY65" s="288"/>
      <c r="KHZ65" s="288"/>
      <c r="KIA65" s="124"/>
      <c r="KIB65" s="259"/>
      <c r="KIC65" s="259"/>
      <c r="KID65" s="259"/>
      <c r="KIE65" s="288"/>
      <c r="KIF65" s="288"/>
      <c r="KIG65" s="288"/>
      <c r="KIH65" s="288"/>
      <c r="KII65" s="288"/>
      <c r="KIJ65" s="288"/>
      <c r="KIK65" s="288"/>
      <c r="KIL65" s="288"/>
      <c r="KIM65" s="288"/>
      <c r="KIN65" s="124"/>
      <c r="KIO65" s="259"/>
      <c r="KIP65" s="259"/>
      <c r="KIQ65" s="259"/>
      <c r="KIR65" s="288"/>
      <c r="KIS65" s="288"/>
      <c r="KIT65" s="288"/>
      <c r="KIU65" s="288"/>
      <c r="KIV65" s="288"/>
      <c r="KIW65" s="288"/>
      <c r="KIX65" s="288"/>
      <c r="KIY65" s="288"/>
      <c r="KIZ65" s="288"/>
      <c r="KJA65" s="124"/>
      <c r="KJB65" s="259"/>
      <c r="KJC65" s="259"/>
      <c r="KJD65" s="259"/>
      <c r="KJE65" s="288"/>
      <c r="KJF65" s="288"/>
      <c r="KJG65" s="288"/>
      <c r="KJH65" s="288"/>
      <c r="KJI65" s="288"/>
      <c r="KJJ65" s="288"/>
      <c r="KJK65" s="288"/>
      <c r="KJL65" s="288"/>
      <c r="KJM65" s="288"/>
      <c r="KJN65" s="124"/>
      <c r="KJO65" s="259"/>
      <c r="KJP65" s="259"/>
      <c r="KJQ65" s="259"/>
      <c r="KJR65" s="288"/>
      <c r="KJS65" s="288"/>
      <c r="KJT65" s="288"/>
      <c r="KJU65" s="288"/>
      <c r="KJV65" s="288"/>
      <c r="KJW65" s="288"/>
      <c r="KJX65" s="288"/>
      <c r="KJY65" s="288"/>
      <c r="KJZ65" s="288"/>
      <c r="KKA65" s="124"/>
      <c r="KKB65" s="259"/>
      <c r="KKC65" s="259"/>
      <c r="KKD65" s="259"/>
      <c r="KKE65" s="288"/>
      <c r="KKF65" s="288"/>
      <c r="KKG65" s="288"/>
      <c r="KKH65" s="288"/>
      <c r="KKI65" s="288"/>
      <c r="KKJ65" s="288"/>
      <c r="KKK65" s="288"/>
      <c r="KKL65" s="288"/>
      <c r="KKM65" s="288"/>
      <c r="KKN65" s="124"/>
      <c r="KKO65" s="259"/>
      <c r="KKP65" s="259"/>
      <c r="KKQ65" s="259"/>
      <c r="KKR65" s="288"/>
      <c r="KKS65" s="288"/>
      <c r="KKT65" s="288"/>
      <c r="KKU65" s="288"/>
      <c r="KKV65" s="288"/>
      <c r="KKW65" s="288"/>
      <c r="KKX65" s="288"/>
      <c r="KKY65" s="288"/>
      <c r="KKZ65" s="288"/>
      <c r="KLA65" s="124"/>
      <c r="KLB65" s="259"/>
      <c r="KLC65" s="259"/>
      <c r="KLD65" s="259"/>
      <c r="KLE65" s="288"/>
      <c r="KLF65" s="288"/>
      <c r="KLG65" s="288"/>
      <c r="KLH65" s="288"/>
      <c r="KLI65" s="288"/>
      <c r="KLJ65" s="288"/>
      <c r="KLK65" s="288"/>
      <c r="KLL65" s="288"/>
      <c r="KLM65" s="288"/>
      <c r="KLN65" s="124"/>
      <c r="KLO65" s="259"/>
      <c r="KLP65" s="259"/>
      <c r="KLQ65" s="259"/>
      <c r="KLR65" s="288"/>
      <c r="KLS65" s="288"/>
      <c r="KLT65" s="288"/>
      <c r="KLU65" s="288"/>
      <c r="KLV65" s="288"/>
      <c r="KLW65" s="288"/>
      <c r="KLX65" s="288"/>
      <c r="KLY65" s="288"/>
      <c r="KLZ65" s="288"/>
      <c r="KMA65" s="124"/>
      <c r="KMB65" s="259"/>
      <c r="KMC65" s="259"/>
      <c r="KMD65" s="259"/>
      <c r="KME65" s="288"/>
      <c r="KMF65" s="288"/>
      <c r="KMG65" s="288"/>
      <c r="KMH65" s="288"/>
      <c r="KMI65" s="288"/>
      <c r="KMJ65" s="288"/>
      <c r="KMK65" s="288"/>
      <c r="KML65" s="288"/>
      <c r="KMM65" s="288"/>
      <c r="KMN65" s="124"/>
      <c r="KMO65" s="259"/>
      <c r="KMP65" s="259"/>
      <c r="KMQ65" s="259"/>
      <c r="KMR65" s="288"/>
      <c r="KMS65" s="288"/>
      <c r="KMT65" s="288"/>
      <c r="KMU65" s="288"/>
      <c r="KMV65" s="288"/>
      <c r="KMW65" s="288"/>
      <c r="KMX65" s="288"/>
      <c r="KMY65" s="288"/>
      <c r="KMZ65" s="288"/>
      <c r="KNA65" s="124"/>
      <c r="KNB65" s="259"/>
      <c r="KNC65" s="259"/>
      <c r="KND65" s="259"/>
      <c r="KNE65" s="288"/>
      <c r="KNF65" s="288"/>
      <c r="KNG65" s="288"/>
      <c r="KNH65" s="288"/>
      <c r="KNI65" s="288"/>
      <c r="KNJ65" s="288"/>
      <c r="KNK65" s="288"/>
      <c r="KNL65" s="288"/>
      <c r="KNM65" s="288"/>
      <c r="KNN65" s="124"/>
      <c r="KNO65" s="259"/>
      <c r="KNP65" s="259"/>
      <c r="KNQ65" s="259"/>
      <c r="KNR65" s="288"/>
      <c r="KNS65" s="288"/>
      <c r="KNT65" s="288"/>
      <c r="KNU65" s="288"/>
      <c r="KNV65" s="288"/>
      <c r="KNW65" s="288"/>
      <c r="KNX65" s="288"/>
      <c r="KNY65" s="288"/>
      <c r="KNZ65" s="288"/>
      <c r="KOA65" s="124"/>
      <c r="KOB65" s="259"/>
      <c r="KOC65" s="259"/>
      <c r="KOD65" s="259"/>
      <c r="KOE65" s="288"/>
      <c r="KOF65" s="288"/>
      <c r="KOG65" s="288"/>
      <c r="KOH65" s="288"/>
      <c r="KOI65" s="288"/>
      <c r="KOJ65" s="288"/>
      <c r="KOK65" s="288"/>
      <c r="KOL65" s="288"/>
      <c r="KOM65" s="288"/>
      <c r="KON65" s="124"/>
      <c r="KOO65" s="259"/>
      <c r="KOP65" s="259"/>
      <c r="KOQ65" s="259"/>
      <c r="KOR65" s="288"/>
      <c r="KOS65" s="288"/>
      <c r="KOT65" s="288"/>
      <c r="KOU65" s="288"/>
      <c r="KOV65" s="288"/>
      <c r="KOW65" s="288"/>
      <c r="KOX65" s="288"/>
      <c r="KOY65" s="288"/>
      <c r="KOZ65" s="288"/>
      <c r="KPA65" s="124"/>
      <c r="KPB65" s="259"/>
      <c r="KPC65" s="259"/>
      <c r="KPD65" s="259"/>
      <c r="KPE65" s="288"/>
      <c r="KPF65" s="288"/>
      <c r="KPG65" s="288"/>
      <c r="KPH65" s="288"/>
      <c r="KPI65" s="288"/>
      <c r="KPJ65" s="288"/>
      <c r="KPK65" s="288"/>
      <c r="KPL65" s="288"/>
      <c r="KPM65" s="288"/>
      <c r="KPN65" s="124"/>
      <c r="KPO65" s="259"/>
      <c r="KPP65" s="259"/>
      <c r="KPQ65" s="259"/>
      <c r="KPR65" s="288"/>
      <c r="KPS65" s="288"/>
      <c r="KPT65" s="288"/>
      <c r="KPU65" s="288"/>
      <c r="KPV65" s="288"/>
      <c r="KPW65" s="288"/>
      <c r="KPX65" s="288"/>
      <c r="KPY65" s="288"/>
      <c r="KPZ65" s="288"/>
      <c r="KQA65" s="124"/>
      <c r="KQB65" s="259"/>
      <c r="KQC65" s="259"/>
      <c r="KQD65" s="259"/>
      <c r="KQE65" s="288"/>
      <c r="KQF65" s="288"/>
      <c r="KQG65" s="288"/>
      <c r="KQH65" s="288"/>
      <c r="KQI65" s="288"/>
      <c r="KQJ65" s="288"/>
      <c r="KQK65" s="288"/>
      <c r="KQL65" s="288"/>
      <c r="KQM65" s="288"/>
      <c r="KQN65" s="124"/>
      <c r="KQO65" s="259"/>
      <c r="KQP65" s="259"/>
      <c r="KQQ65" s="259"/>
      <c r="KQR65" s="288"/>
      <c r="KQS65" s="288"/>
      <c r="KQT65" s="288"/>
      <c r="KQU65" s="288"/>
      <c r="KQV65" s="288"/>
      <c r="KQW65" s="288"/>
      <c r="KQX65" s="288"/>
      <c r="KQY65" s="288"/>
      <c r="KQZ65" s="288"/>
      <c r="KRA65" s="124"/>
      <c r="KRB65" s="259"/>
      <c r="KRC65" s="259"/>
      <c r="KRD65" s="259"/>
      <c r="KRE65" s="288"/>
      <c r="KRF65" s="288"/>
      <c r="KRG65" s="288"/>
      <c r="KRH65" s="288"/>
      <c r="KRI65" s="288"/>
      <c r="KRJ65" s="288"/>
      <c r="KRK65" s="288"/>
      <c r="KRL65" s="288"/>
      <c r="KRM65" s="288"/>
      <c r="KRN65" s="124"/>
      <c r="KRO65" s="259"/>
      <c r="KRP65" s="259"/>
      <c r="KRQ65" s="259"/>
      <c r="KRR65" s="288"/>
      <c r="KRS65" s="288"/>
      <c r="KRT65" s="288"/>
      <c r="KRU65" s="288"/>
      <c r="KRV65" s="288"/>
      <c r="KRW65" s="288"/>
      <c r="KRX65" s="288"/>
      <c r="KRY65" s="288"/>
      <c r="KRZ65" s="288"/>
      <c r="KSA65" s="124"/>
      <c r="KSB65" s="259"/>
      <c r="KSC65" s="259"/>
      <c r="KSD65" s="259"/>
      <c r="KSE65" s="288"/>
      <c r="KSF65" s="288"/>
      <c r="KSG65" s="288"/>
      <c r="KSH65" s="288"/>
      <c r="KSI65" s="288"/>
      <c r="KSJ65" s="288"/>
      <c r="KSK65" s="288"/>
      <c r="KSL65" s="288"/>
      <c r="KSM65" s="288"/>
      <c r="KSN65" s="124"/>
      <c r="KSO65" s="259"/>
      <c r="KSP65" s="259"/>
      <c r="KSQ65" s="259"/>
      <c r="KSR65" s="288"/>
      <c r="KSS65" s="288"/>
      <c r="KST65" s="288"/>
      <c r="KSU65" s="288"/>
      <c r="KSV65" s="288"/>
      <c r="KSW65" s="288"/>
      <c r="KSX65" s="288"/>
      <c r="KSY65" s="288"/>
      <c r="KSZ65" s="288"/>
      <c r="KTA65" s="124"/>
      <c r="KTB65" s="259"/>
      <c r="KTC65" s="259"/>
      <c r="KTD65" s="259"/>
      <c r="KTE65" s="288"/>
      <c r="KTF65" s="288"/>
      <c r="KTG65" s="288"/>
      <c r="KTH65" s="288"/>
      <c r="KTI65" s="288"/>
      <c r="KTJ65" s="288"/>
      <c r="KTK65" s="288"/>
      <c r="KTL65" s="288"/>
      <c r="KTM65" s="288"/>
      <c r="KTN65" s="124"/>
      <c r="KTO65" s="259"/>
      <c r="KTP65" s="259"/>
      <c r="KTQ65" s="259"/>
      <c r="KTR65" s="288"/>
      <c r="KTS65" s="288"/>
      <c r="KTT65" s="288"/>
      <c r="KTU65" s="288"/>
      <c r="KTV65" s="288"/>
      <c r="KTW65" s="288"/>
      <c r="KTX65" s="288"/>
      <c r="KTY65" s="288"/>
      <c r="KTZ65" s="288"/>
      <c r="KUA65" s="124"/>
      <c r="KUB65" s="259"/>
      <c r="KUC65" s="259"/>
      <c r="KUD65" s="259"/>
      <c r="KUE65" s="288"/>
      <c r="KUF65" s="288"/>
      <c r="KUG65" s="288"/>
      <c r="KUH65" s="288"/>
      <c r="KUI65" s="288"/>
      <c r="KUJ65" s="288"/>
      <c r="KUK65" s="288"/>
      <c r="KUL65" s="288"/>
      <c r="KUM65" s="288"/>
      <c r="KUN65" s="124"/>
      <c r="KUO65" s="259"/>
      <c r="KUP65" s="259"/>
      <c r="KUQ65" s="259"/>
      <c r="KUR65" s="288"/>
      <c r="KUS65" s="288"/>
      <c r="KUT65" s="288"/>
      <c r="KUU65" s="288"/>
      <c r="KUV65" s="288"/>
      <c r="KUW65" s="288"/>
      <c r="KUX65" s="288"/>
      <c r="KUY65" s="288"/>
      <c r="KUZ65" s="288"/>
      <c r="KVA65" s="124"/>
      <c r="KVB65" s="259"/>
      <c r="KVC65" s="259"/>
      <c r="KVD65" s="259"/>
      <c r="KVE65" s="288"/>
      <c r="KVF65" s="288"/>
      <c r="KVG65" s="288"/>
      <c r="KVH65" s="288"/>
      <c r="KVI65" s="288"/>
      <c r="KVJ65" s="288"/>
      <c r="KVK65" s="288"/>
      <c r="KVL65" s="288"/>
      <c r="KVM65" s="288"/>
      <c r="KVN65" s="124"/>
      <c r="KVO65" s="259"/>
      <c r="KVP65" s="259"/>
      <c r="KVQ65" s="259"/>
      <c r="KVR65" s="288"/>
      <c r="KVS65" s="288"/>
      <c r="KVT65" s="288"/>
      <c r="KVU65" s="288"/>
      <c r="KVV65" s="288"/>
      <c r="KVW65" s="288"/>
      <c r="KVX65" s="288"/>
      <c r="KVY65" s="288"/>
      <c r="KVZ65" s="288"/>
      <c r="KWA65" s="124"/>
      <c r="KWB65" s="259"/>
      <c r="KWC65" s="259"/>
      <c r="KWD65" s="259"/>
      <c r="KWE65" s="288"/>
      <c r="KWF65" s="288"/>
      <c r="KWG65" s="288"/>
      <c r="KWH65" s="288"/>
      <c r="KWI65" s="288"/>
      <c r="KWJ65" s="288"/>
      <c r="KWK65" s="288"/>
      <c r="KWL65" s="288"/>
      <c r="KWM65" s="288"/>
      <c r="KWN65" s="124"/>
      <c r="KWO65" s="259"/>
      <c r="KWP65" s="259"/>
      <c r="KWQ65" s="259"/>
      <c r="KWR65" s="288"/>
      <c r="KWS65" s="288"/>
      <c r="KWT65" s="288"/>
      <c r="KWU65" s="288"/>
      <c r="KWV65" s="288"/>
      <c r="KWW65" s="288"/>
      <c r="KWX65" s="288"/>
      <c r="KWY65" s="288"/>
      <c r="KWZ65" s="288"/>
      <c r="KXA65" s="124"/>
      <c r="KXB65" s="259"/>
      <c r="KXC65" s="259"/>
      <c r="KXD65" s="259"/>
      <c r="KXE65" s="288"/>
      <c r="KXF65" s="288"/>
      <c r="KXG65" s="288"/>
      <c r="KXH65" s="288"/>
      <c r="KXI65" s="288"/>
      <c r="KXJ65" s="288"/>
      <c r="KXK65" s="288"/>
      <c r="KXL65" s="288"/>
      <c r="KXM65" s="288"/>
      <c r="KXN65" s="124"/>
      <c r="KXO65" s="259"/>
      <c r="KXP65" s="259"/>
      <c r="KXQ65" s="259"/>
      <c r="KXR65" s="288"/>
      <c r="KXS65" s="288"/>
      <c r="KXT65" s="288"/>
      <c r="KXU65" s="288"/>
      <c r="KXV65" s="288"/>
      <c r="KXW65" s="288"/>
      <c r="KXX65" s="288"/>
      <c r="KXY65" s="288"/>
      <c r="KXZ65" s="288"/>
      <c r="KYA65" s="124"/>
      <c r="KYB65" s="259"/>
      <c r="KYC65" s="259"/>
      <c r="KYD65" s="259"/>
      <c r="KYE65" s="288"/>
      <c r="KYF65" s="288"/>
      <c r="KYG65" s="288"/>
      <c r="KYH65" s="288"/>
      <c r="KYI65" s="288"/>
      <c r="KYJ65" s="288"/>
      <c r="KYK65" s="288"/>
      <c r="KYL65" s="288"/>
      <c r="KYM65" s="288"/>
      <c r="KYN65" s="124"/>
      <c r="KYO65" s="259"/>
      <c r="KYP65" s="259"/>
      <c r="KYQ65" s="259"/>
      <c r="KYR65" s="288"/>
      <c r="KYS65" s="288"/>
      <c r="KYT65" s="288"/>
      <c r="KYU65" s="288"/>
      <c r="KYV65" s="288"/>
      <c r="KYW65" s="288"/>
      <c r="KYX65" s="288"/>
      <c r="KYY65" s="288"/>
      <c r="KYZ65" s="288"/>
      <c r="KZA65" s="124"/>
      <c r="KZB65" s="259"/>
      <c r="KZC65" s="259"/>
      <c r="KZD65" s="259"/>
      <c r="KZE65" s="288"/>
      <c r="KZF65" s="288"/>
      <c r="KZG65" s="288"/>
      <c r="KZH65" s="288"/>
      <c r="KZI65" s="288"/>
      <c r="KZJ65" s="288"/>
      <c r="KZK65" s="288"/>
      <c r="KZL65" s="288"/>
      <c r="KZM65" s="288"/>
      <c r="KZN65" s="124"/>
      <c r="KZO65" s="259"/>
      <c r="KZP65" s="259"/>
      <c r="KZQ65" s="259"/>
      <c r="KZR65" s="288"/>
      <c r="KZS65" s="288"/>
      <c r="KZT65" s="288"/>
      <c r="KZU65" s="288"/>
      <c r="KZV65" s="288"/>
      <c r="KZW65" s="288"/>
      <c r="KZX65" s="288"/>
      <c r="KZY65" s="288"/>
      <c r="KZZ65" s="288"/>
      <c r="LAA65" s="124"/>
      <c r="LAB65" s="259"/>
      <c r="LAC65" s="259"/>
      <c r="LAD65" s="259"/>
      <c r="LAE65" s="288"/>
      <c r="LAF65" s="288"/>
      <c r="LAG65" s="288"/>
      <c r="LAH65" s="288"/>
      <c r="LAI65" s="288"/>
      <c r="LAJ65" s="288"/>
      <c r="LAK65" s="288"/>
      <c r="LAL65" s="288"/>
      <c r="LAM65" s="288"/>
      <c r="LAN65" s="124"/>
      <c r="LAO65" s="259"/>
      <c r="LAP65" s="259"/>
      <c r="LAQ65" s="259"/>
      <c r="LAR65" s="288"/>
      <c r="LAS65" s="288"/>
      <c r="LAT65" s="288"/>
      <c r="LAU65" s="288"/>
      <c r="LAV65" s="288"/>
      <c r="LAW65" s="288"/>
      <c r="LAX65" s="288"/>
      <c r="LAY65" s="288"/>
      <c r="LAZ65" s="288"/>
      <c r="LBA65" s="124"/>
      <c r="LBB65" s="259"/>
      <c r="LBC65" s="259"/>
      <c r="LBD65" s="259"/>
      <c r="LBE65" s="288"/>
      <c r="LBF65" s="288"/>
      <c r="LBG65" s="288"/>
      <c r="LBH65" s="288"/>
      <c r="LBI65" s="288"/>
      <c r="LBJ65" s="288"/>
      <c r="LBK65" s="288"/>
      <c r="LBL65" s="288"/>
      <c r="LBM65" s="288"/>
      <c r="LBN65" s="124"/>
      <c r="LBO65" s="259"/>
      <c r="LBP65" s="259"/>
      <c r="LBQ65" s="259"/>
      <c r="LBR65" s="288"/>
      <c r="LBS65" s="288"/>
      <c r="LBT65" s="288"/>
      <c r="LBU65" s="288"/>
      <c r="LBV65" s="288"/>
      <c r="LBW65" s="288"/>
      <c r="LBX65" s="288"/>
      <c r="LBY65" s="288"/>
      <c r="LBZ65" s="288"/>
      <c r="LCA65" s="124"/>
      <c r="LCB65" s="259"/>
      <c r="LCC65" s="259"/>
      <c r="LCD65" s="259"/>
      <c r="LCE65" s="288"/>
      <c r="LCF65" s="288"/>
      <c r="LCG65" s="288"/>
      <c r="LCH65" s="288"/>
      <c r="LCI65" s="288"/>
      <c r="LCJ65" s="288"/>
      <c r="LCK65" s="288"/>
      <c r="LCL65" s="288"/>
      <c r="LCM65" s="288"/>
      <c r="LCN65" s="124"/>
      <c r="LCO65" s="259"/>
      <c r="LCP65" s="259"/>
      <c r="LCQ65" s="259"/>
      <c r="LCR65" s="288"/>
      <c r="LCS65" s="288"/>
      <c r="LCT65" s="288"/>
      <c r="LCU65" s="288"/>
      <c r="LCV65" s="288"/>
      <c r="LCW65" s="288"/>
      <c r="LCX65" s="288"/>
      <c r="LCY65" s="288"/>
      <c r="LCZ65" s="288"/>
      <c r="LDA65" s="124"/>
      <c r="LDB65" s="259"/>
      <c r="LDC65" s="259"/>
      <c r="LDD65" s="259"/>
      <c r="LDE65" s="288"/>
      <c r="LDF65" s="288"/>
      <c r="LDG65" s="288"/>
      <c r="LDH65" s="288"/>
      <c r="LDI65" s="288"/>
      <c r="LDJ65" s="288"/>
      <c r="LDK65" s="288"/>
      <c r="LDL65" s="288"/>
      <c r="LDM65" s="288"/>
      <c r="LDN65" s="124"/>
      <c r="LDO65" s="259"/>
      <c r="LDP65" s="259"/>
      <c r="LDQ65" s="259"/>
      <c r="LDR65" s="288"/>
      <c r="LDS65" s="288"/>
      <c r="LDT65" s="288"/>
      <c r="LDU65" s="288"/>
      <c r="LDV65" s="288"/>
      <c r="LDW65" s="288"/>
      <c r="LDX65" s="288"/>
      <c r="LDY65" s="288"/>
      <c r="LDZ65" s="288"/>
      <c r="LEA65" s="124"/>
      <c r="LEB65" s="259"/>
      <c r="LEC65" s="259"/>
      <c r="LED65" s="259"/>
      <c r="LEE65" s="288"/>
      <c r="LEF65" s="288"/>
      <c r="LEG65" s="288"/>
      <c r="LEH65" s="288"/>
      <c r="LEI65" s="288"/>
      <c r="LEJ65" s="288"/>
      <c r="LEK65" s="288"/>
      <c r="LEL65" s="288"/>
      <c r="LEM65" s="288"/>
      <c r="LEN65" s="124"/>
      <c r="LEO65" s="259"/>
      <c r="LEP65" s="259"/>
      <c r="LEQ65" s="259"/>
      <c r="LER65" s="288"/>
      <c r="LES65" s="288"/>
      <c r="LET65" s="288"/>
      <c r="LEU65" s="288"/>
      <c r="LEV65" s="288"/>
      <c r="LEW65" s="288"/>
      <c r="LEX65" s="288"/>
      <c r="LEY65" s="288"/>
      <c r="LEZ65" s="288"/>
      <c r="LFA65" s="124"/>
      <c r="LFB65" s="259"/>
      <c r="LFC65" s="259"/>
      <c r="LFD65" s="259"/>
      <c r="LFE65" s="288"/>
      <c r="LFF65" s="288"/>
      <c r="LFG65" s="288"/>
      <c r="LFH65" s="288"/>
      <c r="LFI65" s="288"/>
      <c r="LFJ65" s="288"/>
      <c r="LFK65" s="288"/>
      <c r="LFL65" s="288"/>
      <c r="LFM65" s="288"/>
      <c r="LFN65" s="124"/>
      <c r="LFO65" s="259"/>
      <c r="LFP65" s="259"/>
      <c r="LFQ65" s="259"/>
      <c r="LFR65" s="288"/>
      <c r="LFS65" s="288"/>
      <c r="LFT65" s="288"/>
      <c r="LFU65" s="288"/>
      <c r="LFV65" s="288"/>
      <c r="LFW65" s="288"/>
      <c r="LFX65" s="288"/>
      <c r="LFY65" s="288"/>
      <c r="LFZ65" s="288"/>
      <c r="LGA65" s="124"/>
      <c r="LGB65" s="259"/>
      <c r="LGC65" s="259"/>
      <c r="LGD65" s="259"/>
      <c r="LGE65" s="288"/>
      <c r="LGF65" s="288"/>
      <c r="LGG65" s="288"/>
      <c r="LGH65" s="288"/>
      <c r="LGI65" s="288"/>
      <c r="LGJ65" s="288"/>
      <c r="LGK65" s="288"/>
      <c r="LGL65" s="288"/>
      <c r="LGM65" s="288"/>
      <c r="LGN65" s="124"/>
      <c r="LGO65" s="259"/>
      <c r="LGP65" s="259"/>
      <c r="LGQ65" s="259"/>
      <c r="LGR65" s="288"/>
      <c r="LGS65" s="288"/>
      <c r="LGT65" s="288"/>
      <c r="LGU65" s="288"/>
      <c r="LGV65" s="288"/>
      <c r="LGW65" s="288"/>
      <c r="LGX65" s="288"/>
      <c r="LGY65" s="288"/>
      <c r="LGZ65" s="288"/>
      <c r="LHA65" s="124"/>
      <c r="LHB65" s="259"/>
      <c r="LHC65" s="259"/>
      <c r="LHD65" s="259"/>
      <c r="LHE65" s="288"/>
      <c r="LHF65" s="288"/>
      <c r="LHG65" s="288"/>
      <c r="LHH65" s="288"/>
      <c r="LHI65" s="288"/>
      <c r="LHJ65" s="288"/>
      <c r="LHK65" s="288"/>
      <c r="LHL65" s="288"/>
      <c r="LHM65" s="288"/>
      <c r="LHN65" s="124"/>
      <c r="LHO65" s="259"/>
      <c r="LHP65" s="259"/>
      <c r="LHQ65" s="259"/>
      <c r="LHR65" s="288"/>
      <c r="LHS65" s="288"/>
      <c r="LHT65" s="288"/>
      <c r="LHU65" s="288"/>
      <c r="LHV65" s="288"/>
      <c r="LHW65" s="288"/>
      <c r="LHX65" s="288"/>
      <c r="LHY65" s="288"/>
      <c r="LHZ65" s="288"/>
      <c r="LIA65" s="124"/>
      <c r="LIB65" s="259"/>
      <c r="LIC65" s="259"/>
      <c r="LID65" s="259"/>
      <c r="LIE65" s="288"/>
      <c r="LIF65" s="288"/>
      <c r="LIG65" s="288"/>
      <c r="LIH65" s="288"/>
      <c r="LII65" s="288"/>
      <c r="LIJ65" s="288"/>
      <c r="LIK65" s="288"/>
      <c r="LIL65" s="288"/>
      <c r="LIM65" s="288"/>
      <c r="LIN65" s="124"/>
      <c r="LIO65" s="259"/>
      <c r="LIP65" s="259"/>
      <c r="LIQ65" s="259"/>
      <c r="LIR65" s="288"/>
      <c r="LIS65" s="288"/>
      <c r="LIT65" s="288"/>
      <c r="LIU65" s="288"/>
      <c r="LIV65" s="288"/>
      <c r="LIW65" s="288"/>
      <c r="LIX65" s="288"/>
      <c r="LIY65" s="288"/>
      <c r="LIZ65" s="288"/>
      <c r="LJA65" s="124"/>
      <c r="LJB65" s="259"/>
      <c r="LJC65" s="259"/>
      <c r="LJD65" s="259"/>
      <c r="LJE65" s="288"/>
      <c r="LJF65" s="288"/>
      <c r="LJG65" s="288"/>
      <c r="LJH65" s="288"/>
      <c r="LJI65" s="288"/>
      <c r="LJJ65" s="288"/>
      <c r="LJK65" s="288"/>
      <c r="LJL65" s="288"/>
      <c r="LJM65" s="288"/>
      <c r="LJN65" s="124"/>
      <c r="LJO65" s="259"/>
      <c r="LJP65" s="259"/>
      <c r="LJQ65" s="259"/>
      <c r="LJR65" s="288"/>
      <c r="LJS65" s="288"/>
      <c r="LJT65" s="288"/>
      <c r="LJU65" s="288"/>
      <c r="LJV65" s="288"/>
      <c r="LJW65" s="288"/>
      <c r="LJX65" s="288"/>
      <c r="LJY65" s="288"/>
      <c r="LJZ65" s="288"/>
      <c r="LKA65" s="124"/>
      <c r="LKB65" s="259"/>
      <c r="LKC65" s="259"/>
      <c r="LKD65" s="259"/>
      <c r="LKE65" s="288"/>
      <c r="LKF65" s="288"/>
      <c r="LKG65" s="288"/>
      <c r="LKH65" s="288"/>
      <c r="LKI65" s="288"/>
      <c r="LKJ65" s="288"/>
      <c r="LKK65" s="288"/>
      <c r="LKL65" s="288"/>
      <c r="LKM65" s="288"/>
      <c r="LKN65" s="124"/>
      <c r="LKO65" s="259"/>
      <c r="LKP65" s="259"/>
      <c r="LKQ65" s="259"/>
      <c r="LKR65" s="288"/>
      <c r="LKS65" s="288"/>
      <c r="LKT65" s="288"/>
      <c r="LKU65" s="288"/>
      <c r="LKV65" s="288"/>
      <c r="LKW65" s="288"/>
      <c r="LKX65" s="288"/>
      <c r="LKY65" s="288"/>
      <c r="LKZ65" s="288"/>
      <c r="LLA65" s="124"/>
      <c r="LLB65" s="259"/>
      <c r="LLC65" s="259"/>
      <c r="LLD65" s="259"/>
      <c r="LLE65" s="288"/>
      <c r="LLF65" s="288"/>
      <c r="LLG65" s="288"/>
      <c r="LLH65" s="288"/>
      <c r="LLI65" s="288"/>
      <c r="LLJ65" s="288"/>
      <c r="LLK65" s="288"/>
      <c r="LLL65" s="288"/>
      <c r="LLM65" s="288"/>
      <c r="LLN65" s="124"/>
      <c r="LLO65" s="259"/>
      <c r="LLP65" s="259"/>
      <c r="LLQ65" s="259"/>
      <c r="LLR65" s="288"/>
      <c r="LLS65" s="288"/>
      <c r="LLT65" s="288"/>
      <c r="LLU65" s="288"/>
      <c r="LLV65" s="288"/>
      <c r="LLW65" s="288"/>
      <c r="LLX65" s="288"/>
      <c r="LLY65" s="288"/>
      <c r="LLZ65" s="288"/>
      <c r="LMA65" s="124"/>
      <c r="LMB65" s="259"/>
      <c r="LMC65" s="259"/>
      <c r="LMD65" s="259"/>
      <c r="LME65" s="288"/>
      <c r="LMF65" s="288"/>
      <c r="LMG65" s="288"/>
      <c r="LMH65" s="288"/>
      <c r="LMI65" s="288"/>
      <c r="LMJ65" s="288"/>
      <c r="LMK65" s="288"/>
      <c r="LML65" s="288"/>
      <c r="LMM65" s="288"/>
      <c r="LMN65" s="124"/>
      <c r="LMO65" s="259"/>
      <c r="LMP65" s="259"/>
      <c r="LMQ65" s="259"/>
      <c r="LMR65" s="288"/>
      <c r="LMS65" s="288"/>
      <c r="LMT65" s="288"/>
      <c r="LMU65" s="288"/>
      <c r="LMV65" s="288"/>
      <c r="LMW65" s="288"/>
      <c r="LMX65" s="288"/>
      <c r="LMY65" s="288"/>
      <c r="LMZ65" s="288"/>
      <c r="LNA65" s="124"/>
      <c r="LNB65" s="259"/>
      <c r="LNC65" s="259"/>
      <c r="LND65" s="259"/>
      <c r="LNE65" s="288"/>
      <c r="LNF65" s="288"/>
      <c r="LNG65" s="288"/>
      <c r="LNH65" s="288"/>
      <c r="LNI65" s="288"/>
      <c r="LNJ65" s="288"/>
      <c r="LNK65" s="288"/>
      <c r="LNL65" s="288"/>
      <c r="LNM65" s="288"/>
      <c r="LNN65" s="124"/>
      <c r="LNO65" s="259"/>
      <c r="LNP65" s="259"/>
      <c r="LNQ65" s="259"/>
      <c r="LNR65" s="288"/>
      <c r="LNS65" s="288"/>
      <c r="LNT65" s="288"/>
      <c r="LNU65" s="288"/>
      <c r="LNV65" s="288"/>
      <c r="LNW65" s="288"/>
      <c r="LNX65" s="288"/>
      <c r="LNY65" s="288"/>
      <c r="LNZ65" s="288"/>
      <c r="LOA65" s="124"/>
      <c r="LOB65" s="259"/>
      <c r="LOC65" s="259"/>
      <c r="LOD65" s="259"/>
      <c r="LOE65" s="288"/>
      <c r="LOF65" s="288"/>
      <c r="LOG65" s="288"/>
      <c r="LOH65" s="288"/>
      <c r="LOI65" s="288"/>
      <c r="LOJ65" s="288"/>
      <c r="LOK65" s="288"/>
      <c r="LOL65" s="288"/>
      <c r="LOM65" s="288"/>
      <c r="LON65" s="124"/>
      <c r="LOO65" s="259"/>
      <c r="LOP65" s="259"/>
      <c r="LOQ65" s="259"/>
      <c r="LOR65" s="288"/>
      <c r="LOS65" s="288"/>
      <c r="LOT65" s="288"/>
      <c r="LOU65" s="288"/>
      <c r="LOV65" s="288"/>
      <c r="LOW65" s="288"/>
      <c r="LOX65" s="288"/>
      <c r="LOY65" s="288"/>
      <c r="LOZ65" s="288"/>
      <c r="LPA65" s="124"/>
      <c r="LPB65" s="259"/>
      <c r="LPC65" s="259"/>
      <c r="LPD65" s="259"/>
      <c r="LPE65" s="288"/>
      <c r="LPF65" s="288"/>
      <c r="LPG65" s="288"/>
      <c r="LPH65" s="288"/>
      <c r="LPI65" s="288"/>
      <c r="LPJ65" s="288"/>
      <c r="LPK65" s="288"/>
      <c r="LPL65" s="288"/>
      <c r="LPM65" s="288"/>
      <c r="LPN65" s="124"/>
      <c r="LPO65" s="259"/>
      <c r="LPP65" s="259"/>
      <c r="LPQ65" s="259"/>
      <c r="LPR65" s="288"/>
      <c r="LPS65" s="288"/>
      <c r="LPT65" s="288"/>
      <c r="LPU65" s="288"/>
      <c r="LPV65" s="288"/>
      <c r="LPW65" s="288"/>
      <c r="LPX65" s="288"/>
      <c r="LPY65" s="288"/>
      <c r="LPZ65" s="288"/>
      <c r="LQA65" s="124"/>
      <c r="LQB65" s="259"/>
      <c r="LQC65" s="259"/>
      <c r="LQD65" s="259"/>
      <c r="LQE65" s="288"/>
      <c r="LQF65" s="288"/>
      <c r="LQG65" s="288"/>
      <c r="LQH65" s="288"/>
      <c r="LQI65" s="288"/>
      <c r="LQJ65" s="288"/>
      <c r="LQK65" s="288"/>
      <c r="LQL65" s="288"/>
      <c r="LQM65" s="288"/>
      <c r="LQN65" s="124"/>
      <c r="LQO65" s="259"/>
      <c r="LQP65" s="259"/>
      <c r="LQQ65" s="259"/>
      <c r="LQR65" s="288"/>
      <c r="LQS65" s="288"/>
      <c r="LQT65" s="288"/>
      <c r="LQU65" s="288"/>
      <c r="LQV65" s="288"/>
      <c r="LQW65" s="288"/>
      <c r="LQX65" s="288"/>
      <c r="LQY65" s="288"/>
      <c r="LQZ65" s="288"/>
      <c r="LRA65" s="124"/>
      <c r="LRB65" s="259"/>
      <c r="LRC65" s="259"/>
      <c r="LRD65" s="259"/>
      <c r="LRE65" s="288"/>
      <c r="LRF65" s="288"/>
      <c r="LRG65" s="288"/>
      <c r="LRH65" s="288"/>
      <c r="LRI65" s="288"/>
      <c r="LRJ65" s="288"/>
      <c r="LRK65" s="288"/>
      <c r="LRL65" s="288"/>
      <c r="LRM65" s="288"/>
      <c r="LRN65" s="124"/>
      <c r="LRO65" s="259"/>
      <c r="LRP65" s="259"/>
      <c r="LRQ65" s="259"/>
      <c r="LRR65" s="288"/>
      <c r="LRS65" s="288"/>
      <c r="LRT65" s="288"/>
      <c r="LRU65" s="288"/>
      <c r="LRV65" s="288"/>
      <c r="LRW65" s="288"/>
      <c r="LRX65" s="288"/>
      <c r="LRY65" s="288"/>
      <c r="LRZ65" s="288"/>
      <c r="LSA65" s="124"/>
      <c r="LSB65" s="259"/>
      <c r="LSC65" s="259"/>
      <c r="LSD65" s="259"/>
      <c r="LSE65" s="288"/>
      <c r="LSF65" s="288"/>
      <c r="LSG65" s="288"/>
      <c r="LSH65" s="288"/>
      <c r="LSI65" s="288"/>
      <c r="LSJ65" s="288"/>
      <c r="LSK65" s="288"/>
      <c r="LSL65" s="288"/>
      <c r="LSM65" s="288"/>
      <c r="LSN65" s="124"/>
      <c r="LSO65" s="259"/>
      <c r="LSP65" s="259"/>
      <c r="LSQ65" s="259"/>
      <c r="LSR65" s="288"/>
      <c r="LSS65" s="288"/>
      <c r="LST65" s="288"/>
      <c r="LSU65" s="288"/>
      <c r="LSV65" s="288"/>
      <c r="LSW65" s="288"/>
      <c r="LSX65" s="288"/>
      <c r="LSY65" s="288"/>
      <c r="LSZ65" s="288"/>
      <c r="LTA65" s="124"/>
      <c r="LTB65" s="259"/>
      <c r="LTC65" s="259"/>
      <c r="LTD65" s="259"/>
      <c r="LTE65" s="288"/>
      <c r="LTF65" s="288"/>
      <c r="LTG65" s="288"/>
      <c r="LTH65" s="288"/>
      <c r="LTI65" s="288"/>
      <c r="LTJ65" s="288"/>
      <c r="LTK65" s="288"/>
      <c r="LTL65" s="288"/>
      <c r="LTM65" s="288"/>
      <c r="LTN65" s="124"/>
      <c r="LTO65" s="259"/>
      <c r="LTP65" s="259"/>
      <c r="LTQ65" s="259"/>
      <c r="LTR65" s="288"/>
      <c r="LTS65" s="288"/>
      <c r="LTT65" s="288"/>
      <c r="LTU65" s="288"/>
      <c r="LTV65" s="288"/>
      <c r="LTW65" s="288"/>
      <c r="LTX65" s="288"/>
      <c r="LTY65" s="288"/>
      <c r="LTZ65" s="288"/>
      <c r="LUA65" s="124"/>
      <c r="LUB65" s="259"/>
      <c r="LUC65" s="259"/>
      <c r="LUD65" s="259"/>
      <c r="LUE65" s="288"/>
      <c r="LUF65" s="288"/>
      <c r="LUG65" s="288"/>
      <c r="LUH65" s="288"/>
      <c r="LUI65" s="288"/>
      <c r="LUJ65" s="288"/>
      <c r="LUK65" s="288"/>
      <c r="LUL65" s="288"/>
      <c r="LUM65" s="288"/>
      <c r="LUN65" s="124"/>
      <c r="LUO65" s="259"/>
      <c r="LUP65" s="259"/>
      <c r="LUQ65" s="259"/>
      <c r="LUR65" s="288"/>
      <c r="LUS65" s="288"/>
      <c r="LUT65" s="288"/>
      <c r="LUU65" s="288"/>
      <c r="LUV65" s="288"/>
      <c r="LUW65" s="288"/>
      <c r="LUX65" s="288"/>
      <c r="LUY65" s="288"/>
      <c r="LUZ65" s="288"/>
      <c r="LVA65" s="124"/>
      <c r="LVB65" s="259"/>
      <c r="LVC65" s="259"/>
      <c r="LVD65" s="259"/>
      <c r="LVE65" s="288"/>
      <c r="LVF65" s="288"/>
      <c r="LVG65" s="288"/>
      <c r="LVH65" s="288"/>
      <c r="LVI65" s="288"/>
      <c r="LVJ65" s="288"/>
      <c r="LVK65" s="288"/>
      <c r="LVL65" s="288"/>
      <c r="LVM65" s="288"/>
      <c r="LVN65" s="124"/>
      <c r="LVO65" s="259"/>
      <c r="LVP65" s="259"/>
      <c r="LVQ65" s="259"/>
      <c r="LVR65" s="288"/>
      <c r="LVS65" s="288"/>
      <c r="LVT65" s="288"/>
      <c r="LVU65" s="288"/>
      <c r="LVV65" s="288"/>
      <c r="LVW65" s="288"/>
      <c r="LVX65" s="288"/>
      <c r="LVY65" s="288"/>
      <c r="LVZ65" s="288"/>
      <c r="LWA65" s="124"/>
      <c r="LWB65" s="259"/>
      <c r="LWC65" s="259"/>
      <c r="LWD65" s="259"/>
      <c r="LWE65" s="288"/>
      <c r="LWF65" s="288"/>
      <c r="LWG65" s="288"/>
      <c r="LWH65" s="288"/>
      <c r="LWI65" s="288"/>
      <c r="LWJ65" s="288"/>
      <c r="LWK65" s="288"/>
      <c r="LWL65" s="288"/>
      <c r="LWM65" s="288"/>
      <c r="LWN65" s="124"/>
      <c r="LWO65" s="259"/>
      <c r="LWP65" s="259"/>
      <c r="LWQ65" s="259"/>
      <c r="LWR65" s="288"/>
      <c r="LWS65" s="288"/>
      <c r="LWT65" s="288"/>
      <c r="LWU65" s="288"/>
      <c r="LWV65" s="288"/>
      <c r="LWW65" s="288"/>
      <c r="LWX65" s="288"/>
      <c r="LWY65" s="288"/>
      <c r="LWZ65" s="288"/>
      <c r="LXA65" s="124"/>
      <c r="LXB65" s="259"/>
      <c r="LXC65" s="259"/>
      <c r="LXD65" s="259"/>
      <c r="LXE65" s="288"/>
      <c r="LXF65" s="288"/>
      <c r="LXG65" s="288"/>
      <c r="LXH65" s="288"/>
      <c r="LXI65" s="288"/>
      <c r="LXJ65" s="288"/>
      <c r="LXK65" s="288"/>
      <c r="LXL65" s="288"/>
      <c r="LXM65" s="288"/>
      <c r="LXN65" s="124"/>
      <c r="LXO65" s="259"/>
      <c r="LXP65" s="259"/>
      <c r="LXQ65" s="259"/>
      <c r="LXR65" s="288"/>
      <c r="LXS65" s="288"/>
      <c r="LXT65" s="288"/>
      <c r="LXU65" s="288"/>
      <c r="LXV65" s="288"/>
      <c r="LXW65" s="288"/>
      <c r="LXX65" s="288"/>
      <c r="LXY65" s="288"/>
      <c r="LXZ65" s="288"/>
      <c r="LYA65" s="124"/>
      <c r="LYB65" s="259"/>
      <c r="LYC65" s="259"/>
      <c r="LYD65" s="259"/>
      <c r="LYE65" s="288"/>
      <c r="LYF65" s="288"/>
      <c r="LYG65" s="288"/>
      <c r="LYH65" s="288"/>
      <c r="LYI65" s="288"/>
      <c r="LYJ65" s="288"/>
      <c r="LYK65" s="288"/>
      <c r="LYL65" s="288"/>
      <c r="LYM65" s="288"/>
      <c r="LYN65" s="124"/>
      <c r="LYO65" s="259"/>
      <c r="LYP65" s="259"/>
      <c r="LYQ65" s="259"/>
      <c r="LYR65" s="288"/>
      <c r="LYS65" s="288"/>
      <c r="LYT65" s="288"/>
      <c r="LYU65" s="288"/>
      <c r="LYV65" s="288"/>
      <c r="LYW65" s="288"/>
      <c r="LYX65" s="288"/>
      <c r="LYY65" s="288"/>
      <c r="LYZ65" s="288"/>
      <c r="LZA65" s="124"/>
      <c r="LZB65" s="259"/>
      <c r="LZC65" s="259"/>
      <c r="LZD65" s="259"/>
      <c r="LZE65" s="288"/>
      <c r="LZF65" s="288"/>
      <c r="LZG65" s="288"/>
      <c r="LZH65" s="288"/>
      <c r="LZI65" s="288"/>
      <c r="LZJ65" s="288"/>
      <c r="LZK65" s="288"/>
      <c r="LZL65" s="288"/>
      <c r="LZM65" s="288"/>
      <c r="LZN65" s="124"/>
      <c r="LZO65" s="259"/>
      <c r="LZP65" s="259"/>
      <c r="LZQ65" s="259"/>
      <c r="LZR65" s="288"/>
      <c r="LZS65" s="288"/>
      <c r="LZT65" s="288"/>
      <c r="LZU65" s="288"/>
      <c r="LZV65" s="288"/>
      <c r="LZW65" s="288"/>
      <c r="LZX65" s="288"/>
      <c r="LZY65" s="288"/>
      <c r="LZZ65" s="288"/>
      <c r="MAA65" s="124"/>
      <c r="MAB65" s="259"/>
      <c r="MAC65" s="259"/>
      <c r="MAD65" s="259"/>
      <c r="MAE65" s="288"/>
      <c r="MAF65" s="288"/>
      <c r="MAG65" s="288"/>
      <c r="MAH65" s="288"/>
      <c r="MAI65" s="288"/>
      <c r="MAJ65" s="288"/>
      <c r="MAK65" s="288"/>
      <c r="MAL65" s="288"/>
      <c r="MAM65" s="288"/>
      <c r="MAN65" s="124"/>
      <c r="MAO65" s="259"/>
      <c r="MAP65" s="259"/>
      <c r="MAQ65" s="259"/>
      <c r="MAR65" s="288"/>
      <c r="MAS65" s="288"/>
      <c r="MAT65" s="288"/>
      <c r="MAU65" s="288"/>
      <c r="MAV65" s="288"/>
      <c r="MAW65" s="288"/>
      <c r="MAX65" s="288"/>
      <c r="MAY65" s="288"/>
      <c r="MAZ65" s="288"/>
      <c r="MBA65" s="124"/>
      <c r="MBB65" s="259"/>
      <c r="MBC65" s="259"/>
      <c r="MBD65" s="259"/>
      <c r="MBE65" s="288"/>
      <c r="MBF65" s="288"/>
      <c r="MBG65" s="288"/>
      <c r="MBH65" s="288"/>
      <c r="MBI65" s="288"/>
      <c r="MBJ65" s="288"/>
      <c r="MBK65" s="288"/>
      <c r="MBL65" s="288"/>
      <c r="MBM65" s="288"/>
      <c r="MBN65" s="124"/>
      <c r="MBO65" s="259"/>
      <c r="MBP65" s="259"/>
      <c r="MBQ65" s="259"/>
      <c r="MBR65" s="288"/>
      <c r="MBS65" s="288"/>
      <c r="MBT65" s="288"/>
      <c r="MBU65" s="288"/>
      <c r="MBV65" s="288"/>
      <c r="MBW65" s="288"/>
      <c r="MBX65" s="288"/>
      <c r="MBY65" s="288"/>
      <c r="MBZ65" s="288"/>
      <c r="MCA65" s="124"/>
      <c r="MCB65" s="259"/>
      <c r="MCC65" s="259"/>
      <c r="MCD65" s="259"/>
      <c r="MCE65" s="288"/>
      <c r="MCF65" s="288"/>
      <c r="MCG65" s="288"/>
      <c r="MCH65" s="288"/>
      <c r="MCI65" s="288"/>
      <c r="MCJ65" s="288"/>
      <c r="MCK65" s="288"/>
      <c r="MCL65" s="288"/>
      <c r="MCM65" s="288"/>
      <c r="MCN65" s="124"/>
      <c r="MCO65" s="259"/>
      <c r="MCP65" s="259"/>
      <c r="MCQ65" s="259"/>
      <c r="MCR65" s="288"/>
      <c r="MCS65" s="288"/>
      <c r="MCT65" s="288"/>
      <c r="MCU65" s="288"/>
      <c r="MCV65" s="288"/>
      <c r="MCW65" s="288"/>
      <c r="MCX65" s="288"/>
      <c r="MCY65" s="288"/>
      <c r="MCZ65" s="288"/>
      <c r="MDA65" s="124"/>
      <c r="MDB65" s="259"/>
      <c r="MDC65" s="259"/>
      <c r="MDD65" s="259"/>
      <c r="MDE65" s="288"/>
      <c r="MDF65" s="288"/>
      <c r="MDG65" s="288"/>
      <c r="MDH65" s="288"/>
      <c r="MDI65" s="288"/>
      <c r="MDJ65" s="288"/>
      <c r="MDK65" s="288"/>
      <c r="MDL65" s="288"/>
      <c r="MDM65" s="288"/>
      <c r="MDN65" s="124"/>
      <c r="MDO65" s="259"/>
      <c r="MDP65" s="259"/>
      <c r="MDQ65" s="259"/>
      <c r="MDR65" s="288"/>
      <c r="MDS65" s="288"/>
      <c r="MDT65" s="288"/>
      <c r="MDU65" s="288"/>
      <c r="MDV65" s="288"/>
      <c r="MDW65" s="288"/>
      <c r="MDX65" s="288"/>
      <c r="MDY65" s="288"/>
      <c r="MDZ65" s="288"/>
      <c r="MEA65" s="124"/>
      <c r="MEB65" s="259"/>
      <c r="MEC65" s="259"/>
      <c r="MED65" s="259"/>
      <c r="MEE65" s="288"/>
      <c r="MEF65" s="288"/>
      <c r="MEG65" s="288"/>
      <c r="MEH65" s="288"/>
      <c r="MEI65" s="288"/>
      <c r="MEJ65" s="288"/>
      <c r="MEK65" s="288"/>
      <c r="MEL65" s="288"/>
      <c r="MEM65" s="288"/>
      <c r="MEN65" s="124"/>
      <c r="MEO65" s="259"/>
      <c r="MEP65" s="259"/>
      <c r="MEQ65" s="259"/>
      <c r="MER65" s="288"/>
      <c r="MES65" s="288"/>
      <c r="MET65" s="288"/>
      <c r="MEU65" s="288"/>
      <c r="MEV65" s="288"/>
      <c r="MEW65" s="288"/>
      <c r="MEX65" s="288"/>
      <c r="MEY65" s="288"/>
      <c r="MEZ65" s="288"/>
      <c r="MFA65" s="124"/>
      <c r="MFB65" s="259"/>
      <c r="MFC65" s="259"/>
      <c r="MFD65" s="259"/>
      <c r="MFE65" s="288"/>
      <c r="MFF65" s="288"/>
      <c r="MFG65" s="288"/>
      <c r="MFH65" s="288"/>
      <c r="MFI65" s="288"/>
      <c r="MFJ65" s="288"/>
      <c r="MFK65" s="288"/>
      <c r="MFL65" s="288"/>
      <c r="MFM65" s="288"/>
      <c r="MFN65" s="124"/>
      <c r="MFO65" s="259"/>
      <c r="MFP65" s="259"/>
      <c r="MFQ65" s="259"/>
      <c r="MFR65" s="288"/>
      <c r="MFS65" s="288"/>
      <c r="MFT65" s="288"/>
      <c r="MFU65" s="288"/>
      <c r="MFV65" s="288"/>
      <c r="MFW65" s="288"/>
      <c r="MFX65" s="288"/>
      <c r="MFY65" s="288"/>
      <c r="MFZ65" s="288"/>
      <c r="MGA65" s="124"/>
      <c r="MGB65" s="259"/>
      <c r="MGC65" s="259"/>
      <c r="MGD65" s="259"/>
      <c r="MGE65" s="288"/>
      <c r="MGF65" s="288"/>
      <c r="MGG65" s="288"/>
      <c r="MGH65" s="288"/>
      <c r="MGI65" s="288"/>
      <c r="MGJ65" s="288"/>
      <c r="MGK65" s="288"/>
      <c r="MGL65" s="288"/>
      <c r="MGM65" s="288"/>
      <c r="MGN65" s="124"/>
      <c r="MGO65" s="259"/>
      <c r="MGP65" s="259"/>
      <c r="MGQ65" s="259"/>
      <c r="MGR65" s="288"/>
      <c r="MGS65" s="288"/>
      <c r="MGT65" s="288"/>
      <c r="MGU65" s="288"/>
      <c r="MGV65" s="288"/>
      <c r="MGW65" s="288"/>
      <c r="MGX65" s="288"/>
      <c r="MGY65" s="288"/>
      <c r="MGZ65" s="288"/>
      <c r="MHA65" s="124"/>
      <c r="MHB65" s="259"/>
      <c r="MHC65" s="259"/>
      <c r="MHD65" s="259"/>
      <c r="MHE65" s="288"/>
      <c r="MHF65" s="288"/>
      <c r="MHG65" s="288"/>
      <c r="MHH65" s="288"/>
      <c r="MHI65" s="288"/>
      <c r="MHJ65" s="288"/>
      <c r="MHK65" s="288"/>
      <c r="MHL65" s="288"/>
      <c r="MHM65" s="288"/>
      <c r="MHN65" s="124"/>
      <c r="MHO65" s="259"/>
      <c r="MHP65" s="259"/>
      <c r="MHQ65" s="259"/>
      <c r="MHR65" s="288"/>
      <c r="MHS65" s="288"/>
      <c r="MHT65" s="288"/>
      <c r="MHU65" s="288"/>
      <c r="MHV65" s="288"/>
      <c r="MHW65" s="288"/>
      <c r="MHX65" s="288"/>
      <c r="MHY65" s="288"/>
      <c r="MHZ65" s="288"/>
      <c r="MIA65" s="124"/>
      <c r="MIB65" s="259"/>
      <c r="MIC65" s="259"/>
      <c r="MID65" s="259"/>
      <c r="MIE65" s="288"/>
      <c r="MIF65" s="288"/>
      <c r="MIG65" s="288"/>
      <c r="MIH65" s="288"/>
      <c r="MII65" s="288"/>
      <c r="MIJ65" s="288"/>
      <c r="MIK65" s="288"/>
      <c r="MIL65" s="288"/>
      <c r="MIM65" s="288"/>
      <c r="MIN65" s="124"/>
      <c r="MIO65" s="259"/>
      <c r="MIP65" s="259"/>
      <c r="MIQ65" s="259"/>
      <c r="MIR65" s="288"/>
      <c r="MIS65" s="288"/>
      <c r="MIT65" s="288"/>
      <c r="MIU65" s="288"/>
      <c r="MIV65" s="288"/>
      <c r="MIW65" s="288"/>
      <c r="MIX65" s="288"/>
      <c r="MIY65" s="288"/>
      <c r="MIZ65" s="288"/>
      <c r="MJA65" s="124"/>
      <c r="MJB65" s="259"/>
      <c r="MJC65" s="259"/>
      <c r="MJD65" s="259"/>
      <c r="MJE65" s="288"/>
      <c r="MJF65" s="288"/>
      <c r="MJG65" s="288"/>
      <c r="MJH65" s="288"/>
      <c r="MJI65" s="288"/>
      <c r="MJJ65" s="288"/>
      <c r="MJK65" s="288"/>
      <c r="MJL65" s="288"/>
      <c r="MJM65" s="288"/>
      <c r="MJN65" s="124"/>
      <c r="MJO65" s="259"/>
      <c r="MJP65" s="259"/>
      <c r="MJQ65" s="259"/>
      <c r="MJR65" s="288"/>
      <c r="MJS65" s="288"/>
      <c r="MJT65" s="288"/>
      <c r="MJU65" s="288"/>
      <c r="MJV65" s="288"/>
      <c r="MJW65" s="288"/>
      <c r="MJX65" s="288"/>
      <c r="MJY65" s="288"/>
      <c r="MJZ65" s="288"/>
      <c r="MKA65" s="124"/>
      <c r="MKB65" s="259"/>
      <c r="MKC65" s="259"/>
      <c r="MKD65" s="259"/>
      <c r="MKE65" s="288"/>
      <c r="MKF65" s="288"/>
      <c r="MKG65" s="288"/>
      <c r="MKH65" s="288"/>
      <c r="MKI65" s="288"/>
      <c r="MKJ65" s="288"/>
      <c r="MKK65" s="288"/>
      <c r="MKL65" s="288"/>
      <c r="MKM65" s="288"/>
      <c r="MKN65" s="124"/>
      <c r="MKO65" s="259"/>
      <c r="MKP65" s="259"/>
      <c r="MKQ65" s="259"/>
      <c r="MKR65" s="288"/>
      <c r="MKS65" s="288"/>
      <c r="MKT65" s="288"/>
      <c r="MKU65" s="288"/>
      <c r="MKV65" s="288"/>
      <c r="MKW65" s="288"/>
      <c r="MKX65" s="288"/>
      <c r="MKY65" s="288"/>
      <c r="MKZ65" s="288"/>
      <c r="MLA65" s="124"/>
      <c r="MLB65" s="259"/>
      <c r="MLC65" s="259"/>
      <c r="MLD65" s="259"/>
      <c r="MLE65" s="288"/>
      <c r="MLF65" s="288"/>
      <c r="MLG65" s="288"/>
      <c r="MLH65" s="288"/>
      <c r="MLI65" s="288"/>
      <c r="MLJ65" s="288"/>
      <c r="MLK65" s="288"/>
      <c r="MLL65" s="288"/>
      <c r="MLM65" s="288"/>
      <c r="MLN65" s="124"/>
      <c r="MLO65" s="259"/>
      <c r="MLP65" s="259"/>
      <c r="MLQ65" s="259"/>
      <c r="MLR65" s="288"/>
      <c r="MLS65" s="288"/>
      <c r="MLT65" s="288"/>
      <c r="MLU65" s="288"/>
      <c r="MLV65" s="288"/>
      <c r="MLW65" s="288"/>
      <c r="MLX65" s="288"/>
      <c r="MLY65" s="288"/>
      <c r="MLZ65" s="288"/>
      <c r="MMA65" s="124"/>
      <c r="MMB65" s="259"/>
      <c r="MMC65" s="259"/>
      <c r="MMD65" s="259"/>
      <c r="MME65" s="288"/>
      <c r="MMF65" s="288"/>
      <c r="MMG65" s="288"/>
      <c r="MMH65" s="288"/>
      <c r="MMI65" s="288"/>
      <c r="MMJ65" s="288"/>
      <c r="MMK65" s="288"/>
      <c r="MML65" s="288"/>
      <c r="MMM65" s="288"/>
      <c r="MMN65" s="124"/>
      <c r="MMO65" s="259"/>
      <c r="MMP65" s="259"/>
      <c r="MMQ65" s="259"/>
      <c r="MMR65" s="288"/>
      <c r="MMS65" s="288"/>
      <c r="MMT65" s="288"/>
      <c r="MMU65" s="288"/>
      <c r="MMV65" s="288"/>
      <c r="MMW65" s="288"/>
      <c r="MMX65" s="288"/>
      <c r="MMY65" s="288"/>
      <c r="MMZ65" s="288"/>
      <c r="MNA65" s="124"/>
      <c r="MNB65" s="259"/>
      <c r="MNC65" s="259"/>
      <c r="MND65" s="259"/>
      <c r="MNE65" s="288"/>
      <c r="MNF65" s="288"/>
      <c r="MNG65" s="288"/>
      <c r="MNH65" s="288"/>
      <c r="MNI65" s="288"/>
      <c r="MNJ65" s="288"/>
      <c r="MNK65" s="288"/>
      <c r="MNL65" s="288"/>
      <c r="MNM65" s="288"/>
      <c r="MNN65" s="124"/>
      <c r="MNO65" s="259"/>
      <c r="MNP65" s="259"/>
      <c r="MNQ65" s="259"/>
      <c r="MNR65" s="288"/>
      <c r="MNS65" s="288"/>
      <c r="MNT65" s="288"/>
      <c r="MNU65" s="288"/>
      <c r="MNV65" s="288"/>
      <c r="MNW65" s="288"/>
      <c r="MNX65" s="288"/>
      <c r="MNY65" s="288"/>
      <c r="MNZ65" s="288"/>
      <c r="MOA65" s="124"/>
      <c r="MOB65" s="259"/>
      <c r="MOC65" s="259"/>
      <c r="MOD65" s="259"/>
      <c r="MOE65" s="288"/>
      <c r="MOF65" s="288"/>
      <c r="MOG65" s="288"/>
      <c r="MOH65" s="288"/>
      <c r="MOI65" s="288"/>
      <c r="MOJ65" s="288"/>
      <c r="MOK65" s="288"/>
      <c r="MOL65" s="288"/>
      <c r="MOM65" s="288"/>
      <c r="MON65" s="124"/>
      <c r="MOO65" s="259"/>
      <c r="MOP65" s="259"/>
      <c r="MOQ65" s="259"/>
      <c r="MOR65" s="288"/>
      <c r="MOS65" s="288"/>
      <c r="MOT65" s="288"/>
      <c r="MOU65" s="288"/>
      <c r="MOV65" s="288"/>
      <c r="MOW65" s="288"/>
      <c r="MOX65" s="288"/>
      <c r="MOY65" s="288"/>
      <c r="MOZ65" s="288"/>
      <c r="MPA65" s="124"/>
      <c r="MPB65" s="259"/>
      <c r="MPC65" s="259"/>
      <c r="MPD65" s="259"/>
      <c r="MPE65" s="288"/>
      <c r="MPF65" s="288"/>
      <c r="MPG65" s="288"/>
      <c r="MPH65" s="288"/>
      <c r="MPI65" s="288"/>
      <c r="MPJ65" s="288"/>
      <c r="MPK65" s="288"/>
      <c r="MPL65" s="288"/>
      <c r="MPM65" s="288"/>
      <c r="MPN65" s="124"/>
      <c r="MPO65" s="259"/>
      <c r="MPP65" s="259"/>
      <c r="MPQ65" s="259"/>
      <c r="MPR65" s="288"/>
      <c r="MPS65" s="288"/>
      <c r="MPT65" s="288"/>
      <c r="MPU65" s="288"/>
      <c r="MPV65" s="288"/>
      <c r="MPW65" s="288"/>
      <c r="MPX65" s="288"/>
      <c r="MPY65" s="288"/>
      <c r="MPZ65" s="288"/>
      <c r="MQA65" s="124"/>
      <c r="MQB65" s="259"/>
      <c r="MQC65" s="259"/>
      <c r="MQD65" s="259"/>
      <c r="MQE65" s="288"/>
      <c r="MQF65" s="288"/>
      <c r="MQG65" s="288"/>
      <c r="MQH65" s="288"/>
      <c r="MQI65" s="288"/>
      <c r="MQJ65" s="288"/>
      <c r="MQK65" s="288"/>
      <c r="MQL65" s="288"/>
      <c r="MQM65" s="288"/>
      <c r="MQN65" s="124"/>
      <c r="MQO65" s="259"/>
      <c r="MQP65" s="259"/>
      <c r="MQQ65" s="259"/>
      <c r="MQR65" s="288"/>
      <c r="MQS65" s="288"/>
      <c r="MQT65" s="288"/>
      <c r="MQU65" s="288"/>
      <c r="MQV65" s="288"/>
      <c r="MQW65" s="288"/>
      <c r="MQX65" s="288"/>
      <c r="MQY65" s="288"/>
      <c r="MQZ65" s="288"/>
      <c r="MRA65" s="124"/>
      <c r="MRB65" s="259"/>
      <c r="MRC65" s="259"/>
      <c r="MRD65" s="259"/>
      <c r="MRE65" s="288"/>
      <c r="MRF65" s="288"/>
      <c r="MRG65" s="288"/>
      <c r="MRH65" s="288"/>
      <c r="MRI65" s="288"/>
      <c r="MRJ65" s="288"/>
      <c r="MRK65" s="288"/>
      <c r="MRL65" s="288"/>
      <c r="MRM65" s="288"/>
      <c r="MRN65" s="124"/>
      <c r="MRO65" s="259"/>
      <c r="MRP65" s="259"/>
      <c r="MRQ65" s="259"/>
      <c r="MRR65" s="288"/>
      <c r="MRS65" s="288"/>
      <c r="MRT65" s="288"/>
      <c r="MRU65" s="288"/>
      <c r="MRV65" s="288"/>
      <c r="MRW65" s="288"/>
      <c r="MRX65" s="288"/>
      <c r="MRY65" s="288"/>
      <c r="MRZ65" s="288"/>
      <c r="MSA65" s="124"/>
      <c r="MSB65" s="259"/>
      <c r="MSC65" s="259"/>
      <c r="MSD65" s="259"/>
      <c r="MSE65" s="288"/>
      <c r="MSF65" s="288"/>
      <c r="MSG65" s="288"/>
      <c r="MSH65" s="288"/>
      <c r="MSI65" s="288"/>
      <c r="MSJ65" s="288"/>
      <c r="MSK65" s="288"/>
      <c r="MSL65" s="288"/>
      <c r="MSM65" s="288"/>
      <c r="MSN65" s="124"/>
      <c r="MSO65" s="259"/>
      <c r="MSP65" s="259"/>
      <c r="MSQ65" s="259"/>
      <c r="MSR65" s="288"/>
      <c r="MSS65" s="288"/>
      <c r="MST65" s="288"/>
      <c r="MSU65" s="288"/>
      <c r="MSV65" s="288"/>
      <c r="MSW65" s="288"/>
      <c r="MSX65" s="288"/>
      <c r="MSY65" s="288"/>
      <c r="MSZ65" s="288"/>
      <c r="MTA65" s="124"/>
      <c r="MTB65" s="259"/>
      <c r="MTC65" s="259"/>
      <c r="MTD65" s="259"/>
      <c r="MTE65" s="288"/>
      <c r="MTF65" s="288"/>
      <c r="MTG65" s="288"/>
      <c r="MTH65" s="288"/>
      <c r="MTI65" s="288"/>
      <c r="MTJ65" s="288"/>
      <c r="MTK65" s="288"/>
      <c r="MTL65" s="288"/>
      <c r="MTM65" s="288"/>
      <c r="MTN65" s="124"/>
      <c r="MTO65" s="259"/>
      <c r="MTP65" s="259"/>
      <c r="MTQ65" s="259"/>
      <c r="MTR65" s="288"/>
      <c r="MTS65" s="288"/>
      <c r="MTT65" s="288"/>
      <c r="MTU65" s="288"/>
      <c r="MTV65" s="288"/>
      <c r="MTW65" s="288"/>
      <c r="MTX65" s="288"/>
      <c r="MTY65" s="288"/>
      <c r="MTZ65" s="288"/>
      <c r="MUA65" s="124"/>
      <c r="MUB65" s="259"/>
      <c r="MUC65" s="259"/>
      <c r="MUD65" s="259"/>
      <c r="MUE65" s="288"/>
      <c r="MUF65" s="288"/>
      <c r="MUG65" s="288"/>
      <c r="MUH65" s="288"/>
      <c r="MUI65" s="288"/>
      <c r="MUJ65" s="288"/>
      <c r="MUK65" s="288"/>
      <c r="MUL65" s="288"/>
      <c r="MUM65" s="288"/>
      <c r="MUN65" s="124"/>
      <c r="MUO65" s="259"/>
      <c r="MUP65" s="259"/>
      <c r="MUQ65" s="259"/>
      <c r="MUR65" s="288"/>
      <c r="MUS65" s="288"/>
      <c r="MUT65" s="288"/>
      <c r="MUU65" s="288"/>
      <c r="MUV65" s="288"/>
      <c r="MUW65" s="288"/>
      <c r="MUX65" s="288"/>
      <c r="MUY65" s="288"/>
      <c r="MUZ65" s="288"/>
      <c r="MVA65" s="124"/>
      <c r="MVB65" s="259"/>
      <c r="MVC65" s="259"/>
      <c r="MVD65" s="259"/>
      <c r="MVE65" s="288"/>
      <c r="MVF65" s="288"/>
      <c r="MVG65" s="288"/>
      <c r="MVH65" s="288"/>
      <c r="MVI65" s="288"/>
      <c r="MVJ65" s="288"/>
      <c r="MVK65" s="288"/>
      <c r="MVL65" s="288"/>
      <c r="MVM65" s="288"/>
      <c r="MVN65" s="124"/>
      <c r="MVO65" s="259"/>
      <c r="MVP65" s="259"/>
      <c r="MVQ65" s="259"/>
      <c r="MVR65" s="288"/>
      <c r="MVS65" s="288"/>
      <c r="MVT65" s="288"/>
      <c r="MVU65" s="288"/>
      <c r="MVV65" s="288"/>
      <c r="MVW65" s="288"/>
      <c r="MVX65" s="288"/>
      <c r="MVY65" s="288"/>
      <c r="MVZ65" s="288"/>
      <c r="MWA65" s="124"/>
      <c r="MWB65" s="259"/>
      <c r="MWC65" s="259"/>
      <c r="MWD65" s="259"/>
      <c r="MWE65" s="288"/>
      <c r="MWF65" s="288"/>
      <c r="MWG65" s="288"/>
      <c r="MWH65" s="288"/>
      <c r="MWI65" s="288"/>
      <c r="MWJ65" s="288"/>
      <c r="MWK65" s="288"/>
      <c r="MWL65" s="288"/>
      <c r="MWM65" s="288"/>
      <c r="MWN65" s="124"/>
      <c r="MWO65" s="259"/>
      <c r="MWP65" s="259"/>
      <c r="MWQ65" s="259"/>
      <c r="MWR65" s="288"/>
      <c r="MWS65" s="288"/>
      <c r="MWT65" s="288"/>
      <c r="MWU65" s="288"/>
      <c r="MWV65" s="288"/>
      <c r="MWW65" s="288"/>
      <c r="MWX65" s="288"/>
      <c r="MWY65" s="288"/>
      <c r="MWZ65" s="288"/>
      <c r="MXA65" s="124"/>
      <c r="MXB65" s="259"/>
      <c r="MXC65" s="259"/>
      <c r="MXD65" s="259"/>
      <c r="MXE65" s="288"/>
      <c r="MXF65" s="288"/>
      <c r="MXG65" s="288"/>
      <c r="MXH65" s="288"/>
      <c r="MXI65" s="288"/>
      <c r="MXJ65" s="288"/>
      <c r="MXK65" s="288"/>
      <c r="MXL65" s="288"/>
      <c r="MXM65" s="288"/>
      <c r="MXN65" s="124"/>
      <c r="MXO65" s="259"/>
      <c r="MXP65" s="259"/>
      <c r="MXQ65" s="259"/>
      <c r="MXR65" s="288"/>
      <c r="MXS65" s="288"/>
      <c r="MXT65" s="288"/>
      <c r="MXU65" s="288"/>
      <c r="MXV65" s="288"/>
      <c r="MXW65" s="288"/>
      <c r="MXX65" s="288"/>
      <c r="MXY65" s="288"/>
      <c r="MXZ65" s="288"/>
      <c r="MYA65" s="124"/>
      <c r="MYB65" s="259"/>
      <c r="MYC65" s="259"/>
      <c r="MYD65" s="259"/>
      <c r="MYE65" s="288"/>
      <c r="MYF65" s="288"/>
      <c r="MYG65" s="288"/>
      <c r="MYH65" s="288"/>
      <c r="MYI65" s="288"/>
      <c r="MYJ65" s="288"/>
      <c r="MYK65" s="288"/>
      <c r="MYL65" s="288"/>
      <c r="MYM65" s="288"/>
      <c r="MYN65" s="124"/>
      <c r="MYO65" s="259"/>
      <c r="MYP65" s="259"/>
      <c r="MYQ65" s="259"/>
      <c r="MYR65" s="288"/>
      <c r="MYS65" s="288"/>
      <c r="MYT65" s="288"/>
      <c r="MYU65" s="288"/>
      <c r="MYV65" s="288"/>
      <c r="MYW65" s="288"/>
      <c r="MYX65" s="288"/>
      <c r="MYY65" s="288"/>
      <c r="MYZ65" s="288"/>
      <c r="MZA65" s="124"/>
      <c r="MZB65" s="259"/>
      <c r="MZC65" s="259"/>
      <c r="MZD65" s="259"/>
      <c r="MZE65" s="288"/>
      <c r="MZF65" s="288"/>
      <c r="MZG65" s="288"/>
      <c r="MZH65" s="288"/>
      <c r="MZI65" s="288"/>
      <c r="MZJ65" s="288"/>
      <c r="MZK65" s="288"/>
      <c r="MZL65" s="288"/>
      <c r="MZM65" s="288"/>
      <c r="MZN65" s="124"/>
      <c r="MZO65" s="259"/>
      <c r="MZP65" s="259"/>
      <c r="MZQ65" s="259"/>
      <c r="MZR65" s="288"/>
      <c r="MZS65" s="288"/>
      <c r="MZT65" s="288"/>
      <c r="MZU65" s="288"/>
      <c r="MZV65" s="288"/>
      <c r="MZW65" s="288"/>
      <c r="MZX65" s="288"/>
      <c r="MZY65" s="288"/>
      <c r="MZZ65" s="288"/>
      <c r="NAA65" s="124"/>
      <c r="NAB65" s="259"/>
      <c r="NAC65" s="259"/>
      <c r="NAD65" s="259"/>
      <c r="NAE65" s="288"/>
      <c r="NAF65" s="288"/>
      <c r="NAG65" s="288"/>
      <c r="NAH65" s="288"/>
      <c r="NAI65" s="288"/>
      <c r="NAJ65" s="288"/>
      <c r="NAK65" s="288"/>
      <c r="NAL65" s="288"/>
      <c r="NAM65" s="288"/>
      <c r="NAN65" s="124"/>
      <c r="NAO65" s="259"/>
      <c r="NAP65" s="259"/>
      <c r="NAQ65" s="259"/>
      <c r="NAR65" s="288"/>
      <c r="NAS65" s="288"/>
      <c r="NAT65" s="288"/>
      <c r="NAU65" s="288"/>
      <c r="NAV65" s="288"/>
      <c r="NAW65" s="288"/>
      <c r="NAX65" s="288"/>
      <c r="NAY65" s="288"/>
      <c r="NAZ65" s="288"/>
      <c r="NBA65" s="124"/>
      <c r="NBB65" s="259"/>
      <c r="NBC65" s="259"/>
      <c r="NBD65" s="259"/>
      <c r="NBE65" s="288"/>
      <c r="NBF65" s="288"/>
      <c r="NBG65" s="288"/>
      <c r="NBH65" s="288"/>
      <c r="NBI65" s="288"/>
      <c r="NBJ65" s="288"/>
      <c r="NBK65" s="288"/>
      <c r="NBL65" s="288"/>
      <c r="NBM65" s="288"/>
      <c r="NBN65" s="124"/>
      <c r="NBO65" s="259"/>
      <c r="NBP65" s="259"/>
      <c r="NBQ65" s="259"/>
      <c r="NBR65" s="288"/>
      <c r="NBS65" s="288"/>
      <c r="NBT65" s="288"/>
      <c r="NBU65" s="288"/>
      <c r="NBV65" s="288"/>
      <c r="NBW65" s="288"/>
      <c r="NBX65" s="288"/>
      <c r="NBY65" s="288"/>
      <c r="NBZ65" s="288"/>
      <c r="NCA65" s="124"/>
      <c r="NCB65" s="259"/>
      <c r="NCC65" s="259"/>
      <c r="NCD65" s="259"/>
      <c r="NCE65" s="288"/>
      <c r="NCF65" s="288"/>
      <c r="NCG65" s="288"/>
      <c r="NCH65" s="288"/>
      <c r="NCI65" s="288"/>
      <c r="NCJ65" s="288"/>
      <c r="NCK65" s="288"/>
      <c r="NCL65" s="288"/>
      <c r="NCM65" s="288"/>
      <c r="NCN65" s="124"/>
      <c r="NCO65" s="259"/>
      <c r="NCP65" s="259"/>
      <c r="NCQ65" s="259"/>
      <c r="NCR65" s="288"/>
      <c r="NCS65" s="288"/>
      <c r="NCT65" s="288"/>
      <c r="NCU65" s="288"/>
      <c r="NCV65" s="288"/>
      <c r="NCW65" s="288"/>
      <c r="NCX65" s="288"/>
      <c r="NCY65" s="288"/>
      <c r="NCZ65" s="288"/>
      <c r="NDA65" s="124"/>
      <c r="NDB65" s="259"/>
      <c r="NDC65" s="259"/>
      <c r="NDD65" s="259"/>
      <c r="NDE65" s="288"/>
      <c r="NDF65" s="288"/>
      <c r="NDG65" s="288"/>
      <c r="NDH65" s="288"/>
      <c r="NDI65" s="288"/>
      <c r="NDJ65" s="288"/>
      <c r="NDK65" s="288"/>
      <c r="NDL65" s="288"/>
      <c r="NDM65" s="288"/>
      <c r="NDN65" s="124"/>
      <c r="NDO65" s="259"/>
      <c r="NDP65" s="259"/>
      <c r="NDQ65" s="259"/>
      <c r="NDR65" s="288"/>
      <c r="NDS65" s="288"/>
      <c r="NDT65" s="288"/>
      <c r="NDU65" s="288"/>
      <c r="NDV65" s="288"/>
      <c r="NDW65" s="288"/>
      <c r="NDX65" s="288"/>
      <c r="NDY65" s="288"/>
      <c r="NDZ65" s="288"/>
      <c r="NEA65" s="124"/>
      <c r="NEB65" s="259"/>
      <c r="NEC65" s="259"/>
      <c r="NED65" s="259"/>
      <c r="NEE65" s="288"/>
      <c r="NEF65" s="288"/>
      <c r="NEG65" s="288"/>
      <c r="NEH65" s="288"/>
      <c r="NEI65" s="288"/>
      <c r="NEJ65" s="288"/>
      <c r="NEK65" s="288"/>
      <c r="NEL65" s="288"/>
      <c r="NEM65" s="288"/>
      <c r="NEN65" s="124"/>
      <c r="NEO65" s="259"/>
      <c r="NEP65" s="259"/>
      <c r="NEQ65" s="259"/>
      <c r="NER65" s="288"/>
      <c r="NES65" s="288"/>
      <c r="NET65" s="288"/>
      <c r="NEU65" s="288"/>
      <c r="NEV65" s="288"/>
      <c r="NEW65" s="288"/>
      <c r="NEX65" s="288"/>
      <c r="NEY65" s="288"/>
      <c r="NEZ65" s="288"/>
      <c r="NFA65" s="124"/>
      <c r="NFB65" s="259"/>
      <c r="NFC65" s="259"/>
      <c r="NFD65" s="259"/>
      <c r="NFE65" s="288"/>
      <c r="NFF65" s="288"/>
      <c r="NFG65" s="288"/>
      <c r="NFH65" s="288"/>
      <c r="NFI65" s="288"/>
      <c r="NFJ65" s="288"/>
      <c r="NFK65" s="288"/>
      <c r="NFL65" s="288"/>
      <c r="NFM65" s="288"/>
      <c r="NFN65" s="124"/>
      <c r="NFO65" s="259"/>
      <c r="NFP65" s="259"/>
      <c r="NFQ65" s="259"/>
      <c r="NFR65" s="288"/>
      <c r="NFS65" s="288"/>
      <c r="NFT65" s="288"/>
      <c r="NFU65" s="288"/>
      <c r="NFV65" s="288"/>
      <c r="NFW65" s="288"/>
      <c r="NFX65" s="288"/>
      <c r="NFY65" s="288"/>
      <c r="NFZ65" s="288"/>
      <c r="NGA65" s="124"/>
      <c r="NGB65" s="259"/>
      <c r="NGC65" s="259"/>
      <c r="NGD65" s="259"/>
      <c r="NGE65" s="288"/>
      <c r="NGF65" s="288"/>
      <c r="NGG65" s="288"/>
      <c r="NGH65" s="288"/>
      <c r="NGI65" s="288"/>
      <c r="NGJ65" s="288"/>
      <c r="NGK65" s="288"/>
      <c r="NGL65" s="288"/>
      <c r="NGM65" s="288"/>
      <c r="NGN65" s="124"/>
      <c r="NGO65" s="259"/>
      <c r="NGP65" s="259"/>
      <c r="NGQ65" s="259"/>
      <c r="NGR65" s="288"/>
      <c r="NGS65" s="288"/>
      <c r="NGT65" s="288"/>
      <c r="NGU65" s="288"/>
      <c r="NGV65" s="288"/>
      <c r="NGW65" s="288"/>
      <c r="NGX65" s="288"/>
      <c r="NGY65" s="288"/>
      <c r="NGZ65" s="288"/>
      <c r="NHA65" s="124"/>
      <c r="NHB65" s="259"/>
      <c r="NHC65" s="259"/>
      <c r="NHD65" s="259"/>
      <c r="NHE65" s="288"/>
      <c r="NHF65" s="288"/>
      <c r="NHG65" s="288"/>
      <c r="NHH65" s="288"/>
      <c r="NHI65" s="288"/>
      <c r="NHJ65" s="288"/>
      <c r="NHK65" s="288"/>
      <c r="NHL65" s="288"/>
      <c r="NHM65" s="288"/>
      <c r="NHN65" s="124"/>
      <c r="NHO65" s="259"/>
      <c r="NHP65" s="259"/>
      <c r="NHQ65" s="259"/>
      <c r="NHR65" s="288"/>
      <c r="NHS65" s="288"/>
      <c r="NHT65" s="288"/>
      <c r="NHU65" s="288"/>
      <c r="NHV65" s="288"/>
      <c r="NHW65" s="288"/>
      <c r="NHX65" s="288"/>
      <c r="NHY65" s="288"/>
      <c r="NHZ65" s="288"/>
      <c r="NIA65" s="124"/>
      <c r="NIB65" s="259"/>
      <c r="NIC65" s="259"/>
      <c r="NID65" s="259"/>
      <c r="NIE65" s="288"/>
      <c r="NIF65" s="288"/>
      <c r="NIG65" s="288"/>
      <c r="NIH65" s="288"/>
      <c r="NII65" s="288"/>
      <c r="NIJ65" s="288"/>
      <c r="NIK65" s="288"/>
      <c r="NIL65" s="288"/>
      <c r="NIM65" s="288"/>
      <c r="NIN65" s="124"/>
      <c r="NIO65" s="259"/>
      <c r="NIP65" s="259"/>
      <c r="NIQ65" s="259"/>
      <c r="NIR65" s="288"/>
      <c r="NIS65" s="288"/>
      <c r="NIT65" s="288"/>
      <c r="NIU65" s="288"/>
      <c r="NIV65" s="288"/>
      <c r="NIW65" s="288"/>
      <c r="NIX65" s="288"/>
      <c r="NIY65" s="288"/>
      <c r="NIZ65" s="288"/>
      <c r="NJA65" s="124"/>
      <c r="NJB65" s="259"/>
      <c r="NJC65" s="259"/>
      <c r="NJD65" s="259"/>
      <c r="NJE65" s="288"/>
      <c r="NJF65" s="288"/>
      <c r="NJG65" s="288"/>
      <c r="NJH65" s="288"/>
      <c r="NJI65" s="288"/>
      <c r="NJJ65" s="288"/>
      <c r="NJK65" s="288"/>
      <c r="NJL65" s="288"/>
      <c r="NJM65" s="288"/>
      <c r="NJN65" s="124"/>
      <c r="NJO65" s="259"/>
      <c r="NJP65" s="259"/>
      <c r="NJQ65" s="259"/>
      <c r="NJR65" s="288"/>
      <c r="NJS65" s="288"/>
      <c r="NJT65" s="288"/>
      <c r="NJU65" s="288"/>
      <c r="NJV65" s="288"/>
      <c r="NJW65" s="288"/>
      <c r="NJX65" s="288"/>
      <c r="NJY65" s="288"/>
      <c r="NJZ65" s="288"/>
      <c r="NKA65" s="124"/>
      <c r="NKB65" s="259"/>
      <c r="NKC65" s="259"/>
      <c r="NKD65" s="259"/>
      <c r="NKE65" s="288"/>
      <c r="NKF65" s="288"/>
      <c r="NKG65" s="288"/>
      <c r="NKH65" s="288"/>
      <c r="NKI65" s="288"/>
      <c r="NKJ65" s="288"/>
      <c r="NKK65" s="288"/>
      <c r="NKL65" s="288"/>
      <c r="NKM65" s="288"/>
      <c r="NKN65" s="124"/>
      <c r="NKO65" s="259"/>
      <c r="NKP65" s="259"/>
      <c r="NKQ65" s="259"/>
      <c r="NKR65" s="288"/>
      <c r="NKS65" s="288"/>
      <c r="NKT65" s="288"/>
      <c r="NKU65" s="288"/>
      <c r="NKV65" s="288"/>
      <c r="NKW65" s="288"/>
      <c r="NKX65" s="288"/>
      <c r="NKY65" s="288"/>
      <c r="NKZ65" s="288"/>
      <c r="NLA65" s="124"/>
      <c r="NLB65" s="259"/>
      <c r="NLC65" s="259"/>
      <c r="NLD65" s="259"/>
      <c r="NLE65" s="288"/>
      <c r="NLF65" s="288"/>
      <c r="NLG65" s="288"/>
      <c r="NLH65" s="288"/>
      <c r="NLI65" s="288"/>
      <c r="NLJ65" s="288"/>
      <c r="NLK65" s="288"/>
      <c r="NLL65" s="288"/>
      <c r="NLM65" s="288"/>
      <c r="NLN65" s="124"/>
      <c r="NLO65" s="259"/>
      <c r="NLP65" s="259"/>
      <c r="NLQ65" s="259"/>
      <c r="NLR65" s="288"/>
      <c r="NLS65" s="288"/>
      <c r="NLT65" s="288"/>
      <c r="NLU65" s="288"/>
      <c r="NLV65" s="288"/>
      <c r="NLW65" s="288"/>
      <c r="NLX65" s="288"/>
      <c r="NLY65" s="288"/>
      <c r="NLZ65" s="288"/>
      <c r="NMA65" s="124"/>
      <c r="NMB65" s="259"/>
      <c r="NMC65" s="259"/>
      <c r="NMD65" s="259"/>
      <c r="NME65" s="288"/>
      <c r="NMF65" s="288"/>
      <c r="NMG65" s="288"/>
      <c r="NMH65" s="288"/>
      <c r="NMI65" s="288"/>
      <c r="NMJ65" s="288"/>
      <c r="NMK65" s="288"/>
      <c r="NML65" s="288"/>
      <c r="NMM65" s="288"/>
      <c r="NMN65" s="124"/>
      <c r="NMO65" s="259"/>
      <c r="NMP65" s="259"/>
      <c r="NMQ65" s="259"/>
      <c r="NMR65" s="288"/>
      <c r="NMS65" s="288"/>
      <c r="NMT65" s="288"/>
      <c r="NMU65" s="288"/>
      <c r="NMV65" s="288"/>
      <c r="NMW65" s="288"/>
      <c r="NMX65" s="288"/>
      <c r="NMY65" s="288"/>
      <c r="NMZ65" s="288"/>
      <c r="NNA65" s="124"/>
      <c r="NNB65" s="259"/>
      <c r="NNC65" s="259"/>
      <c r="NND65" s="259"/>
      <c r="NNE65" s="288"/>
      <c r="NNF65" s="288"/>
      <c r="NNG65" s="288"/>
      <c r="NNH65" s="288"/>
      <c r="NNI65" s="288"/>
      <c r="NNJ65" s="288"/>
      <c r="NNK65" s="288"/>
      <c r="NNL65" s="288"/>
      <c r="NNM65" s="288"/>
      <c r="NNN65" s="124"/>
      <c r="NNO65" s="259"/>
      <c r="NNP65" s="259"/>
      <c r="NNQ65" s="259"/>
      <c r="NNR65" s="288"/>
      <c r="NNS65" s="288"/>
      <c r="NNT65" s="288"/>
      <c r="NNU65" s="288"/>
      <c r="NNV65" s="288"/>
      <c r="NNW65" s="288"/>
      <c r="NNX65" s="288"/>
      <c r="NNY65" s="288"/>
      <c r="NNZ65" s="288"/>
      <c r="NOA65" s="124"/>
      <c r="NOB65" s="259"/>
      <c r="NOC65" s="259"/>
      <c r="NOD65" s="259"/>
      <c r="NOE65" s="288"/>
      <c r="NOF65" s="288"/>
      <c r="NOG65" s="288"/>
      <c r="NOH65" s="288"/>
      <c r="NOI65" s="288"/>
      <c r="NOJ65" s="288"/>
      <c r="NOK65" s="288"/>
      <c r="NOL65" s="288"/>
      <c r="NOM65" s="288"/>
      <c r="NON65" s="124"/>
      <c r="NOO65" s="259"/>
      <c r="NOP65" s="259"/>
      <c r="NOQ65" s="259"/>
      <c r="NOR65" s="288"/>
      <c r="NOS65" s="288"/>
      <c r="NOT65" s="288"/>
      <c r="NOU65" s="288"/>
      <c r="NOV65" s="288"/>
      <c r="NOW65" s="288"/>
      <c r="NOX65" s="288"/>
      <c r="NOY65" s="288"/>
      <c r="NOZ65" s="288"/>
      <c r="NPA65" s="124"/>
      <c r="NPB65" s="259"/>
      <c r="NPC65" s="259"/>
      <c r="NPD65" s="259"/>
      <c r="NPE65" s="288"/>
      <c r="NPF65" s="288"/>
      <c r="NPG65" s="288"/>
      <c r="NPH65" s="288"/>
      <c r="NPI65" s="288"/>
      <c r="NPJ65" s="288"/>
      <c r="NPK65" s="288"/>
      <c r="NPL65" s="288"/>
      <c r="NPM65" s="288"/>
      <c r="NPN65" s="124"/>
      <c r="NPO65" s="259"/>
      <c r="NPP65" s="259"/>
      <c r="NPQ65" s="259"/>
      <c r="NPR65" s="288"/>
      <c r="NPS65" s="288"/>
      <c r="NPT65" s="288"/>
      <c r="NPU65" s="288"/>
      <c r="NPV65" s="288"/>
      <c r="NPW65" s="288"/>
      <c r="NPX65" s="288"/>
      <c r="NPY65" s="288"/>
      <c r="NPZ65" s="288"/>
      <c r="NQA65" s="124"/>
      <c r="NQB65" s="259"/>
      <c r="NQC65" s="259"/>
      <c r="NQD65" s="259"/>
      <c r="NQE65" s="288"/>
      <c r="NQF65" s="288"/>
      <c r="NQG65" s="288"/>
      <c r="NQH65" s="288"/>
      <c r="NQI65" s="288"/>
      <c r="NQJ65" s="288"/>
      <c r="NQK65" s="288"/>
      <c r="NQL65" s="288"/>
      <c r="NQM65" s="288"/>
      <c r="NQN65" s="124"/>
      <c r="NQO65" s="259"/>
      <c r="NQP65" s="259"/>
      <c r="NQQ65" s="259"/>
      <c r="NQR65" s="288"/>
      <c r="NQS65" s="288"/>
      <c r="NQT65" s="288"/>
      <c r="NQU65" s="288"/>
      <c r="NQV65" s="288"/>
      <c r="NQW65" s="288"/>
      <c r="NQX65" s="288"/>
      <c r="NQY65" s="288"/>
      <c r="NQZ65" s="288"/>
      <c r="NRA65" s="124"/>
      <c r="NRB65" s="259"/>
      <c r="NRC65" s="259"/>
      <c r="NRD65" s="259"/>
      <c r="NRE65" s="288"/>
      <c r="NRF65" s="288"/>
      <c r="NRG65" s="288"/>
      <c r="NRH65" s="288"/>
      <c r="NRI65" s="288"/>
      <c r="NRJ65" s="288"/>
      <c r="NRK65" s="288"/>
      <c r="NRL65" s="288"/>
      <c r="NRM65" s="288"/>
      <c r="NRN65" s="124"/>
      <c r="NRO65" s="259"/>
      <c r="NRP65" s="259"/>
      <c r="NRQ65" s="259"/>
      <c r="NRR65" s="288"/>
      <c r="NRS65" s="288"/>
      <c r="NRT65" s="288"/>
      <c r="NRU65" s="288"/>
      <c r="NRV65" s="288"/>
      <c r="NRW65" s="288"/>
      <c r="NRX65" s="288"/>
      <c r="NRY65" s="288"/>
      <c r="NRZ65" s="288"/>
      <c r="NSA65" s="124"/>
      <c r="NSB65" s="259"/>
      <c r="NSC65" s="259"/>
      <c r="NSD65" s="259"/>
      <c r="NSE65" s="288"/>
      <c r="NSF65" s="288"/>
      <c r="NSG65" s="288"/>
      <c r="NSH65" s="288"/>
      <c r="NSI65" s="288"/>
      <c r="NSJ65" s="288"/>
      <c r="NSK65" s="288"/>
      <c r="NSL65" s="288"/>
      <c r="NSM65" s="288"/>
      <c r="NSN65" s="124"/>
      <c r="NSO65" s="259"/>
      <c r="NSP65" s="259"/>
      <c r="NSQ65" s="259"/>
      <c r="NSR65" s="288"/>
      <c r="NSS65" s="288"/>
      <c r="NST65" s="288"/>
      <c r="NSU65" s="288"/>
      <c r="NSV65" s="288"/>
      <c r="NSW65" s="288"/>
      <c r="NSX65" s="288"/>
      <c r="NSY65" s="288"/>
      <c r="NSZ65" s="288"/>
      <c r="NTA65" s="124"/>
      <c r="NTB65" s="259"/>
      <c r="NTC65" s="259"/>
      <c r="NTD65" s="259"/>
      <c r="NTE65" s="288"/>
      <c r="NTF65" s="288"/>
      <c r="NTG65" s="288"/>
      <c r="NTH65" s="288"/>
      <c r="NTI65" s="288"/>
      <c r="NTJ65" s="288"/>
      <c r="NTK65" s="288"/>
      <c r="NTL65" s="288"/>
      <c r="NTM65" s="288"/>
      <c r="NTN65" s="124"/>
      <c r="NTO65" s="259"/>
      <c r="NTP65" s="259"/>
      <c r="NTQ65" s="259"/>
      <c r="NTR65" s="288"/>
      <c r="NTS65" s="288"/>
      <c r="NTT65" s="288"/>
      <c r="NTU65" s="288"/>
      <c r="NTV65" s="288"/>
      <c r="NTW65" s="288"/>
      <c r="NTX65" s="288"/>
      <c r="NTY65" s="288"/>
      <c r="NTZ65" s="288"/>
      <c r="NUA65" s="124"/>
      <c r="NUB65" s="259"/>
      <c r="NUC65" s="259"/>
      <c r="NUD65" s="259"/>
      <c r="NUE65" s="288"/>
      <c r="NUF65" s="288"/>
      <c r="NUG65" s="288"/>
      <c r="NUH65" s="288"/>
      <c r="NUI65" s="288"/>
      <c r="NUJ65" s="288"/>
      <c r="NUK65" s="288"/>
      <c r="NUL65" s="288"/>
      <c r="NUM65" s="288"/>
      <c r="NUN65" s="124"/>
      <c r="NUO65" s="259"/>
      <c r="NUP65" s="259"/>
      <c r="NUQ65" s="259"/>
      <c r="NUR65" s="288"/>
      <c r="NUS65" s="288"/>
      <c r="NUT65" s="288"/>
      <c r="NUU65" s="288"/>
      <c r="NUV65" s="288"/>
      <c r="NUW65" s="288"/>
      <c r="NUX65" s="288"/>
      <c r="NUY65" s="288"/>
      <c r="NUZ65" s="288"/>
      <c r="NVA65" s="124"/>
      <c r="NVB65" s="259"/>
      <c r="NVC65" s="259"/>
      <c r="NVD65" s="259"/>
      <c r="NVE65" s="288"/>
      <c r="NVF65" s="288"/>
      <c r="NVG65" s="288"/>
      <c r="NVH65" s="288"/>
      <c r="NVI65" s="288"/>
      <c r="NVJ65" s="288"/>
      <c r="NVK65" s="288"/>
      <c r="NVL65" s="288"/>
      <c r="NVM65" s="288"/>
      <c r="NVN65" s="124"/>
      <c r="NVO65" s="259"/>
      <c r="NVP65" s="259"/>
      <c r="NVQ65" s="259"/>
      <c r="NVR65" s="288"/>
      <c r="NVS65" s="288"/>
      <c r="NVT65" s="288"/>
      <c r="NVU65" s="288"/>
      <c r="NVV65" s="288"/>
      <c r="NVW65" s="288"/>
      <c r="NVX65" s="288"/>
      <c r="NVY65" s="288"/>
      <c r="NVZ65" s="288"/>
      <c r="NWA65" s="124"/>
      <c r="NWB65" s="259"/>
      <c r="NWC65" s="259"/>
      <c r="NWD65" s="259"/>
      <c r="NWE65" s="288"/>
      <c r="NWF65" s="288"/>
      <c r="NWG65" s="288"/>
      <c r="NWH65" s="288"/>
      <c r="NWI65" s="288"/>
      <c r="NWJ65" s="288"/>
      <c r="NWK65" s="288"/>
      <c r="NWL65" s="288"/>
      <c r="NWM65" s="288"/>
      <c r="NWN65" s="124"/>
      <c r="NWO65" s="259"/>
      <c r="NWP65" s="259"/>
      <c r="NWQ65" s="259"/>
      <c r="NWR65" s="288"/>
      <c r="NWS65" s="288"/>
      <c r="NWT65" s="288"/>
      <c r="NWU65" s="288"/>
      <c r="NWV65" s="288"/>
      <c r="NWW65" s="288"/>
      <c r="NWX65" s="288"/>
      <c r="NWY65" s="288"/>
      <c r="NWZ65" s="288"/>
      <c r="NXA65" s="124"/>
      <c r="NXB65" s="259"/>
      <c r="NXC65" s="259"/>
      <c r="NXD65" s="259"/>
      <c r="NXE65" s="288"/>
      <c r="NXF65" s="288"/>
      <c r="NXG65" s="288"/>
      <c r="NXH65" s="288"/>
      <c r="NXI65" s="288"/>
      <c r="NXJ65" s="288"/>
      <c r="NXK65" s="288"/>
      <c r="NXL65" s="288"/>
      <c r="NXM65" s="288"/>
      <c r="NXN65" s="124"/>
      <c r="NXO65" s="259"/>
      <c r="NXP65" s="259"/>
      <c r="NXQ65" s="259"/>
      <c r="NXR65" s="288"/>
      <c r="NXS65" s="288"/>
      <c r="NXT65" s="288"/>
      <c r="NXU65" s="288"/>
      <c r="NXV65" s="288"/>
      <c r="NXW65" s="288"/>
      <c r="NXX65" s="288"/>
      <c r="NXY65" s="288"/>
      <c r="NXZ65" s="288"/>
      <c r="NYA65" s="124"/>
      <c r="NYB65" s="259"/>
      <c r="NYC65" s="259"/>
      <c r="NYD65" s="259"/>
      <c r="NYE65" s="288"/>
      <c r="NYF65" s="288"/>
      <c r="NYG65" s="288"/>
      <c r="NYH65" s="288"/>
      <c r="NYI65" s="288"/>
      <c r="NYJ65" s="288"/>
      <c r="NYK65" s="288"/>
      <c r="NYL65" s="288"/>
      <c r="NYM65" s="288"/>
      <c r="NYN65" s="124"/>
      <c r="NYO65" s="259"/>
      <c r="NYP65" s="259"/>
      <c r="NYQ65" s="259"/>
      <c r="NYR65" s="288"/>
      <c r="NYS65" s="288"/>
      <c r="NYT65" s="288"/>
      <c r="NYU65" s="288"/>
      <c r="NYV65" s="288"/>
      <c r="NYW65" s="288"/>
      <c r="NYX65" s="288"/>
      <c r="NYY65" s="288"/>
      <c r="NYZ65" s="288"/>
      <c r="NZA65" s="124"/>
      <c r="NZB65" s="259"/>
      <c r="NZC65" s="259"/>
      <c r="NZD65" s="259"/>
      <c r="NZE65" s="288"/>
      <c r="NZF65" s="288"/>
      <c r="NZG65" s="288"/>
      <c r="NZH65" s="288"/>
      <c r="NZI65" s="288"/>
      <c r="NZJ65" s="288"/>
      <c r="NZK65" s="288"/>
      <c r="NZL65" s="288"/>
      <c r="NZM65" s="288"/>
      <c r="NZN65" s="124"/>
      <c r="NZO65" s="259"/>
      <c r="NZP65" s="259"/>
      <c r="NZQ65" s="259"/>
      <c r="NZR65" s="288"/>
      <c r="NZS65" s="288"/>
      <c r="NZT65" s="288"/>
      <c r="NZU65" s="288"/>
      <c r="NZV65" s="288"/>
      <c r="NZW65" s="288"/>
      <c r="NZX65" s="288"/>
      <c r="NZY65" s="288"/>
      <c r="NZZ65" s="288"/>
      <c r="OAA65" s="124"/>
      <c r="OAB65" s="259"/>
      <c r="OAC65" s="259"/>
      <c r="OAD65" s="259"/>
      <c r="OAE65" s="288"/>
      <c r="OAF65" s="288"/>
      <c r="OAG65" s="288"/>
      <c r="OAH65" s="288"/>
      <c r="OAI65" s="288"/>
      <c r="OAJ65" s="288"/>
      <c r="OAK65" s="288"/>
      <c r="OAL65" s="288"/>
      <c r="OAM65" s="288"/>
      <c r="OAN65" s="124"/>
      <c r="OAO65" s="259"/>
      <c r="OAP65" s="259"/>
      <c r="OAQ65" s="259"/>
      <c r="OAR65" s="288"/>
      <c r="OAS65" s="288"/>
      <c r="OAT65" s="288"/>
      <c r="OAU65" s="288"/>
      <c r="OAV65" s="288"/>
      <c r="OAW65" s="288"/>
      <c r="OAX65" s="288"/>
      <c r="OAY65" s="288"/>
      <c r="OAZ65" s="288"/>
      <c r="OBA65" s="124"/>
      <c r="OBB65" s="259"/>
      <c r="OBC65" s="259"/>
      <c r="OBD65" s="259"/>
      <c r="OBE65" s="288"/>
      <c r="OBF65" s="288"/>
      <c r="OBG65" s="288"/>
      <c r="OBH65" s="288"/>
      <c r="OBI65" s="288"/>
      <c r="OBJ65" s="288"/>
      <c r="OBK65" s="288"/>
      <c r="OBL65" s="288"/>
      <c r="OBM65" s="288"/>
      <c r="OBN65" s="124"/>
      <c r="OBO65" s="259"/>
      <c r="OBP65" s="259"/>
      <c r="OBQ65" s="259"/>
      <c r="OBR65" s="288"/>
      <c r="OBS65" s="288"/>
      <c r="OBT65" s="288"/>
      <c r="OBU65" s="288"/>
      <c r="OBV65" s="288"/>
      <c r="OBW65" s="288"/>
      <c r="OBX65" s="288"/>
      <c r="OBY65" s="288"/>
      <c r="OBZ65" s="288"/>
      <c r="OCA65" s="124"/>
      <c r="OCB65" s="259"/>
      <c r="OCC65" s="259"/>
      <c r="OCD65" s="259"/>
      <c r="OCE65" s="288"/>
      <c r="OCF65" s="288"/>
      <c r="OCG65" s="288"/>
      <c r="OCH65" s="288"/>
      <c r="OCI65" s="288"/>
      <c r="OCJ65" s="288"/>
      <c r="OCK65" s="288"/>
      <c r="OCL65" s="288"/>
      <c r="OCM65" s="288"/>
      <c r="OCN65" s="124"/>
      <c r="OCO65" s="259"/>
      <c r="OCP65" s="259"/>
      <c r="OCQ65" s="259"/>
      <c r="OCR65" s="288"/>
      <c r="OCS65" s="288"/>
      <c r="OCT65" s="288"/>
      <c r="OCU65" s="288"/>
      <c r="OCV65" s="288"/>
      <c r="OCW65" s="288"/>
      <c r="OCX65" s="288"/>
      <c r="OCY65" s="288"/>
      <c r="OCZ65" s="288"/>
      <c r="ODA65" s="124"/>
      <c r="ODB65" s="259"/>
      <c r="ODC65" s="259"/>
      <c r="ODD65" s="259"/>
      <c r="ODE65" s="288"/>
      <c r="ODF65" s="288"/>
      <c r="ODG65" s="288"/>
      <c r="ODH65" s="288"/>
      <c r="ODI65" s="288"/>
      <c r="ODJ65" s="288"/>
      <c r="ODK65" s="288"/>
      <c r="ODL65" s="288"/>
      <c r="ODM65" s="288"/>
      <c r="ODN65" s="124"/>
      <c r="ODO65" s="259"/>
      <c r="ODP65" s="259"/>
      <c r="ODQ65" s="259"/>
      <c r="ODR65" s="288"/>
      <c r="ODS65" s="288"/>
      <c r="ODT65" s="288"/>
      <c r="ODU65" s="288"/>
      <c r="ODV65" s="288"/>
      <c r="ODW65" s="288"/>
      <c r="ODX65" s="288"/>
      <c r="ODY65" s="288"/>
      <c r="ODZ65" s="288"/>
      <c r="OEA65" s="124"/>
      <c r="OEB65" s="259"/>
      <c r="OEC65" s="259"/>
      <c r="OED65" s="259"/>
      <c r="OEE65" s="288"/>
      <c r="OEF65" s="288"/>
      <c r="OEG65" s="288"/>
      <c r="OEH65" s="288"/>
      <c r="OEI65" s="288"/>
      <c r="OEJ65" s="288"/>
      <c r="OEK65" s="288"/>
      <c r="OEL65" s="288"/>
      <c r="OEM65" s="288"/>
      <c r="OEN65" s="124"/>
      <c r="OEO65" s="259"/>
      <c r="OEP65" s="259"/>
      <c r="OEQ65" s="259"/>
      <c r="OER65" s="288"/>
      <c r="OES65" s="288"/>
      <c r="OET65" s="288"/>
      <c r="OEU65" s="288"/>
      <c r="OEV65" s="288"/>
      <c r="OEW65" s="288"/>
      <c r="OEX65" s="288"/>
      <c r="OEY65" s="288"/>
      <c r="OEZ65" s="288"/>
      <c r="OFA65" s="124"/>
      <c r="OFB65" s="259"/>
      <c r="OFC65" s="259"/>
      <c r="OFD65" s="259"/>
      <c r="OFE65" s="288"/>
      <c r="OFF65" s="288"/>
      <c r="OFG65" s="288"/>
      <c r="OFH65" s="288"/>
      <c r="OFI65" s="288"/>
      <c r="OFJ65" s="288"/>
      <c r="OFK65" s="288"/>
      <c r="OFL65" s="288"/>
      <c r="OFM65" s="288"/>
      <c r="OFN65" s="124"/>
      <c r="OFO65" s="259"/>
      <c r="OFP65" s="259"/>
      <c r="OFQ65" s="259"/>
      <c r="OFR65" s="288"/>
      <c r="OFS65" s="288"/>
      <c r="OFT65" s="288"/>
      <c r="OFU65" s="288"/>
      <c r="OFV65" s="288"/>
      <c r="OFW65" s="288"/>
      <c r="OFX65" s="288"/>
      <c r="OFY65" s="288"/>
      <c r="OFZ65" s="288"/>
      <c r="OGA65" s="124"/>
      <c r="OGB65" s="259"/>
      <c r="OGC65" s="259"/>
      <c r="OGD65" s="259"/>
      <c r="OGE65" s="288"/>
      <c r="OGF65" s="288"/>
      <c r="OGG65" s="288"/>
      <c r="OGH65" s="288"/>
      <c r="OGI65" s="288"/>
      <c r="OGJ65" s="288"/>
      <c r="OGK65" s="288"/>
      <c r="OGL65" s="288"/>
      <c r="OGM65" s="288"/>
      <c r="OGN65" s="124"/>
      <c r="OGO65" s="259"/>
      <c r="OGP65" s="259"/>
      <c r="OGQ65" s="259"/>
      <c r="OGR65" s="288"/>
      <c r="OGS65" s="288"/>
      <c r="OGT65" s="288"/>
      <c r="OGU65" s="288"/>
      <c r="OGV65" s="288"/>
      <c r="OGW65" s="288"/>
      <c r="OGX65" s="288"/>
      <c r="OGY65" s="288"/>
      <c r="OGZ65" s="288"/>
      <c r="OHA65" s="124"/>
      <c r="OHB65" s="259"/>
      <c r="OHC65" s="259"/>
      <c r="OHD65" s="259"/>
      <c r="OHE65" s="288"/>
      <c r="OHF65" s="288"/>
      <c r="OHG65" s="288"/>
      <c r="OHH65" s="288"/>
      <c r="OHI65" s="288"/>
      <c r="OHJ65" s="288"/>
      <c r="OHK65" s="288"/>
      <c r="OHL65" s="288"/>
      <c r="OHM65" s="288"/>
      <c r="OHN65" s="124"/>
      <c r="OHO65" s="259"/>
      <c r="OHP65" s="259"/>
      <c r="OHQ65" s="259"/>
      <c r="OHR65" s="288"/>
      <c r="OHS65" s="288"/>
      <c r="OHT65" s="288"/>
      <c r="OHU65" s="288"/>
      <c r="OHV65" s="288"/>
      <c r="OHW65" s="288"/>
      <c r="OHX65" s="288"/>
      <c r="OHY65" s="288"/>
      <c r="OHZ65" s="288"/>
      <c r="OIA65" s="124"/>
      <c r="OIB65" s="259"/>
      <c r="OIC65" s="259"/>
      <c r="OID65" s="259"/>
      <c r="OIE65" s="288"/>
      <c r="OIF65" s="288"/>
      <c r="OIG65" s="288"/>
      <c r="OIH65" s="288"/>
      <c r="OII65" s="288"/>
      <c r="OIJ65" s="288"/>
      <c r="OIK65" s="288"/>
      <c r="OIL65" s="288"/>
      <c r="OIM65" s="288"/>
      <c r="OIN65" s="124"/>
      <c r="OIO65" s="259"/>
      <c r="OIP65" s="259"/>
      <c r="OIQ65" s="259"/>
      <c r="OIR65" s="288"/>
      <c r="OIS65" s="288"/>
      <c r="OIT65" s="288"/>
      <c r="OIU65" s="288"/>
      <c r="OIV65" s="288"/>
      <c r="OIW65" s="288"/>
      <c r="OIX65" s="288"/>
      <c r="OIY65" s="288"/>
      <c r="OIZ65" s="288"/>
      <c r="OJA65" s="124"/>
      <c r="OJB65" s="259"/>
      <c r="OJC65" s="259"/>
      <c r="OJD65" s="259"/>
      <c r="OJE65" s="288"/>
      <c r="OJF65" s="288"/>
      <c r="OJG65" s="288"/>
      <c r="OJH65" s="288"/>
      <c r="OJI65" s="288"/>
      <c r="OJJ65" s="288"/>
      <c r="OJK65" s="288"/>
      <c r="OJL65" s="288"/>
      <c r="OJM65" s="288"/>
      <c r="OJN65" s="124"/>
      <c r="OJO65" s="259"/>
      <c r="OJP65" s="259"/>
      <c r="OJQ65" s="259"/>
      <c r="OJR65" s="288"/>
      <c r="OJS65" s="288"/>
      <c r="OJT65" s="288"/>
      <c r="OJU65" s="288"/>
      <c r="OJV65" s="288"/>
      <c r="OJW65" s="288"/>
      <c r="OJX65" s="288"/>
      <c r="OJY65" s="288"/>
      <c r="OJZ65" s="288"/>
      <c r="OKA65" s="124"/>
      <c r="OKB65" s="259"/>
      <c r="OKC65" s="259"/>
      <c r="OKD65" s="259"/>
      <c r="OKE65" s="288"/>
      <c r="OKF65" s="288"/>
      <c r="OKG65" s="288"/>
      <c r="OKH65" s="288"/>
      <c r="OKI65" s="288"/>
      <c r="OKJ65" s="288"/>
      <c r="OKK65" s="288"/>
      <c r="OKL65" s="288"/>
      <c r="OKM65" s="288"/>
      <c r="OKN65" s="124"/>
      <c r="OKO65" s="259"/>
      <c r="OKP65" s="259"/>
      <c r="OKQ65" s="259"/>
      <c r="OKR65" s="288"/>
      <c r="OKS65" s="288"/>
      <c r="OKT65" s="288"/>
      <c r="OKU65" s="288"/>
      <c r="OKV65" s="288"/>
      <c r="OKW65" s="288"/>
      <c r="OKX65" s="288"/>
      <c r="OKY65" s="288"/>
      <c r="OKZ65" s="288"/>
      <c r="OLA65" s="124"/>
      <c r="OLB65" s="259"/>
      <c r="OLC65" s="259"/>
      <c r="OLD65" s="259"/>
      <c r="OLE65" s="288"/>
      <c r="OLF65" s="288"/>
      <c r="OLG65" s="288"/>
      <c r="OLH65" s="288"/>
      <c r="OLI65" s="288"/>
      <c r="OLJ65" s="288"/>
      <c r="OLK65" s="288"/>
      <c r="OLL65" s="288"/>
      <c r="OLM65" s="288"/>
      <c r="OLN65" s="124"/>
      <c r="OLO65" s="259"/>
      <c r="OLP65" s="259"/>
      <c r="OLQ65" s="259"/>
      <c r="OLR65" s="288"/>
      <c r="OLS65" s="288"/>
      <c r="OLT65" s="288"/>
      <c r="OLU65" s="288"/>
      <c r="OLV65" s="288"/>
      <c r="OLW65" s="288"/>
      <c r="OLX65" s="288"/>
      <c r="OLY65" s="288"/>
      <c r="OLZ65" s="288"/>
      <c r="OMA65" s="124"/>
      <c r="OMB65" s="259"/>
      <c r="OMC65" s="259"/>
      <c r="OMD65" s="259"/>
      <c r="OME65" s="288"/>
      <c r="OMF65" s="288"/>
      <c r="OMG65" s="288"/>
      <c r="OMH65" s="288"/>
      <c r="OMI65" s="288"/>
      <c r="OMJ65" s="288"/>
      <c r="OMK65" s="288"/>
      <c r="OML65" s="288"/>
      <c r="OMM65" s="288"/>
      <c r="OMN65" s="124"/>
      <c r="OMO65" s="259"/>
      <c r="OMP65" s="259"/>
      <c r="OMQ65" s="259"/>
      <c r="OMR65" s="288"/>
      <c r="OMS65" s="288"/>
      <c r="OMT65" s="288"/>
      <c r="OMU65" s="288"/>
      <c r="OMV65" s="288"/>
      <c r="OMW65" s="288"/>
      <c r="OMX65" s="288"/>
      <c r="OMY65" s="288"/>
      <c r="OMZ65" s="288"/>
      <c r="ONA65" s="124"/>
      <c r="ONB65" s="259"/>
      <c r="ONC65" s="259"/>
      <c r="OND65" s="259"/>
      <c r="ONE65" s="288"/>
      <c r="ONF65" s="288"/>
      <c r="ONG65" s="288"/>
      <c r="ONH65" s="288"/>
      <c r="ONI65" s="288"/>
      <c r="ONJ65" s="288"/>
      <c r="ONK65" s="288"/>
      <c r="ONL65" s="288"/>
      <c r="ONM65" s="288"/>
      <c r="ONN65" s="124"/>
      <c r="ONO65" s="259"/>
      <c r="ONP65" s="259"/>
      <c r="ONQ65" s="259"/>
      <c r="ONR65" s="288"/>
      <c r="ONS65" s="288"/>
      <c r="ONT65" s="288"/>
      <c r="ONU65" s="288"/>
      <c r="ONV65" s="288"/>
      <c r="ONW65" s="288"/>
      <c r="ONX65" s="288"/>
      <c r="ONY65" s="288"/>
      <c r="ONZ65" s="288"/>
      <c r="OOA65" s="124"/>
      <c r="OOB65" s="259"/>
      <c r="OOC65" s="259"/>
      <c r="OOD65" s="259"/>
      <c r="OOE65" s="288"/>
      <c r="OOF65" s="288"/>
      <c r="OOG65" s="288"/>
      <c r="OOH65" s="288"/>
      <c r="OOI65" s="288"/>
      <c r="OOJ65" s="288"/>
      <c r="OOK65" s="288"/>
      <c r="OOL65" s="288"/>
      <c r="OOM65" s="288"/>
      <c r="OON65" s="124"/>
      <c r="OOO65" s="259"/>
      <c r="OOP65" s="259"/>
      <c r="OOQ65" s="259"/>
      <c r="OOR65" s="288"/>
      <c r="OOS65" s="288"/>
      <c r="OOT65" s="288"/>
      <c r="OOU65" s="288"/>
      <c r="OOV65" s="288"/>
      <c r="OOW65" s="288"/>
      <c r="OOX65" s="288"/>
      <c r="OOY65" s="288"/>
      <c r="OOZ65" s="288"/>
      <c r="OPA65" s="124"/>
      <c r="OPB65" s="259"/>
      <c r="OPC65" s="259"/>
      <c r="OPD65" s="259"/>
      <c r="OPE65" s="288"/>
      <c r="OPF65" s="288"/>
      <c r="OPG65" s="288"/>
      <c r="OPH65" s="288"/>
      <c r="OPI65" s="288"/>
      <c r="OPJ65" s="288"/>
      <c r="OPK65" s="288"/>
      <c r="OPL65" s="288"/>
      <c r="OPM65" s="288"/>
      <c r="OPN65" s="124"/>
      <c r="OPO65" s="259"/>
      <c r="OPP65" s="259"/>
      <c r="OPQ65" s="259"/>
      <c r="OPR65" s="288"/>
      <c r="OPS65" s="288"/>
      <c r="OPT65" s="288"/>
      <c r="OPU65" s="288"/>
      <c r="OPV65" s="288"/>
      <c r="OPW65" s="288"/>
      <c r="OPX65" s="288"/>
      <c r="OPY65" s="288"/>
      <c r="OPZ65" s="288"/>
      <c r="OQA65" s="124"/>
      <c r="OQB65" s="259"/>
      <c r="OQC65" s="259"/>
      <c r="OQD65" s="259"/>
      <c r="OQE65" s="288"/>
      <c r="OQF65" s="288"/>
      <c r="OQG65" s="288"/>
      <c r="OQH65" s="288"/>
      <c r="OQI65" s="288"/>
      <c r="OQJ65" s="288"/>
      <c r="OQK65" s="288"/>
      <c r="OQL65" s="288"/>
      <c r="OQM65" s="288"/>
      <c r="OQN65" s="124"/>
      <c r="OQO65" s="259"/>
      <c r="OQP65" s="259"/>
      <c r="OQQ65" s="259"/>
      <c r="OQR65" s="288"/>
      <c r="OQS65" s="288"/>
      <c r="OQT65" s="288"/>
      <c r="OQU65" s="288"/>
      <c r="OQV65" s="288"/>
      <c r="OQW65" s="288"/>
      <c r="OQX65" s="288"/>
      <c r="OQY65" s="288"/>
      <c r="OQZ65" s="288"/>
      <c r="ORA65" s="124"/>
      <c r="ORB65" s="259"/>
      <c r="ORC65" s="259"/>
      <c r="ORD65" s="259"/>
      <c r="ORE65" s="288"/>
      <c r="ORF65" s="288"/>
      <c r="ORG65" s="288"/>
      <c r="ORH65" s="288"/>
      <c r="ORI65" s="288"/>
      <c r="ORJ65" s="288"/>
      <c r="ORK65" s="288"/>
      <c r="ORL65" s="288"/>
      <c r="ORM65" s="288"/>
      <c r="ORN65" s="124"/>
      <c r="ORO65" s="259"/>
      <c r="ORP65" s="259"/>
      <c r="ORQ65" s="259"/>
      <c r="ORR65" s="288"/>
      <c r="ORS65" s="288"/>
      <c r="ORT65" s="288"/>
      <c r="ORU65" s="288"/>
      <c r="ORV65" s="288"/>
      <c r="ORW65" s="288"/>
      <c r="ORX65" s="288"/>
      <c r="ORY65" s="288"/>
      <c r="ORZ65" s="288"/>
      <c r="OSA65" s="124"/>
      <c r="OSB65" s="259"/>
      <c r="OSC65" s="259"/>
      <c r="OSD65" s="259"/>
      <c r="OSE65" s="288"/>
      <c r="OSF65" s="288"/>
      <c r="OSG65" s="288"/>
      <c r="OSH65" s="288"/>
      <c r="OSI65" s="288"/>
      <c r="OSJ65" s="288"/>
      <c r="OSK65" s="288"/>
      <c r="OSL65" s="288"/>
      <c r="OSM65" s="288"/>
      <c r="OSN65" s="124"/>
      <c r="OSO65" s="259"/>
      <c r="OSP65" s="259"/>
      <c r="OSQ65" s="259"/>
      <c r="OSR65" s="288"/>
      <c r="OSS65" s="288"/>
      <c r="OST65" s="288"/>
      <c r="OSU65" s="288"/>
      <c r="OSV65" s="288"/>
      <c r="OSW65" s="288"/>
      <c r="OSX65" s="288"/>
      <c r="OSY65" s="288"/>
      <c r="OSZ65" s="288"/>
      <c r="OTA65" s="124"/>
      <c r="OTB65" s="259"/>
      <c r="OTC65" s="259"/>
      <c r="OTD65" s="259"/>
      <c r="OTE65" s="288"/>
      <c r="OTF65" s="288"/>
      <c r="OTG65" s="288"/>
      <c r="OTH65" s="288"/>
      <c r="OTI65" s="288"/>
      <c r="OTJ65" s="288"/>
      <c r="OTK65" s="288"/>
      <c r="OTL65" s="288"/>
      <c r="OTM65" s="288"/>
      <c r="OTN65" s="124"/>
      <c r="OTO65" s="259"/>
      <c r="OTP65" s="259"/>
      <c r="OTQ65" s="259"/>
      <c r="OTR65" s="288"/>
      <c r="OTS65" s="288"/>
      <c r="OTT65" s="288"/>
      <c r="OTU65" s="288"/>
      <c r="OTV65" s="288"/>
      <c r="OTW65" s="288"/>
      <c r="OTX65" s="288"/>
      <c r="OTY65" s="288"/>
      <c r="OTZ65" s="288"/>
      <c r="OUA65" s="124"/>
      <c r="OUB65" s="259"/>
      <c r="OUC65" s="259"/>
      <c r="OUD65" s="259"/>
      <c r="OUE65" s="288"/>
      <c r="OUF65" s="288"/>
      <c r="OUG65" s="288"/>
      <c r="OUH65" s="288"/>
      <c r="OUI65" s="288"/>
      <c r="OUJ65" s="288"/>
      <c r="OUK65" s="288"/>
      <c r="OUL65" s="288"/>
      <c r="OUM65" s="288"/>
      <c r="OUN65" s="124"/>
      <c r="OUO65" s="259"/>
      <c r="OUP65" s="259"/>
      <c r="OUQ65" s="259"/>
      <c r="OUR65" s="288"/>
      <c r="OUS65" s="288"/>
      <c r="OUT65" s="288"/>
      <c r="OUU65" s="288"/>
      <c r="OUV65" s="288"/>
      <c r="OUW65" s="288"/>
      <c r="OUX65" s="288"/>
      <c r="OUY65" s="288"/>
      <c r="OUZ65" s="288"/>
      <c r="OVA65" s="124"/>
      <c r="OVB65" s="259"/>
      <c r="OVC65" s="259"/>
      <c r="OVD65" s="259"/>
      <c r="OVE65" s="288"/>
      <c r="OVF65" s="288"/>
      <c r="OVG65" s="288"/>
      <c r="OVH65" s="288"/>
      <c r="OVI65" s="288"/>
      <c r="OVJ65" s="288"/>
      <c r="OVK65" s="288"/>
      <c r="OVL65" s="288"/>
      <c r="OVM65" s="288"/>
      <c r="OVN65" s="124"/>
      <c r="OVO65" s="259"/>
      <c r="OVP65" s="259"/>
      <c r="OVQ65" s="259"/>
      <c r="OVR65" s="288"/>
      <c r="OVS65" s="288"/>
      <c r="OVT65" s="288"/>
      <c r="OVU65" s="288"/>
      <c r="OVV65" s="288"/>
      <c r="OVW65" s="288"/>
      <c r="OVX65" s="288"/>
      <c r="OVY65" s="288"/>
      <c r="OVZ65" s="288"/>
      <c r="OWA65" s="124"/>
      <c r="OWB65" s="259"/>
      <c r="OWC65" s="259"/>
      <c r="OWD65" s="259"/>
      <c r="OWE65" s="288"/>
      <c r="OWF65" s="288"/>
      <c r="OWG65" s="288"/>
      <c r="OWH65" s="288"/>
      <c r="OWI65" s="288"/>
      <c r="OWJ65" s="288"/>
      <c r="OWK65" s="288"/>
      <c r="OWL65" s="288"/>
      <c r="OWM65" s="288"/>
      <c r="OWN65" s="124"/>
      <c r="OWO65" s="259"/>
      <c r="OWP65" s="259"/>
      <c r="OWQ65" s="259"/>
      <c r="OWR65" s="288"/>
      <c r="OWS65" s="288"/>
      <c r="OWT65" s="288"/>
      <c r="OWU65" s="288"/>
      <c r="OWV65" s="288"/>
      <c r="OWW65" s="288"/>
      <c r="OWX65" s="288"/>
      <c r="OWY65" s="288"/>
      <c r="OWZ65" s="288"/>
      <c r="OXA65" s="124"/>
      <c r="OXB65" s="259"/>
      <c r="OXC65" s="259"/>
      <c r="OXD65" s="259"/>
      <c r="OXE65" s="288"/>
      <c r="OXF65" s="288"/>
      <c r="OXG65" s="288"/>
      <c r="OXH65" s="288"/>
      <c r="OXI65" s="288"/>
      <c r="OXJ65" s="288"/>
      <c r="OXK65" s="288"/>
      <c r="OXL65" s="288"/>
      <c r="OXM65" s="288"/>
      <c r="OXN65" s="124"/>
      <c r="OXO65" s="259"/>
      <c r="OXP65" s="259"/>
      <c r="OXQ65" s="259"/>
      <c r="OXR65" s="288"/>
      <c r="OXS65" s="288"/>
      <c r="OXT65" s="288"/>
      <c r="OXU65" s="288"/>
      <c r="OXV65" s="288"/>
      <c r="OXW65" s="288"/>
      <c r="OXX65" s="288"/>
      <c r="OXY65" s="288"/>
      <c r="OXZ65" s="288"/>
      <c r="OYA65" s="124"/>
      <c r="OYB65" s="259"/>
      <c r="OYC65" s="259"/>
      <c r="OYD65" s="259"/>
      <c r="OYE65" s="288"/>
      <c r="OYF65" s="288"/>
      <c r="OYG65" s="288"/>
      <c r="OYH65" s="288"/>
      <c r="OYI65" s="288"/>
      <c r="OYJ65" s="288"/>
      <c r="OYK65" s="288"/>
      <c r="OYL65" s="288"/>
      <c r="OYM65" s="288"/>
      <c r="OYN65" s="124"/>
      <c r="OYO65" s="259"/>
      <c r="OYP65" s="259"/>
      <c r="OYQ65" s="259"/>
      <c r="OYR65" s="288"/>
      <c r="OYS65" s="288"/>
      <c r="OYT65" s="288"/>
      <c r="OYU65" s="288"/>
      <c r="OYV65" s="288"/>
      <c r="OYW65" s="288"/>
      <c r="OYX65" s="288"/>
      <c r="OYY65" s="288"/>
      <c r="OYZ65" s="288"/>
      <c r="OZA65" s="124"/>
      <c r="OZB65" s="259"/>
      <c r="OZC65" s="259"/>
      <c r="OZD65" s="259"/>
      <c r="OZE65" s="288"/>
      <c r="OZF65" s="288"/>
      <c r="OZG65" s="288"/>
      <c r="OZH65" s="288"/>
      <c r="OZI65" s="288"/>
      <c r="OZJ65" s="288"/>
      <c r="OZK65" s="288"/>
      <c r="OZL65" s="288"/>
      <c r="OZM65" s="288"/>
      <c r="OZN65" s="124"/>
      <c r="OZO65" s="259"/>
      <c r="OZP65" s="259"/>
      <c r="OZQ65" s="259"/>
      <c r="OZR65" s="288"/>
      <c r="OZS65" s="288"/>
      <c r="OZT65" s="288"/>
      <c r="OZU65" s="288"/>
      <c r="OZV65" s="288"/>
      <c r="OZW65" s="288"/>
      <c r="OZX65" s="288"/>
      <c r="OZY65" s="288"/>
      <c r="OZZ65" s="288"/>
      <c r="PAA65" s="124"/>
      <c r="PAB65" s="259"/>
      <c r="PAC65" s="259"/>
      <c r="PAD65" s="259"/>
      <c r="PAE65" s="288"/>
      <c r="PAF65" s="288"/>
      <c r="PAG65" s="288"/>
      <c r="PAH65" s="288"/>
      <c r="PAI65" s="288"/>
      <c r="PAJ65" s="288"/>
      <c r="PAK65" s="288"/>
      <c r="PAL65" s="288"/>
      <c r="PAM65" s="288"/>
      <c r="PAN65" s="124"/>
      <c r="PAO65" s="259"/>
      <c r="PAP65" s="259"/>
      <c r="PAQ65" s="259"/>
      <c r="PAR65" s="288"/>
      <c r="PAS65" s="288"/>
      <c r="PAT65" s="288"/>
      <c r="PAU65" s="288"/>
      <c r="PAV65" s="288"/>
      <c r="PAW65" s="288"/>
      <c r="PAX65" s="288"/>
      <c r="PAY65" s="288"/>
      <c r="PAZ65" s="288"/>
      <c r="PBA65" s="124"/>
      <c r="PBB65" s="259"/>
      <c r="PBC65" s="259"/>
      <c r="PBD65" s="259"/>
      <c r="PBE65" s="288"/>
      <c r="PBF65" s="288"/>
      <c r="PBG65" s="288"/>
      <c r="PBH65" s="288"/>
      <c r="PBI65" s="288"/>
      <c r="PBJ65" s="288"/>
      <c r="PBK65" s="288"/>
      <c r="PBL65" s="288"/>
      <c r="PBM65" s="288"/>
      <c r="PBN65" s="124"/>
      <c r="PBO65" s="259"/>
      <c r="PBP65" s="259"/>
      <c r="PBQ65" s="259"/>
      <c r="PBR65" s="288"/>
      <c r="PBS65" s="288"/>
      <c r="PBT65" s="288"/>
      <c r="PBU65" s="288"/>
      <c r="PBV65" s="288"/>
      <c r="PBW65" s="288"/>
      <c r="PBX65" s="288"/>
      <c r="PBY65" s="288"/>
      <c r="PBZ65" s="288"/>
      <c r="PCA65" s="124"/>
      <c r="PCB65" s="259"/>
      <c r="PCC65" s="259"/>
      <c r="PCD65" s="259"/>
      <c r="PCE65" s="288"/>
      <c r="PCF65" s="288"/>
      <c r="PCG65" s="288"/>
      <c r="PCH65" s="288"/>
      <c r="PCI65" s="288"/>
      <c r="PCJ65" s="288"/>
      <c r="PCK65" s="288"/>
      <c r="PCL65" s="288"/>
      <c r="PCM65" s="288"/>
      <c r="PCN65" s="124"/>
      <c r="PCO65" s="259"/>
      <c r="PCP65" s="259"/>
      <c r="PCQ65" s="259"/>
      <c r="PCR65" s="288"/>
      <c r="PCS65" s="288"/>
      <c r="PCT65" s="288"/>
      <c r="PCU65" s="288"/>
      <c r="PCV65" s="288"/>
      <c r="PCW65" s="288"/>
      <c r="PCX65" s="288"/>
      <c r="PCY65" s="288"/>
      <c r="PCZ65" s="288"/>
      <c r="PDA65" s="124"/>
      <c r="PDB65" s="259"/>
      <c r="PDC65" s="259"/>
      <c r="PDD65" s="259"/>
      <c r="PDE65" s="288"/>
      <c r="PDF65" s="288"/>
      <c r="PDG65" s="288"/>
      <c r="PDH65" s="288"/>
      <c r="PDI65" s="288"/>
      <c r="PDJ65" s="288"/>
      <c r="PDK65" s="288"/>
      <c r="PDL65" s="288"/>
      <c r="PDM65" s="288"/>
      <c r="PDN65" s="124"/>
      <c r="PDO65" s="259"/>
      <c r="PDP65" s="259"/>
      <c r="PDQ65" s="259"/>
      <c r="PDR65" s="288"/>
      <c r="PDS65" s="288"/>
      <c r="PDT65" s="288"/>
      <c r="PDU65" s="288"/>
      <c r="PDV65" s="288"/>
      <c r="PDW65" s="288"/>
      <c r="PDX65" s="288"/>
      <c r="PDY65" s="288"/>
      <c r="PDZ65" s="288"/>
      <c r="PEA65" s="124"/>
      <c r="PEB65" s="259"/>
      <c r="PEC65" s="259"/>
      <c r="PED65" s="259"/>
      <c r="PEE65" s="288"/>
      <c r="PEF65" s="288"/>
      <c r="PEG65" s="288"/>
      <c r="PEH65" s="288"/>
      <c r="PEI65" s="288"/>
      <c r="PEJ65" s="288"/>
      <c r="PEK65" s="288"/>
      <c r="PEL65" s="288"/>
      <c r="PEM65" s="288"/>
      <c r="PEN65" s="124"/>
      <c r="PEO65" s="259"/>
      <c r="PEP65" s="259"/>
      <c r="PEQ65" s="259"/>
      <c r="PER65" s="288"/>
      <c r="PES65" s="288"/>
      <c r="PET65" s="288"/>
      <c r="PEU65" s="288"/>
      <c r="PEV65" s="288"/>
      <c r="PEW65" s="288"/>
      <c r="PEX65" s="288"/>
      <c r="PEY65" s="288"/>
      <c r="PEZ65" s="288"/>
      <c r="PFA65" s="124"/>
      <c r="PFB65" s="259"/>
      <c r="PFC65" s="259"/>
      <c r="PFD65" s="259"/>
      <c r="PFE65" s="288"/>
      <c r="PFF65" s="288"/>
      <c r="PFG65" s="288"/>
      <c r="PFH65" s="288"/>
      <c r="PFI65" s="288"/>
      <c r="PFJ65" s="288"/>
      <c r="PFK65" s="288"/>
      <c r="PFL65" s="288"/>
      <c r="PFM65" s="288"/>
      <c r="PFN65" s="124"/>
      <c r="PFO65" s="259"/>
      <c r="PFP65" s="259"/>
      <c r="PFQ65" s="259"/>
      <c r="PFR65" s="288"/>
      <c r="PFS65" s="288"/>
      <c r="PFT65" s="288"/>
      <c r="PFU65" s="288"/>
      <c r="PFV65" s="288"/>
      <c r="PFW65" s="288"/>
      <c r="PFX65" s="288"/>
      <c r="PFY65" s="288"/>
      <c r="PFZ65" s="288"/>
      <c r="PGA65" s="124"/>
      <c r="PGB65" s="259"/>
      <c r="PGC65" s="259"/>
      <c r="PGD65" s="259"/>
      <c r="PGE65" s="288"/>
      <c r="PGF65" s="288"/>
      <c r="PGG65" s="288"/>
      <c r="PGH65" s="288"/>
      <c r="PGI65" s="288"/>
      <c r="PGJ65" s="288"/>
      <c r="PGK65" s="288"/>
      <c r="PGL65" s="288"/>
      <c r="PGM65" s="288"/>
      <c r="PGN65" s="124"/>
      <c r="PGO65" s="259"/>
      <c r="PGP65" s="259"/>
      <c r="PGQ65" s="259"/>
      <c r="PGR65" s="288"/>
      <c r="PGS65" s="288"/>
      <c r="PGT65" s="288"/>
      <c r="PGU65" s="288"/>
      <c r="PGV65" s="288"/>
      <c r="PGW65" s="288"/>
      <c r="PGX65" s="288"/>
      <c r="PGY65" s="288"/>
      <c r="PGZ65" s="288"/>
      <c r="PHA65" s="124"/>
      <c r="PHB65" s="259"/>
      <c r="PHC65" s="259"/>
      <c r="PHD65" s="259"/>
      <c r="PHE65" s="288"/>
      <c r="PHF65" s="288"/>
      <c r="PHG65" s="288"/>
      <c r="PHH65" s="288"/>
      <c r="PHI65" s="288"/>
      <c r="PHJ65" s="288"/>
      <c r="PHK65" s="288"/>
      <c r="PHL65" s="288"/>
      <c r="PHM65" s="288"/>
      <c r="PHN65" s="124"/>
      <c r="PHO65" s="259"/>
      <c r="PHP65" s="259"/>
      <c r="PHQ65" s="259"/>
      <c r="PHR65" s="288"/>
      <c r="PHS65" s="288"/>
      <c r="PHT65" s="288"/>
      <c r="PHU65" s="288"/>
      <c r="PHV65" s="288"/>
      <c r="PHW65" s="288"/>
      <c r="PHX65" s="288"/>
      <c r="PHY65" s="288"/>
      <c r="PHZ65" s="288"/>
      <c r="PIA65" s="124"/>
      <c r="PIB65" s="259"/>
      <c r="PIC65" s="259"/>
      <c r="PID65" s="259"/>
      <c r="PIE65" s="288"/>
      <c r="PIF65" s="288"/>
      <c r="PIG65" s="288"/>
      <c r="PIH65" s="288"/>
      <c r="PII65" s="288"/>
      <c r="PIJ65" s="288"/>
      <c r="PIK65" s="288"/>
      <c r="PIL65" s="288"/>
      <c r="PIM65" s="288"/>
      <c r="PIN65" s="124"/>
      <c r="PIO65" s="259"/>
      <c r="PIP65" s="259"/>
      <c r="PIQ65" s="259"/>
      <c r="PIR65" s="288"/>
      <c r="PIS65" s="288"/>
      <c r="PIT65" s="288"/>
      <c r="PIU65" s="288"/>
      <c r="PIV65" s="288"/>
      <c r="PIW65" s="288"/>
      <c r="PIX65" s="288"/>
      <c r="PIY65" s="288"/>
      <c r="PIZ65" s="288"/>
      <c r="PJA65" s="124"/>
      <c r="PJB65" s="259"/>
      <c r="PJC65" s="259"/>
      <c r="PJD65" s="259"/>
      <c r="PJE65" s="288"/>
      <c r="PJF65" s="288"/>
      <c r="PJG65" s="288"/>
      <c r="PJH65" s="288"/>
      <c r="PJI65" s="288"/>
      <c r="PJJ65" s="288"/>
      <c r="PJK65" s="288"/>
      <c r="PJL65" s="288"/>
      <c r="PJM65" s="288"/>
      <c r="PJN65" s="124"/>
      <c r="PJO65" s="259"/>
      <c r="PJP65" s="259"/>
      <c r="PJQ65" s="259"/>
      <c r="PJR65" s="288"/>
      <c r="PJS65" s="288"/>
      <c r="PJT65" s="288"/>
      <c r="PJU65" s="288"/>
      <c r="PJV65" s="288"/>
      <c r="PJW65" s="288"/>
      <c r="PJX65" s="288"/>
      <c r="PJY65" s="288"/>
      <c r="PJZ65" s="288"/>
      <c r="PKA65" s="124"/>
      <c r="PKB65" s="259"/>
      <c r="PKC65" s="259"/>
      <c r="PKD65" s="259"/>
      <c r="PKE65" s="288"/>
      <c r="PKF65" s="288"/>
      <c r="PKG65" s="288"/>
      <c r="PKH65" s="288"/>
      <c r="PKI65" s="288"/>
      <c r="PKJ65" s="288"/>
      <c r="PKK65" s="288"/>
      <c r="PKL65" s="288"/>
      <c r="PKM65" s="288"/>
      <c r="PKN65" s="124"/>
      <c r="PKO65" s="259"/>
      <c r="PKP65" s="259"/>
      <c r="PKQ65" s="259"/>
      <c r="PKR65" s="288"/>
      <c r="PKS65" s="288"/>
      <c r="PKT65" s="288"/>
      <c r="PKU65" s="288"/>
      <c r="PKV65" s="288"/>
      <c r="PKW65" s="288"/>
      <c r="PKX65" s="288"/>
      <c r="PKY65" s="288"/>
      <c r="PKZ65" s="288"/>
      <c r="PLA65" s="124"/>
      <c r="PLB65" s="259"/>
      <c r="PLC65" s="259"/>
      <c r="PLD65" s="259"/>
      <c r="PLE65" s="288"/>
      <c r="PLF65" s="288"/>
      <c r="PLG65" s="288"/>
      <c r="PLH65" s="288"/>
      <c r="PLI65" s="288"/>
      <c r="PLJ65" s="288"/>
      <c r="PLK65" s="288"/>
      <c r="PLL65" s="288"/>
      <c r="PLM65" s="288"/>
      <c r="PLN65" s="124"/>
      <c r="PLO65" s="259"/>
      <c r="PLP65" s="259"/>
      <c r="PLQ65" s="259"/>
      <c r="PLR65" s="288"/>
      <c r="PLS65" s="288"/>
      <c r="PLT65" s="288"/>
      <c r="PLU65" s="288"/>
      <c r="PLV65" s="288"/>
      <c r="PLW65" s="288"/>
      <c r="PLX65" s="288"/>
      <c r="PLY65" s="288"/>
      <c r="PLZ65" s="288"/>
      <c r="PMA65" s="124"/>
      <c r="PMB65" s="259"/>
      <c r="PMC65" s="259"/>
      <c r="PMD65" s="259"/>
      <c r="PME65" s="288"/>
      <c r="PMF65" s="288"/>
      <c r="PMG65" s="288"/>
      <c r="PMH65" s="288"/>
      <c r="PMI65" s="288"/>
      <c r="PMJ65" s="288"/>
      <c r="PMK65" s="288"/>
      <c r="PML65" s="288"/>
      <c r="PMM65" s="288"/>
      <c r="PMN65" s="124"/>
      <c r="PMO65" s="259"/>
      <c r="PMP65" s="259"/>
      <c r="PMQ65" s="259"/>
      <c r="PMR65" s="288"/>
      <c r="PMS65" s="288"/>
      <c r="PMT65" s="288"/>
      <c r="PMU65" s="288"/>
      <c r="PMV65" s="288"/>
      <c r="PMW65" s="288"/>
      <c r="PMX65" s="288"/>
      <c r="PMY65" s="288"/>
      <c r="PMZ65" s="288"/>
      <c r="PNA65" s="124"/>
      <c r="PNB65" s="259"/>
      <c r="PNC65" s="259"/>
      <c r="PND65" s="259"/>
      <c r="PNE65" s="288"/>
      <c r="PNF65" s="288"/>
      <c r="PNG65" s="288"/>
      <c r="PNH65" s="288"/>
      <c r="PNI65" s="288"/>
      <c r="PNJ65" s="288"/>
      <c r="PNK65" s="288"/>
      <c r="PNL65" s="288"/>
      <c r="PNM65" s="288"/>
      <c r="PNN65" s="124"/>
      <c r="PNO65" s="259"/>
      <c r="PNP65" s="259"/>
      <c r="PNQ65" s="259"/>
      <c r="PNR65" s="288"/>
      <c r="PNS65" s="288"/>
      <c r="PNT65" s="288"/>
      <c r="PNU65" s="288"/>
      <c r="PNV65" s="288"/>
      <c r="PNW65" s="288"/>
      <c r="PNX65" s="288"/>
      <c r="PNY65" s="288"/>
      <c r="PNZ65" s="288"/>
      <c r="POA65" s="124"/>
      <c r="POB65" s="259"/>
      <c r="POC65" s="259"/>
      <c r="POD65" s="259"/>
      <c r="POE65" s="288"/>
      <c r="POF65" s="288"/>
      <c r="POG65" s="288"/>
      <c r="POH65" s="288"/>
      <c r="POI65" s="288"/>
      <c r="POJ65" s="288"/>
      <c r="POK65" s="288"/>
      <c r="POL65" s="288"/>
      <c r="POM65" s="288"/>
      <c r="PON65" s="124"/>
      <c r="POO65" s="259"/>
      <c r="POP65" s="259"/>
      <c r="POQ65" s="259"/>
      <c r="POR65" s="288"/>
      <c r="POS65" s="288"/>
      <c r="POT65" s="288"/>
      <c r="POU65" s="288"/>
      <c r="POV65" s="288"/>
      <c r="POW65" s="288"/>
      <c r="POX65" s="288"/>
      <c r="POY65" s="288"/>
      <c r="POZ65" s="288"/>
      <c r="PPA65" s="124"/>
      <c r="PPB65" s="259"/>
      <c r="PPC65" s="259"/>
      <c r="PPD65" s="259"/>
      <c r="PPE65" s="288"/>
      <c r="PPF65" s="288"/>
      <c r="PPG65" s="288"/>
      <c r="PPH65" s="288"/>
      <c r="PPI65" s="288"/>
      <c r="PPJ65" s="288"/>
      <c r="PPK65" s="288"/>
      <c r="PPL65" s="288"/>
      <c r="PPM65" s="288"/>
      <c r="PPN65" s="124"/>
      <c r="PPO65" s="259"/>
      <c r="PPP65" s="259"/>
      <c r="PPQ65" s="259"/>
      <c r="PPR65" s="288"/>
      <c r="PPS65" s="288"/>
      <c r="PPT65" s="288"/>
      <c r="PPU65" s="288"/>
      <c r="PPV65" s="288"/>
      <c r="PPW65" s="288"/>
      <c r="PPX65" s="288"/>
      <c r="PPY65" s="288"/>
      <c r="PPZ65" s="288"/>
      <c r="PQA65" s="124"/>
      <c r="PQB65" s="259"/>
      <c r="PQC65" s="259"/>
      <c r="PQD65" s="259"/>
      <c r="PQE65" s="288"/>
      <c r="PQF65" s="288"/>
      <c r="PQG65" s="288"/>
      <c r="PQH65" s="288"/>
      <c r="PQI65" s="288"/>
      <c r="PQJ65" s="288"/>
      <c r="PQK65" s="288"/>
      <c r="PQL65" s="288"/>
      <c r="PQM65" s="288"/>
      <c r="PQN65" s="124"/>
      <c r="PQO65" s="259"/>
      <c r="PQP65" s="259"/>
      <c r="PQQ65" s="259"/>
      <c r="PQR65" s="288"/>
      <c r="PQS65" s="288"/>
      <c r="PQT65" s="288"/>
      <c r="PQU65" s="288"/>
      <c r="PQV65" s="288"/>
      <c r="PQW65" s="288"/>
      <c r="PQX65" s="288"/>
      <c r="PQY65" s="288"/>
      <c r="PQZ65" s="288"/>
      <c r="PRA65" s="124"/>
      <c r="PRB65" s="259"/>
      <c r="PRC65" s="259"/>
      <c r="PRD65" s="259"/>
      <c r="PRE65" s="288"/>
      <c r="PRF65" s="288"/>
      <c r="PRG65" s="288"/>
      <c r="PRH65" s="288"/>
      <c r="PRI65" s="288"/>
      <c r="PRJ65" s="288"/>
      <c r="PRK65" s="288"/>
      <c r="PRL65" s="288"/>
      <c r="PRM65" s="288"/>
      <c r="PRN65" s="124"/>
      <c r="PRO65" s="259"/>
      <c r="PRP65" s="259"/>
      <c r="PRQ65" s="259"/>
      <c r="PRR65" s="288"/>
      <c r="PRS65" s="288"/>
      <c r="PRT65" s="288"/>
      <c r="PRU65" s="288"/>
      <c r="PRV65" s="288"/>
      <c r="PRW65" s="288"/>
      <c r="PRX65" s="288"/>
      <c r="PRY65" s="288"/>
      <c r="PRZ65" s="288"/>
      <c r="PSA65" s="124"/>
      <c r="PSB65" s="259"/>
      <c r="PSC65" s="259"/>
      <c r="PSD65" s="259"/>
      <c r="PSE65" s="288"/>
      <c r="PSF65" s="288"/>
      <c r="PSG65" s="288"/>
      <c r="PSH65" s="288"/>
      <c r="PSI65" s="288"/>
      <c r="PSJ65" s="288"/>
      <c r="PSK65" s="288"/>
      <c r="PSL65" s="288"/>
      <c r="PSM65" s="288"/>
      <c r="PSN65" s="124"/>
      <c r="PSO65" s="259"/>
      <c r="PSP65" s="259"/>
      <c r="PSQ65" s="259"/>
      <c r="PSR65" s="288"/>
      <c r="PSS65" s="288"/>
      <c r="PST65" s="288"/>
      <c r="PSU65" s="288"/>
      <c r="PSV65" s="288"/>
      <c r="PSW65" s="288"/>
      <c r="PSX65" s="288"/>
      <c r="PSY65" s="288"/>
      <c r="PSZ65" s="288"/>
      <c r="PTA65" s="124"/>
      <c r="PTB65" s="259"/>
      <c r="PTC65" s="259"/>
      <c r="PTD65" s="259"/>
      <c r="PTE65" s="288"/>
      <c r="PTF65" s="288"/>
      <c r="PTG65" s="288"/>
      <c r="PTH65" s="288"/>
      <c r="PTI65" s="288"/>
      <c r="PTJ65" s="288"/>
      <c r="PTK65" s="288"/>
      <c r="PTL65" s="288"/>
      <c r="PTM65" s="288"/>
      <c r="PTN65" s="124"/>
      <c r="PTO65" s="259"/>
      <c r="PTP65" s="259"/>
      <c r="PTQ65" s="259"/>
      <c r="PTR65" s="288"/>
      <c r="PTS65" s="288"/>
      <c r="PTT65" s="288"/>
      <c r="PTU65" s="288"/>
      <c r="PTV65" s="288"/>
      <c r="PTW65" s="288"/>
      <c r="PTX65" s="288"/>
      <c r="PTY65" s="288"/>
      <c r="PTZ65" s="288"/>
      <c r="PUA65" s="124"/>
      <c r="PUB65" s="259"/>
      <c r="PUC65" s="259"/>
      <c r="PUD65" s="259"/>
      <c r="PUE65" s="288"/>
      <c r="PUF65" s="288"/>
      <c r="PUG65" s="288"/>
      <c r="PUH65" s="288"/>
      <c r="PUI65" s="288"/>
      <c r="PUJ65" s="288"/>
      <c r="PUK65" s="288"/>
      <c r="PUL65" s="288"/>
      <c r="PUM65" s="288"/>
      <c r="PUN65" s="124"/>
      <c r="PUO65" s="259"/>
      <c r="PUP65" s="259"/>
      <c r="PUQ65" s="259"/>
      <c r="PUR65" s="288"/>
      <c r="PUS65" s="288"/>
      <c r="PUT65" s="288"/>
      <c r="PUU65" s="288"/>
      <c r="PUV65" s="288"/>
      <c r="PUW65" s="288"/>
      <c r="PUX65" s="288"/>
      <c r="PUY65" s="288"/>
      <c r="PUZ65" s="288"/>
      <c r="PVA65" s="124"/>
      <c r="PVB65" s="259"/>
      <c r="PVC65" s="259"/>
      <c r="PVD65" s="259"/>
      <c r="PVE65" s="288"/>
      <c r="PVF65" s="288"/>
      <c r="PVG65" s="288"/>
      <c r="PVH65" s="288"/>
      <c r="PVI65" s="288"/>
      <c r="PVJ65" s="288"/>
      <c r="PVK65" s="288"/>
      <c r="PVL65" s="288"/>
      <c r="PVM65" s="288"/>
      <c r="PVN65" s="124"/>
      <c r="PVO65" s="259"/>
      <c r="PVP65" s="259"/>
      <c r="PVQ65" s="259"/>
      <c r="PVR65" s="288"/>
      <c r="PVS65" s="288"/>
      <c r="PVT65" s="288"/>
      <c r="PVU65" s="288"/>
      <c r="PVV65" s="288"/>
      <c r="PVW65" s="288"/>
      <c r="PVX65" s="288"/>
      <c r="PVY65" s="288"/>
      <c r="PVZ65" s="288"/>
      <c r="PWA65" s="124"/>
      <c r="PWB65" s="259"/>
      <c r="PWC65" s="259"/>
      <c r="PWD65" s="259"/>
      <c r="PWE65" s="288"/>
      <c r="PWF65" s="288"/>
      <c r="PWG65" s="288"/>
      <c r="PWH65" s="288"/>
      <c r="PWI65" s="288"/>
      <c r="PWJ65" s="288"/>
      <c r="PWK65" s="288"/>
      <c r="PWL65" s="288"/>
      <c r="PWM65" s="288"/>
      <c r="PWN65" s="124"/>
      <c r="PWO65" s="259"/>
      <c r="PWP65" s="259"/>
      <c r="PWQ65" s="259"/>
      <c r="PWR65" s="288"/>
      <c r="PWS65" s="288"/>
      <c r="PWT65" s="288"/>
      <c r="PWU65" s="288"/>
      <c r="PWV65" s="288"/>
      <c r="PWW65" s="288"/>
      <c r="PWX65" s="288"/>
      <c r="PWY65" s="288"/>
      <c r="PWZ65" s="288"/>
      <c r="PXA65" s="124"/>
      <c r="PXB65" s="259"/>
      <c r="PXC65" s="259"/>
      <c r="PXD65" s="259"/>
      <c r="PXE65" s="288"/>
      <c r="PXF65" s="288"/>
      <c r="PXG65" s="288"/>
      <c r="PXH65" s="288"/>
      <c r="PXI65" s="288"/>
      <c r="PXJ65" s="288"/>
      <c r="PXK65" s="288"/>
      <c r="PXL65" s="288"/>
      <c r="PXM65" s="288"/>
      <c r="PXN65" s="124"/>
      <c r="PXO65" s="259"/>
      <c r="PXP65" s="259"/>
      <c r="PXQ65" s="259"/>
      <c r="PXR65" s="288"/>
      <c r="PXS65" s="288"/>
      <c r="PXT65" s="288"/>
      <c r="PXU65" s="288"/>
      <c r="PXV65" s="288"/>
      <c r="PXW65" s="288"/>
      <c r="PXX65" s="288"/>
      <c r="PXY65" s="288"/>
      <c r="PXZ65" s="288"/>
      <c r="PYA65" s="124"/>
      <c r="PYB65" s="259"/>
      <c r="PYC65" s="259"/>
      <c r="PYD65" s="259"/>
      <c r="PYE65" s="288"/>
      <c r="PYF65" s="288"/>
      <c r="PYG65" s="288"/>
      <c r="PYH65" s="288"/>
      <c r="PYI65" s="288"/>
      <c r="PYJ65" s="288"/>
      <c r="PYK65" s="288"/>
      <c r="PYL65" s="288"/>
      <c r="PYM65" s="288"/>
      <c r="PYN65" s="124"/>
      <c r="PYO65" s="259"/>
      <c r="PYP65" s="259"/>
      <c r="PYQ65" s="259"/>
      <c r="PYR65" s="288"/>
      <c r="PYS65" s="288"/>
      <c r="PYT65" s="288"/>
      <c r="PYU65" s="288"/>
      <c r="PYV65" s="288"/>
      <c r="PYW65" s="288"/>
      <c r="PYX65" s="288"/>
      <c r="PYY65" s="288"/>
      <c r="PYZ65" s="288"/>
      <c r="PZA65" s="124"/>
      <c r="PZB65" s="259"/>
      <c r="PZC65" s="259"/>
      <c r="PZD65" s="259"/>
      <c r="PZE65" s="288"/>
      <c r="PZF65" s="288"/>
      <c r="PZG65" s="288"/>
      <c r="PZH65" s="288"/>
      <c r="PZI65" s="288"/>
      <c r="PZJ65" s="288"/>
      <c r="PZK65" s="288"/>
      <c r="PZL65" s="288"/>
      <c r="PZM65" s="288"/>
      <c r="PZN65" s="124"/>
      <c r="PZO65" s="259"/>
      <c r="PZP65" s="259"/>
      <c r="PZQ65" s="259"/>
      <c r="PZR65" s="288"/>
      <c r="PZS65" s="288"/>
      <c r="PZT65" s="288"/>
      <c r="PZU65" s="288"/>
      <c r="PZV65" s="288"/>
      <c r="PZW65" s="288"/>
      <c r="PZX65" s="288"/>
      <c r="PZY65" s="288"/>
      <c r="PZZ65" s="288"/>
      <c r="QAA65" s="124"/>
      <c r="QAB65" s="259"/>
      <c r="QAC65" s="259"/>
      <c r="QAD65" s="259"/>
      <c r="QAE65" s="288"/>
      <c r="QAF65" s="288"/>
      <c r="QAG65" s="288"/>
      <c r="QAH65" s="288"/>
      <c r="QAI65" s="288"/>
      <c r="QAJ65" s="288"/>
      <c r="QAK65" s="288"/>
      <c r="QAL65" s="288"/>
      <c r="QAM65" s="288"/>
      <c r="QAN65" s="124"/>
      <c r="QAO65" s="259"/>
      <c r="QAP65" s="259"/>
      <c r="QAQ65" s="259"/>
      <c r="QAR65" s="288"/>
      <c r="QAS65" s="288"/>
      <c r="QAT65" s="288"/>
      <c r="QAU65" s="288"/>
      <c r="QAV65" s="288"/>
      <c r="QAW65" s="288"/>
      <c r="QAX65" s="288"/>
      <c r="QAY65" s="288"/>
      <c r="QAZ65" s="288"/>
      <c r="QBA65" s="124"/>
      <c r="QBB65" s="259"/>
      <c r="QBC65" s="259"/>
      <c r="QBD65" s="259"/>
      <c r="QBE65" s="288"/>
      <c r="QBF65" s="288"/>
      <c r="QBG65" s="288"/>
      <c r="QBH65" s="288"/>
      <c r="QBI65" s="288"/>
      <c r="QBJ65" s="288"/>
      <c r="QBK65" s="288"/>
      <c r="QBL65" s="288"/>
      <c r="QBM65" s="288"/>
      <c r="QBN65" s="124"/>
      <c r="QBO65" s="259"/>
      <c r="QBP65" s="259"/>
      <c r="QBQ65" s="259"/>
      <c r="QBR65" s="288"/>
      <c r="QBS65" s="288"/>
      <c r="QBT65" s="288"/>
      <c r="QBU65" s="288"/>
      <c r="QBV65" s="288"/>
      <c r="QBW65" s="288"/>
      <c r="QBX65" s="288"/>
      <c r="QBY65" s="288"/>
      <c r="QBZ65" s="288"/>
      <c r="QCA65" s="124"/>
      <c r="QCB65" s="259"/>
      <c r="QCC65" s="259"/>
      <c r="QCD65" s="259"/>
      <c r="QCE65" s="288"/>
      <c r="QCF65" s="288"/>
      <c r="QCG65" s="288"/>
      <c r="QCH65" s="288"/>
      <c r="QCI65" s="288"/>
      <c r="QCJ65" s="288"/>
      <c r="QCK65" s="288"/>
      <c r="QCL65" s="288"/>
      <c r="QCM65" s="288"/>
      <c r="QCN65" s="124"/>
      <c r="QCO65" s="259"/>
      <c r="QCP65" s="259"/>
      <c r="QCQ65" s="259"/>
      <c r="QCR65" s="288"/>
      <c r="QCS65" s="288"/>
      <c r="QCT65" s="288"/>
      <c r="QCU65" s="288"/>
      <c r="QCV65" s="288"/>
      <c r="QCW65" s="288"/>
      <c r="QCX65" s="288"/>
      <c r="QCY65" s="288"/>
      <c r="QCZ65" s="288"/>
      <c r="QDA65" s="124"/>
      <c r="QDB65" s="259"/>
      <c r="QDC65" s="259"/>
      <c r="QDD65" s="259"/>
      <c r="QDE65" s="288"/>
      <c r="QDF65" s="288"/>
      <c r="QDG65" s="288"/>
      <c r="QDH65" s="288"/>
      <c r="QDI65" s="288"/>
      <c r="QDJ65" s="288"/>
      <c r="QDK65" s="288"/>
      <c r="QDL65" s="288"/>
      <c r="QDM65" s="288"/>
      <c r="QDN65" s="124"/>
      <c r="QDO65" s="259"/>
      <c r="QDP65" s="259"/>
      <c r="QDQ65" s="259"/>
      <c r="QDR65" s="288"/>
      <c r="QDS65" s="288"/>
      <c r="QDT65" s="288"/>
      <c r="QDU65" s="288"/>
      <c r="QDV65" s="288"/>
      <c r="QDW65" s="288"/>
      <c r="QDX65" s="288"/>
      <c r="QDY65" s="288"/>
      <c r="QDZ65" s="288"/>
      <c r="QEA65" s="124"/>
      <c r="QEB65" s="259"/>
      <c r="QEC65" s="259"/>
      <c r="QED65" s="259"/>
      <c r="QEE65" s="288"/>
      <c r="QEF65" s="288"/>
      <c r="QEG65" s="288"/>
      <c r="QEH65" s="288"/>
      <c r="QEI65" s="288"/>
      <c r="QEJ65" s="288"/>
      <c r="QEK65" s="288"/>
      <c r="QEL65" s="288"/>
      <c r="QEM65" s="288"/>
      <c r="QEN65" s="124"/>
      <c r="QEO65" s="259"/>
      <c r="QEP65" s="259"/>
      <c r="QEQ65" s="259"/>
      <c r="QER65" s="288"/>
      <c r="QES65" s="288"/>
      <c r="QET65" s="288"/>
      <c r="QEU65" s="288"/>
      <c r="QEV65" s="288"/>
      <c r="QEW65" s="288"/>
      <c r="QEX65" s="288"/>
      <c r="QEY65" s="288"/>
      <c r="QEZ65" s="288"/>
      <c r="QFA65" s="124"/>
      <c r="QFB65" s="259"/>
      <c r="QFC65" s="259"/>
      <c r="QFD65" s="259"/>
      <c r="QFE65" s="288"/>
      <c r="QFF65" s="288"/>
      <c r="QFG65" s="288"/>
      <c r="QFH65" s="288"/>
      <c r="QFI65" s="288"/>
      <c r="QFJ65" s="288"/>
      <c r="QFK65" s="288"/>
      <c r="QFL65" s="288"/>
      <c r="QFM65" s="288"/>
      <c r="QFN65" s="124"/>
      <c r="QFO65" s="259"/>
      <c r="QFP65" s="259"/>
      <c r="QFQ65" s="259"/>
      <c r="QFR65" s="288"/>
      <c r="QFS65" s="288"/>
      <c r="QFT65" s="288"/>
      <c r="QFU65" s="288"/>
      <c r="QFV65" s="288"/>
      <c r="QFW65" s="288"/>
      <c r="QFX65" s="288"/>
      <c r="QFY65" s="288"/>
      <c r="QFZ65" s="288"/>
      <c r="QGA65" s="124"/>
      <c r="QGB65" s="259"/>
      <c r="QGC65" s="259"/>
      <c r="QGD65" s="259"/>
      <c r="QGE65" s="288"/>
      <c r="QGF65" s="288"/>
      <c r="QGG65" s="288"/>
      <c r="QGH65" s="288"/>
      <c r="QGI65" s="288"/>
      <c r="QGJ65" s="288"/>
      <c r="QGK65" s="288"/>
      <c r="QGL65" s="288"/>
      <c r="QGM65" s="288"/>
      <c r="QGN65" s="124"/>
      <c r="QGO65" s="259"/>
      <c r="QGP65" s="259"/>
      <c r="QGQ65" s="259"/>
      <c r="QGR65" s="288"/>
      <c r="QGS65" s="288"/>
      <c r="QGT65" s="288"/>
      <c r="QGU65" s="288"/>
      <c r="QGV65" s="288"/>
      <c r="QGW65" s="288"/>
      <c r="QGX65" s="288"/>
      <c r="QGY65" s="288"/>
      <c r="QGZ65" s="288"/>
      <c r="QHA65" s="124"/>
      <c r="QHB65" s="259"/>
      <c r="QHC65" s="259"/>
      <c r="QHD65" s="259"/>
      <c r="QHE65" s="288"/>
      <c r="QHF65" s="288"/>
      <c r="QHG65" s="288"/>
      <c r="QHH65" s="288"/>
      <c r="QHI65" s="288"/>
      <c r="QHJ65" s="288"/>
      <c r="QHK65" s="288"/>
      <c r="QHL65" s="288"/>
      <c r="QHM65" s="288"/>
      <c r="QHN65" s="124"/>
      <c r="QHO65" s="259"/>
      <c r="QHP65" s="259"/>
      <c r="QHQ65" s="259"/>
      <c r="QHR65" s="288"/>
      <c r="QHS65" s="288"/>
      <c r="QHT65" s="288"/>
      <c r="QHU65" s="288"/>
      <c r="QHV65" s="288"/>
      <c r="QHW65" s="288"/>
      <c r="QHX65" s="288"/>
      <c r="QHY65" s="288"/>
      <c r="QHZ65" s="288"/>
      <c r="QIA65" s="124"/>
      <c r="QIB65" s="259"/>
      <c r="QIC65" s="259"/>
      <c r="QID65" s="259"/>
      <c r="QIE65" s="288"/>
      <c r="QIF65" s="288"/>
      <c r="QIG65" s="288"/>
      <c r="QIH65" s="288"/>
      <c r="QII65" s="288"/>
      <c r="QIJ65" s="288"/>
      <c r="QIK65" s="288"/>
      <c r="QIL65" s="288"/>
      <c r="QIM65" s="288"/>
      <c r="QIN65" s="124"/>
      <c r="QIO65" s="259"/>
      <c r="QIP65" s="259"/>
      <c r="QIQ65" s="259"/>
      <c r="QIR65" s="288"/>
      <c r="QIS65" s="288"/>
      <c r="QIT65" s="288"/>
      <c r="QIU65" s="288"/>
      <c r="QIV65" s="288"/>
      <c r="QIW65" s="288"/>
      <c r="QIX65" s="288"/>
      <c r="QIY65" s="288"/>
      <c r="QIZ65" s="288"/>
      <c r="QJA65" s="124"/>
      <c r="QJB65" s="259"/>
      <c r="QJC65" s="259"/>
      <c r="QJD65" s="259"/>
      <c r="QJE65" s="288"/>
      <c r="QJF65" s="288"/>
      <c r="QJG65" s="288"/>
      <c r="QJH65" s="288"/>
      <c r="QJI65" s="288"/>
      <c r="QJJ65" s="288"/>
      <c r="QJK65" s="288"/>
      <c r="QJL65" s="288"/>
      <c r="QJM65" s="288"/>
      <c r="QJN65" s="124"/>
      <c r="QJO65" s="259"/>
      <c r="QJP65" s="259"/>
      <c r="QJQ65" s="259"/>
      <c r="QJR65" s="288"/>
      <c r="QJS65" s="288"/>
      <c r="QJT65" s="288"/>
      <c r="QJU65" s="288"/>
      <c r="QJV65" s="288"/>
      <c r="QJW65" s="288"/>
      <c r="QJX65" s="288"/>
      <c r="QJY65" s="288"/>
      <c r="QJZ65" s="288"/>
      <c r="QKA65" s="124"/>
      <c r="QKB65" s="259"/>
      <c r="QKC65" s="259"/>
      <c r="QKD65" s="259"/>
      <c r="QKE65" s="288"/>
      <c r="QKF65" s="288"/>
      <c r="QKG65" s="288"/>
      <c r="QKH65" s="288"/>
      <c r="QKI65" s="288"/>
      <c r="QKJ65" s="288"/>
      <c r="QKK65" s="288"/>
      <c r="QKL65" s="288"/>
      <c r="QKM65" s="288"/>
      <c r="QKN65" s="124"/>
      <c r="QKO65" s="259"/>
      <c r="QKP65" s="259"/>
      <c r="QKQ65" s="259"/>
      <c r="QKR65" s="288"/>
      <c r="QKS65" s="288"/>
      <c r="QKT65" s="288"/>
      <c r="QKU65" s="288"/>
      <c r="QKV65" s="288"/>
      <c r="QKW65" s="288"/>
      <c r="QKX65" s="288"/>
      <c r="QKY65" s="288"/>
      <c r="QKZ65" s="288"/>
      <c r="QLA65" s="124"/>
      <c r="QLB65" s="259"/>
      <c r="QLC65" s="259"/>
      <c r="QLD65" s="259"/>
      <c r="QLE65" s="288"/>
      <c r="QLF65" s="288"/>
      <c r="QLG65" s="288"/>
      <c r="QLH65" s="288"/>
      <c r="QLI65" s="288"/>
      <c r="QLJ65" s="288"/>
      <c r="QLK65" s="288"/>
      <c r="QLL65" s="288"/>
      <c r="QLM65" s="288"/>
      <c r="QLN65" s="124"/>
      <c r="QLO65" s="259"/>
      <c r="QLP65" s="259"/>
      <c r="QLQ65" s="259"/>
      <c r="QLR65" s="288"/>
      <c r="QLS65" s="288"/>
      <c r="QLT65" s="288"/>
      <c r="QLU65" s="288"/>
      <c r="QLV65" s="288"/>
      <c r="QLW65" s="288"/>
      <c r="QLX65" s="288"/>
      <c r="QLY65" s="288"/>
      <c r="QLZ65" s="288"/>
      <c r="QMA65" s="124"/>
      <c r="QMB65" s="259"/>
      <c r="QMC65" s="259"/>
      <c r="QMD65" s="259"/>
      <c r="QME65" s="288"/>
      <c r="QMF65" s="288"/>
      <c r="QMG65" s="288"/>
      <c r="QMH65" s="288"/>
      <c r="QMI65" s="288"/>
      <c r="QMJ65" s="288"/>
      <c r="QMK65" s="288"/>
      <c r="QML65" s="288"/>
      <c r="QMM65" s="288"/>
      <c r="QMN65" s="124"/>
      <c r="QMO65" s="259"/>
      <c r="QMP65" s="259"/>
      <c r="QMQ65" s="259"/>
      <c r="QMR65" s="288"/>
      <c r="QMS65" s="288"/>
      <c r="QMT65" s="288"/>
      <c r="QMU65" s="288"/>
      <c r="QMV65" s="288"/>
      <c r="QMW65" s="288"/>
      <c r="QMX65" s="288"/>
      <c r="QMY65" s="288"/>
      <c r="QMZ65" s="288"/>
      <c r="QNA65" s="124"/>
      <c r="QNB65" s="259"/>
      <c r="QNC65" s="259"/>
      <c r="QND65" s="259"/>
      <c r="QNE65" s="288"/>
      <c r="QNF65" s="288"/>
      <c r="QNG65" s="288"/>
      <c r="QNH65" s="288"/>
      <c r="QNI65" s="288"/>
      <c r="QNJ65" s="288"/>
      <c r="QNK65" s="288"/>
      <c r="QNL65" s="288"/>
      <c r="QNM65" s="288"/>
      <c r="QNN65" s="124"/>
      <c r="QNO65" s="259"/>
      <c r="QNP65" s="259"/>
      <c r="QNQ65" s="259"/>
      <c r="QNR65" s="288"/>
      <c r="QNS65" s="288"/>
      <c r="QNT65" s="288"/>
      <c r="QNU65" s="288"/>
      <c r="QNV65" s="288"/>
      <c r="QNW65" s="288"/>
      <c r="QNX65" s="288"/>
      <c r="QNY65" s="288"/>
      <c r="QNZ65" s="288"/>
      <c r="QOA65" s="124"/>
      <c r="QOB65" s="259"/>
      <c r="QOC65" s="259"/>
      <c r="QOD65" s="259"/>
      <c r="QOE65" s="288"/>
      <c r="QOF65" s="288"/>
      <c r="QOG65" s="288"/>
      <c r="QOH65" s="288"/>
      <c r="QOI65" s="288"/>
      <c r="QOJ65" s="288"/>
      <c r="QOK65" s="288"/>
      <c r="QOL65" s="288"/>
      <c r="QOM65" s="288"/>
      <c r="QON65" s="124"/>
      <c r="QOO65" s="259"/>
      <c r="QOP65" s="259"/>
      <c r="QOQ65" s="259"/>
      <c r="QOR65" s="288"/>
      <c r="QOS65" s="288"/>
      <c r="QOT65" s="288"/>
      <c r="QOU65" s="288"/>
      <c r="QOV65" s="288"/>
      <c r="QOW65" s="288"/>
      <c r="QOX65" s="288"/>
      <c r="QOY65" s="288"/>
      <c r="QOZ65" s="288"/>
      <c r="QPA65" s="124"/>
      <c r="QPB65" s="259"/>
      <c r="QPC65" s="259"/>
      <c r="QPD65" s="259"/>
      <c r="QPE65" s="288"/>
      <c r="QPF65" s="288"/>
      <c r="QPG65" s="288"/>
      <c r="QPH65" s="288"/>
      <c r="QPI65" s="288"/>
      <c r="QPJ65" s="288"/>
      <c r="QPK65" s="288"/>
      <c r="QPL65" s="288"/>
      <c r="QPM65" s="288"/>
      <c r="QPN65" s="124"/>
      <c r="QPO65" s="259"/>
      <c r="QPP65" s="259"/>
      <c r="QPQ65" s="259"/>
      <c r="QPR65" s="288"/>
      <c r="QPS65" s="288"/>
      <c r="QPT65" s="288"/>
      <c r="QPU65" s="288"/>
      <c r="QPV65" s="288"/>
      <c r="QPW65" s="288"/>
      <c r="QPX65" s="288"/>
      <c r="QPY65" s="288"/>
      <c r="QPZ65" s="288"/>
      <c r="QQA65" s="124"/>
      <c r="QQB65" s="259"/>
      <c r="QQC65" s="259"/>
      <c r="QQD65" s="259"/>
      <c r="QQE65" s="288"/>
      <c r="QQF65" s="288"/>
      <c r="QQG65" s="288"/>
      <c r="QQH65" s="288"/>
      <c r="QQI65" s="288"/>
      <c r="QQJ65" s="288"/>
      <c r="QQK65" s="288"/>
      <c r="QQL65" s="288"/>
      <c r="QQM65" s="288"/>
      <c r="QQN65" s="124"/>
      <c r="QQO65" s="259"/>
      <c r="QQP65" s="259"/>
      <c r="QQQ65" s="259"/>
      <c r="QQR65" s="288"/>
      <c r="QQS65" s="288"/>
      <c r="QQT65" s="288"/>
      <c r="QQU65" s="288"/>
      <c r="QQV65" s="288"/>
      <c r="QQW65" s="288"/>
      <c r="QQX65" s="288"/>
      <c r="QQY65" s="288"/>
      <c r="QQZ65" s="288"/>
      <c r="QRA65" s="124"/>
      <c r="QRB65" s="259"/>
      <c r="QRC65" s="259"/>
      <c r="QRD65" s="259"/>
      <c r="QRE65" s="288"/>
      <c r="QRF65" s="288"/>
      <c r="QRG65" s="288"/>
      <c r="QRH65" s="288"/>
      <c r="QRI65" s="288"/>
      <c r="QRJ65" s="288"/>
      <c r="QRK65" s="288"/>
      <c r="QRL65" s="288"/>
      <c r="QRM65" s="288"/>
      <c r="QRN65" s="124"/>
      <c r="QRO65" s="259"/>
      <c r="QRP65" s="259"/>
      <c r="QRQ65" s="259"/>
      <c r="QRR65" s="288"/>
      <c r="QRS65" s="288"/>
      <c r="QRT65" s="288"/>
      <c r="QRU65" s="288"/>
      <c r="QRV65" s="288"/>
      <c r="QRW65" s="288"/>
      <c r="QRX65" s="288"/>
      <c r="QRY65" s="288"/>
      <c r="QRZ65" s="288"/>
      <c r="QSA65" s="124"/>
      <c r="QSB65" s="259"/>
      <c r="QSC65" s="259"/>
      <c r="QSD65" s="259"/>
      <c r="QSE65" s="288"/>
      <c r="QSF65" s="288"/>
      <c r="QSG65" s="288"/>
      <c r="QSH65" s="288"/>
      <c r="QSI65" s="288"/>
      <c r="QSJ65" s="288"/>
      <c r="QSK65" s="288"/>
      <c r="QSL65" s="288"/>
      <c r="QSM65" s="288"/>
      <c r="QSN65" s="124"/>
      <c r="QSO65" s="259"/>
      <c r="QSP65" s="259"/>
      <c r="QSQ65" s="259"/>
      <c r="QSR65" s="288"/>
      <c r="QSS65" s="288"/>
      <c r="QST65" s="288"/>
      <c r="QSU65" s="288"/>
      <c r="QSV65" s="288"/>
      <c r="QSW65" s="288"/>
      <c r="QSX65" s="288"/>
      <c r="QSY65" s="288"/>
      <c r="QSZ65" s="288"/>
      <c r="QTA65" s="124"/>
      <c r="QTB65" s="259"/>
      <c r="QTC65" s="259"/>
      <c r="QTD65" s="259"/>
      <c r="QTE65" s="288"/>
      <c r="QTF65" s="288"/>
      <c r="QTG65" s="288"/>
      <c r="QTH65" s="288"/>
      <c r="QTI65" s="288"/>
      <c r="QTJ65" s="288"/>
      <c r="QTK65" s="288"/>
      <c r="QTL65" s="288"/>
      <c r="QTM65" s="288"/>
      <c r="QTN65" s="124"/>
      <c r="QTO65" s="259"/>
      <c r="QTP65" s="259"/>
      <c r="QTQ65" s="259"/>
      <c r="QTR65" s="288"/>
      <c r="QTS65" s="288"/>
      <c r="QTT65" s="288"/>
      <c r="QTU65" s="288"/>
      <c r="QTV65" s="288"/>
      <c r="QTW65" s="288"/>
      <c r="QTX65" s="288"/>
      <c r="QTY65" s="288"/>
      <c r="QTZ65" s="288"/>
      <c r="QUA65" s="124"/>
      <c r="QUB65" s="259"/>
      <c r="QUC65" s="259"/>
      <c r="QUD65" s="259"/>
      <c r="QUE65" s="288"/>
      <c r="QUF65" s="288"/>
      <c r="QUG65" s="288"/>
      <c r="QUH65" s="288"/>
      <c r="QUI65" s="288"/>
      <c r="QUJ65" s="288"/>
      <c r="QUK65" s="288"/>
      <c r="QUL65" s="288"/>
      <c r="QUM65" s="288"/>
      <c r="QUN65" s="124"/>
      <c r="QUO65" s="259"/>
      <c r="QUP65" s="259"/>
      <c r="QUQ65" s="259"/>
      <c r="QUR65" s="288"/>
      <c r="QUS65" s="288"/>
      <c r="QUT65" s="288"/>
      <c r="QUU65" s="288"/>
      <c r="QUV65" s="288"/>
      <c r="QUW65" s="288"/>
      <c r="QUX65" s="288"/>
      <c r="QUY65" s="288"/>
      <c r="QUZ65" s="288"/>
      <c r="QVA65" s="124"/>
      <c r="QVB65" s="259"/>
      <c r="QVC65" s="259"/>
      <c r="QVD65" s="259"/>
      <c r="QVE65" s="288"/>
      <c r="QVF65" s="288"/>
      <c r="QVG65" s="288"/>
      <c r="QVH65" s="288"/>
      <c r="QVI65" s="288"/>
      <c r="QVJ65" s="288"/>
      <c r="QVK65" s="288"/>
      <c r="QVL65" s="288"/>
      <c r="QVM65" s="288"/>
      <c r="QVN65" s="124"/>
      <c r="QVO65" s="259"/>
      <c r="QVP65" s="259"/>
      <c r="QVQ65" s="259"/>
      <c r="QVR65" s="288"/>
      <c r="QVS65" s="288"/>
      <c r="QVT65" s="288"/>
      <c r="QVU65" s="288"/>
      <c r="QVV65" s="288"/>
      <c r="QVW65" s="288"/>
      <c r="QVX65" s="288"/>
      <c r="QVY65" s="288"/>
      <c r="QVZ65" s="288"/>
      <c r="QWA65" s="124"/>
      <c r="QWB65" s="259"/>
      <c r="QWC65" s="259"/>
      <c r="QWD65" s="259"/>
      <c r="QWE65" s="288"/>
      <c r="QWF65" s="288"/>
      <c r="QWG65" s="288"/>
      <c r="QWH65" s="288"/>
      <c r="QWI65" s="288"/>
      <c r="QWJ65" s="288"/>
      <c r="QWK65" s="288"/>
      <c r="QWL65" s="288"/>
      <c r="QWM65" s="288"/>
      <c r="QWN65" s="124"/>
      <c r="QWO65" s="259"/>
      <c r="QWP65" s="259"/>
      <c r="QWQ65" s="259"/>
      <c r="QWR65" s="288"/>
      <c r="QWS65" s="288"/>
      <c r="QWT65" s="288"/>
      <c r="QWU65" s="288"/>
      <c r="QWV65" s="288"/>
      <c r="QWW65" s="288"/>
      <c r="QWX65" s="288"/>
      <c r="QWY65" s="288"/>
      <c r="QWZ65" s="288"/>
      <c r="QXA65" s="124"/>
      <c r="QXB65" s="259"/>
      <c r="QXC65" s="259"/>
      <c r="QXD65" s="259"/>
      <c r="QXE65" s="288"/>
      <c r="QXF65" s="288"/>
      <c r="QXG65" s="288"/>
      <c r="QXH65" s="288"/>
      <c r="QXI65" s="288"/>
      <c r="QXJ65" s="288"/>
      <c r="QXK65" s="288"/>
      <c r="QXL65" s="288"/>
      <c r="QXM65" s="288"/>
      <c r="QXN65" s="124"/>
      <c r="QXO65" s="259"/>
      <c r="QXP65" s="259"/>
      <c r="QXQ65" s="259"/>
      <c r="QXR65" s="288"/>
      <c r="QXS65" s="288"/>
      <c r="QXT65" s="288"/>
      <c r="QXU65" s="288"/>
      <c r="QXV65" s="288"/>
      <c r="QXW65" s="288"/>
      <c r="QXX65" s="288"/>
      <c r="QXY65" s="288"/>
      <c r="QXZ65" s="288"/>
      <c r="QYA65" s="124"/>
      <c r="QYB65" s="259"/>
      <c r="QYC65" s="259"/>
      <c r="QYD65" s="259"/>
      <c r="QYE65" s="288"/>
      <c r="QYF65" s="288"/>
      <c r="QYG65" s="288"/>
      <c r="QYH65" s="288"/>
      <c r="QYI65" s="288"/>
      <c r="QYJ65" s="288"/>
      <c r="QYK65" s="288"/>
      <c r="QYL65" s="288"/>
      <c r="QYM65" s="288"/>
      <c r="QYN65" s="124"/>
      <c r="QYO65" s="259"/>
      <c r="QYP65" s="259"/>
      <c r="QYQ65" s="259"/>
      <c r="QYR65" s="288"/>
      <c r="QYS65" s="288"/>
      <c r="QYT65" s="288"/>
      <c r="QYU65" s="288"/>
      <c r="QYV65" s="288"/>
      <c r="QYW65" s="288"/>
      <c r="QYX65" s="288"/>
      <c r="QYY65" s="288"/>
      <c r="QYZ65" s="288"/>
      <c r="QZA65" s="124"/>
      <c r="QZB65" s="259"/>
      <c r="QZC65" s="259"/>
      <c r="QZD65" s="259"/>
      <c r="QZE65" s="288"/>
      <c r="QZF65" s="288"/>
      <c r="QZG65" s="288"/>
      <c r="QZH65" s="288"/>
      <c r="QZI65" s="288"/>
      <c r="QZJ65" s="288"/>
      <c r="QZK65" s="288"/>
      <c r="QZL65" s="288"/>
      <c r="QZM65" s="288"/>
      <c r="QZN65" s="124"/>
      <c r="QZO65" s="259"/>
      <c r="QZP65" s="259"/>
      <c r="QZQ65" s="259"/>
      <c r="QZR65" s="288"/>
      <c r="QZS65" s="288"/>
      <c r="QZT65" s="288"/>
      <c r="QZU65" s="288"/>
      <c r="QZV65" s="288"/>
      <c r="QZW65" s="288"/>
      <c r="QZX65" s="288"/>
      <c r="QZY65" s="288"/>
      <c r="QZZ65" s="288"/>
      <c r="RAA65" s="124"/>
      <c r="RAB65" s="259"/>
      <c r="RAC65" s="259"/>
      <c r="RAD65" s="259"/>
      <c r="RAE65" s="288"/>
      <c r="RAF65" s="288"/>
      <c r="RAG65" s="288"/>
      <c r="RAH65" s="288"/>
      <c r="RAI65" s="288"/>
      <c r="RAJ65" s="288"/>
      <c r="RAK65" s="288"/>
      <c r="RAL65" s="288"/>
      <c r="RAM65" s="288"/>
      <c r="RAN65" s="124"/>
      <c r="RAO65" s="259"/>
      <c r="RAP65" s="259"/>
      <c r="RAQ65" s="259"/>
      <c r="RAR65" s="288"/>
      <c r="RAS65" s="288"/>
      <c r="RAT65" s="288"/>
      <c r="RAU65" s="288"/>
      <c r="RAV65" s="288"/>
      <c r="RAW65" s="288"/>
      <c r="RAX65" s="288"/>
      <c r="RAY65" s="288"/>
      <c r="RAZ65" s="288"/>
      <c r="RBA65" s="124"/>
      <c r="RBB65" s="259"/>
      <c r="RBC65" s="259"/>
      <c r="RBD65" s="259"/>
      <c r="RBE65" s="288"/>
      <c r="RBF65" s="288"/>
      <c r="RBG65" s="288"/>
      <c r="RBH65" s="288"/>
      <c r="RBI65" s="288"/>
      <c r="RBJ65" s="288"/>
      <c r="RBK65" s="288"/>
      <c r="RBL65" s="288"/>
      <c r="RBM65" s="288"/>
      <c r="RBN65" s="124"/>
      <c r="RBO65" s="259"/>
      <c r="RBP65" s="259"/>
      <c r="RBQ65" s="259"/>
      <c r="RBR65" s="288"/>
      <c r="RBS65" s="288"/>
      <c r="RBT65" s="288"/>
      <c r="RBU65" s="288"/>
      <c r="RBV65" s="288"/>
      <c r="RBW65" s="288"/>
      <c r="RBX65" s="288"/>
      <c r="RBY65" s="288"/>
      <c r="RBZ65" s="288"/>
      <c r="RCA65" s="124"/>
      <c r="RCB65" s="259"/>
      <c r="RCC65" s="259"/>
      <c r="RCD65" s="259"/>
      <c r="RCE65" s="288"/>
      <c r="RCF65" s="288"/>
      <c r="RCG65" s="288"/>
      <c r="RCH65" s="288"/>
      <c r="RCI65" s="288"/>
      <c r="RCJ65" s="288"/>
      <c r="RCK65" s="288"/>
      <c r="RCL65" s="288"/>
      <c r="RCM65" s="288"/>
      <c r="RCN65" s="124"/>
      <c r="RCO65" s="259"/>
      <c r="RCP65" s="259"/>
      <c r="RCQ65" s="259"/>
      <c r="RCR65" s="288"/>
      <c r="RCS65" s="288"/>
      <c r="RCT65" s="288"/>
      <c r="RCU65" s="288"/>
      <c r="RCV65" s="288"/>
      <c r="RCW65" s="288"/>
      <c r="RCX65" s="288"/>
      <c r="RCY65" s="288"/>
      <c r="RCZ65" s="288"/>
      <c r="RDA65" s="124"/>
      <c r="RDB65" s="259"/>
      <c r="RDC65" s="259"/>
      <c r="RDD65" s="259"/>
      <c r="RDE65" s="288"/>
      <c r="RDF65" s="288"/>
      <c r="RDG65" s="288"/>
      <c r="RDH65" s="288"/>
      <c r="RDI65" s="288"/>
      <c r="RDJ65" s="288"/>
      <c r="RDK65" s="288"/>
      <c r="RDL65" s="288"/>
      <c r="RDM65" s="288"/>
      <c r="RDN65" s="124"/>
      <c r="RDO65" s="259"/>
      <c r="RDP65" s="259"/>
      <c r="RDQ65" s="259"/>
      <c r="RDR65" s="288"/>
      <c r="RDS65" s="288"/>
      <c r="RDT65" s="288"/>
      <c r="RDU65" s="288"/>
      <c r="RDV65" s="288"/>
      <c r="RDW65" s="288"/>
      <c r="RDX65" s="288"/>
      <c r="RDY65" s="288"/>
      <c r="RDZ65" s="288"/>
      <c r="REA65" s="124"/>
      <c r="REB65" s="259"/>
      <c r="REC65" s="259"/>
      <c r="RED65" s="259"/>
      <c r="REE65" s="288"/>
      <c r="REF65" s="288"/>
      <c r="REG65" s="288"/>
      <c r="REH65" s="288"/>
      <c r="REI65" s="288"/>
      <c r="REJ65" s="288"/>
      <c r="REK65" s="288"/>
      <c r="REL65" s="288"/>
      <c r="REM65" s="288"/>
      <c r="REN65" s="124"/>
      <c r="REO65" s="259"/>
      <c r="REP65" s="259"/>
      <c r="REQ65" s="259"/>
      <c r="RER65" s="288"/>
      <c r="RES65" s="288"/>
      <c r="RET65" s="288"/>
      <c r="REU65" s="288"/>
      <c r="REV65" s="288"/>
      <c r="REW65" s="288"/>
      <c r="REX65" s="288"/>
      <c r="REY65" s="288"/>
      <c r="REZ65" s="288"/>
      <c r="RFA65" s="124"/>
      <c r="RFB65" s="259"/>
      <c r="RFC65" s="259"/>
      <c r="RFD65" s="259"/>
      <c r="RFE65" s="288"/>
      <c r="RFF65" s="288"/>
      <c r="RFG65" s="288"/>
      <c r="RFH65" s="288"/>
      <c r="RFI65" s="288"/>
      <c r="RFJ65" s="288"/>
      <c r="RFK65" s="288"/>
      <c r="RFL65" s="288"/>
      <c r="RFM65" s="288"/>
      <c r="RFN65" s="124"/>
      <c r="RFO65" s="259"/>
      <c r="RFP65" s="259"/>
      <c r="RFQ65" s="259"/>
      <c r="RFR65" s="288"/>
      <c r="RFS65" s="288"/>
      <c r="RFT65" s="288"/>
      <c r="RFU65" s="288"/>
      <c r="RFV65" s="288"/>
      <c r="RFW65" s="288"/>
      <c r="RFX65" s="288"/>
      <c r="RFY65" s="288"/>
      <c r="RFZ65" s="288"/>
      <c r="RGA65" s="124"/>
      <c r="RGB65" s="259"/>
      <c r="RGC65" s="259"/>
      <c r="RGD65" s="259"/>
      <c r="RGE65" s="288"/>
      <c r="RGF65" s="288"/>
      <c r="RGG65" s="288"/>
      <c r="RGH65" s="288"/>
      <c r="RGI65" s="288"/>
      <c r="RGJ65" s="288"/>
      <c r="RGK65" s="288"/>
      <c r="RGL65" s="288"/>
      <c r="RGM65" s="288"/>
      <c r="RGN65" s="124"/>
      <c r="RGO65" s="259"/>
      <c r="RGP65" s="259"/>
      <c r="RGQ65" s="259"/>
      <c r="RGR65" s="288"/>
      <c r="RGS65" s="288"/>
      <c r="RGT65" s="288"/>
      <c r="RGU65" s="288"/>
      <c r="RGV65" s="288"/>
      <c r="RGW65" s="288"/>
      <c r="RGX65" s="288"/>
      <c r="RGY65" s="288"/>
      <c r="RGZ65" s="288"/>
      <c r="RHA65" s="124"/>
      <c r="RHB65" s="259"/>
      <c r="RHC65" s="259"/>
      <c r="RHD65" s="259"/>
      <c r="RHE65" s="288"/>
      <c r="RHF65" s="288"/>
      <c r="RHG65" s="288"/>
      <c r="RHH65" s="288"/>
      <c r="RHI65" s="288"/>
      <c r="RHJ65" s="288"/>
      <c r="RHK65" s="288"/>
      <c r="RHL65" s="288"/>
      <c r="RHM65" s="288"/>
      <c r="RHN65" s="124"/>
      <c r="RHO65" s="259"/>
      <c r="RHP65" s="259"/>
      <c r="RHQ65" s="259"/>
      <c r="RHR65" s="288"/>
      <c r="RHS65" s="288"/>
      <c r="RHT65" s="288"/>
      <c r="RHU65" s="288"/>
      <c r="RHV65" s="288"/>
      <c r="RHW65" s="288"/>
      <c r="RHX65" s="288"/>
      <c r="RHY65" s="288"/>
      <c r="RHZ65" s="288"/>
      <c r="RIA65" s="124"/>
      <c r="RIB65" s="259"/>
      <c r="RIC65" s="259"/>
      <c r="RID65" s="259"/>
      <c r="RIE65" s="288"/>
      <c r="RIF65" s="288"/>
      <c r="RIG65" s="288"/>
      <c r="RIH65" s="288"/>
      <c r="RII65" s="288"/>
      <c r="RIJ65" s="288"/>
      <c r="RIK65" s="288"/>
      <c r="RIL65" s="288"/>
      <c r="RIM65" s="288"/>
      <c r="RIN65" s="124"/>
      <c r="RIO65" s="259"/>
      <c r="RIP65" s="259"/>
      <c r="RIQ65" s="259"/>
      <c r="RIR65" s="288"/>
      <c r="RIS65" s="288"/>
      <c r="RIT65" s="288"/>
      <c r="RIU65" s="288"/>
      <c r="RIV65" s="288"/>
      <c r="RIW65" s="288"/>
      <c r="RIX65" s="288"/>
      <c r="RIY65" s="288"/>
      <c r="RIZ65" s="288"/>
      <c r="RJA65" s="124"/>
      <c r="RJB65" s="259"/>
      <c r="RJC65" s="259"/>
      <c r="RJD65" s="259"/>
      <c r="RJE65" s="288"/>
      <c r="RJF65" s="288"/>
      <c r="RJG65" s="288"/>
      <c r="RJH65" s="288"/>
      <c r="RJI65" s="288"/>
      <c r="RJJ65" s="288"/>
      <c r="RJK65" s="288"/>
      <c r="RJL65" s="288"/>
      <c r="RJM65" s="288"/>
      <c r="RJN65" s="124"/>
      <c r="RJO65" s="259"/>
      <c r="RJP65" s="259"/>
      <c r="RJQ65" s="259"/>
      <c r="RJR65" s="288"/>
      <c r="RJS65" s="288"/>
      <c r="RJT65" s="288"/>
      <c r="RJU65" s="288"/>
      <c r="RJV65" s="288"/>
      <c r="RJW65" s="288"/>
      <c r="RJX65" s="288"/>
      <c r="RJY65" s="288"/>
      <c r="RJZ65" s="288"/>
      <c r="RKA65" s="124"/>
      <c r="RKB65" s="259"/>
      <c r="RKC65" s="259"/>
      <c r="RKD65" s="259"/>
      <c r="RKE65" s="288"/>
      <c r="RKF65" s="288"/>
      <c r="RKG65" s="288"/>
      <c r="RKH65" s="288"/>
      <c r="RKI65" s="288"/>
      <c r="RKJ65" s="288"/>
      <c r="RKK65" s="288"/>
      <c r="RKL65" s="288"/>
      <c r="RKM65" s="288"/>
      <c r="RKN65" s="124"/>
      <c r="RKO65" s="259"/>
      <c r="RKP65" s="259"/>
      <c r="RKQ65" s="259"/>
      <c r="RKR65" s="288"/>
      <c r="RKS65" s="288"/>
      <c r="RKT65" s="288"/>
      <c r="RKU65" s="288"/>
      <c r="RKV65" s="288"/>
      <c r="RKW65" s="288"/>
      <c r="RKX65" s="288"/>
      <c r="RKY65" s="288"/>
      <c r="RKZ65" s="288"/>
      <c r="RLA65" s="124"/>
      <c r="RLB65" s="259"/>
      <c r="RLC65" s="259"/>
      <c r="RLD65" s="259"/>
      <c r="RLE65" s="288"/>
      <c r="RLF65" s="288"/>
      <c r="RLG65" s="288"/>
      <c r="RLH65" s="288"/>
      <c r="RLI65" s="288"/>
      <c r="RLJ65" s="288"/>
      <c r="RLK65" s="288"/>
      <c r="RLL65" s="288"/>
      <c r="RLM65" s="288"/>
      <c r="RLN65" s="124"/>
      <c r="RLO65" s="259"/>
      <c r="RLP65" s="259"/>
      <c r="RLQ65" s="259"/>
      <c r="RLR65" s="288"/>
      <c r="RLS65" s="288"/>
      <c r="RLT65" s="288"/>
      <c r="RLU65" s="288"/>
      <c r="RLV65" s="288"/>
      <c r="RLW65" s="288"/>
      <c r="RLX65" s="288"/>
      <c r="RLY65" s="288"/>
      <c r="RLZ65" s="288"/>
      <c r="RMA65" s="124"/>
      <c r="RMB65" s="259"/>
      <c r="RMC65" s="259"/>
      <c r="RMD65" s="259"/>
      <c r="RME65" s="288"/>
      <c r="RMF65" s="288"/>
      <c r="RMG65" s="288"/>
      <c r="RMH65" s="288"/>
      <c r="RMI65" s="288"/>
      <c r="RMJ65" s="288"/>
      <c r="RMK65" s="288"/>
      <c r="RML65" s="288"/>
      <c r="RMM65" s="288"/>
      <c r="RMN65" s="124"/>
      <c r="RMO65" s="259"/>
      <c r="RMP65" s="259"/>
      <c r="RMQ65" s="259"/>
      <c r="RMR65" s="288"/>
      <c r="RMS65" s="288"/>
      <c r="RMT65" s="288"/>
      <c r="RMU65" s="288"/>
      <c r="RMV65" s="288"/>
      <c r="RMW65" s="288"/>
      <c r="RMX65" s="288"/>
      <c r="RMY65" s="288"/>
      <c r="RMZ65" s="288"/>
      <c r="RNA65" s="124"/>
      <c r="RNB65" s="259"/>
      <c r="RNC65" s="259"/>
      <c r="RND65" s="259"/>
      <c r="RNE65" s="288"/>
      <c r="RNF65" s="288"/>
      <c r="RNG65" s="288"/>
      <c r="RNH65" s="288"/>
      <c r="RNI65" s="288"/>
      <c r="RNJ65" s="288"/>
      <c r="RNK65" s="288"/>
      <c r="RNL65" s="288"/>
      <c r="RNM65" s="288"/>
      <c r="RNN65" s="124"/>
      <c r="RNO65" s="259"/>
      <c r="RNP65" s="259"/>
      <c r="RNQ65" s="259"/>
      <c r="RNR65" s="288"/>
      <c r="RNS65" s="288"/>
      <c r="RNT65" s="288"/>
      <c r="RNU65" s="288"/>
      <c r="RNV65" s="288"/>
      <c r="RNW65" s="288"/>
      <c r="RNX65" s="288"/>
      <c r="RNY65" s="288"/>
      <c r="RNZ65" s="288"/>
      <c r="ROA65" s="124"/>
      <c r="ROB65" s="259"/>
      <c r="ROC65" s="259"/>
      <c r="ROD65" s="259"/>
      <c r="ROE65" s="288"/>
      <c r="ROF65" s="288"/>
      <c r="ROG65" s="288"/>
      <c r="ROH65" s="288"/>
      <c r="ROI65" s="288"/>
      <c r="ROJ65" s="288"/>
      <c r="ROK65" s="288"/>
      <c r="ROL65" s="288"/>
      <c r="ROM65" s="288"/>
      <c r="RON65" s="124"/>
      <c r="ROO65" s="259"/>
      <c r="ROP65" s="259"/>
      <c r="ROQ65" s="259"/>
      <c r="ROR65" s="288"/>
      <c r="ROS65" s="288"/>
      <c r="ROT65" s="288"/>
      <c r="ROU65" s="288"/>
      <c r="ROV65" s="288"/>
      <c r="ROW65" s="288"/>
      <c r="ROX65" s="288"/>
      <c r="ROY65" s="288"/>
      <c r="ROZ65" s="288"/>
      <c r="RPA65" s="124"/>
      <c r="RPB65" s="259"/>
      <c r="RPC65" s="259"/>
      <c r="RPD65" s="259"/>
      <c r="RPE65" s="288"/>
      <c r="RPF65" s="288"/>
      <c r="RPG65" s="288"/>
      <c r="RPH65" s="288"/>
      <c r="RPI65" s="288"/>
      <c r="RPJ65" s="288"/>
      <c r="RPK65" s="288"/>
      <c r="RPL65" s="288"/>
      <c r="RPM65" s="288"/>
      <c r="RPN65" s="124"/>
      <c r="RPO65" s="259"/>
      <c r="RPP65" s="259"/>
      <c r="RPQ65" s="259"/>
      <c r="RPR65" s="288"/>
      <c r="RPS65" s="288"/>
      <c r="RPT65" s="288"/>
      <c r="RPU65" s="288"/>
      <c r="RPV65" s="288"/>
      <c r="RPW65" s="288"/>
      <c r="RPX65" s="288"/>
      <c r="RPY65" s="288"/>
      <c r="RPZ65" s="288"/>
      <c r="RQA65" s="124"/>
      <c r="RQB65" s="259"/>
      <c r="RQC65" s="259"/>
      <c r="RQD65" s="259"/>
      <c r="RQE65" s="288"/>
      <c r="RQF65" s="288"/>
      <c r="RQG65" s="288"/>
      <c r="RQH65" s="288"/>
      <c r="RQI65" s="288"/>
      <c r="RQJ65" s="288"/>
      <c r="RQK65" s="288"/>
      <c r="RQL65" s="288"/>
      <c r="RQM65" s="288"/>
      <c r="RQN65" s="124"/>
      <c r="RQO65" s="259"/>
      <c r="RQP65" s="259"/>
      <c r="RQQ65" s="259"/>
      <c r="RQR65" s="288"/>
      <c r="RQS65" s="288"/>
      <c r="RQT65" s="288"/>
      <c r="RQU65" s="288"/>
      <c r="RQV65" s="288"/>
      <c r="RQW65" s="288"/>
      <c r="RQX65" s="288"/>
      <c r="RQY65" s="288"/>
      <c r="RQZ65" s="288"/>
      <c r="RRA65" s="124"/>
      <c r="RRB65" s="259"/>
      <c r="RRC65" s="259"/>
      <c r="RRD65" s="259"/>
      <c r="RRE65" s="288"/>
      <c r="RRF65" s="288"/>
      <c r="RRG65" s="288"/>
      <c r="RRH65" s="288"/>
      <c r="RRI65" s="288"/>
      <c r="RRJ65" s="288"/>
      <c r="RRK65" s="288"/>
      <c r="RRL65" s="288"/>
      <c r="RRM65" s="288"/>
      <c r="RRN65" s="124"/>
      <c r="RRO65" s="259"/>
      <c r="RRP65" s="259"/>
      <c r="RRQ65" s="259"/>
      <c r="RRR65" s="288"/>
      <c r="RRS65" s="288"/>
      <c r="RRT65" s="288"/>
      <c r="RRU65" s="288"/>
      <c r="RRV65" s="288"/>
      <c r="RRW65" s="288"/>
      <c r="RRX65" s="288"/>
      <c r="RRY65" s="288"/>
      <c r="RRZ65" s="288"/>
      <c r="RSA65" s="124"/>
      <c r="RSB65" s="259"/>
      <c r="RSC65" s="259"/>
      <c r="RSD65" s="259"/>
      <c r="RSE65" s="288"/>
      <c r="RSF65" s="288"/>
      <c r="RSG65" s="288"/>
      <c r="RSH65" s="288"/>
      <c r="RSI65" s="288"/>
      <c r="RSJ65" s="288"/>
      <c r="RSK65" s="288"/>
      <c r="RSL65" s="288"/>
      <c r="RSM65" s="288"/>
      <c r="RSN65" s="124"/>
      <c r="RSO65" s="259"/>
      <c r="RSP65" s="259"/>
      <c r="RSQ65" s="259"/>
      <c r="RSR65" s="288"/>
      <c r="RSS65" s="288"/>
      <c r="RST65" s="288"/>
      <c r="RSU65" s="288"/>
      <c r="RSV65" s="288"/>
      <c r="RSW65" s="288"/>
      <c r="RSX65" s="288"/>
      <c r="RSY65" s="288"/>
      <c r="RSZ65" s="288"/>
      <c r="RTA65" s="124"/>
      <c r="RTB65" s="259"/>
      <c r="RTC65" s="259"/>
      <c r="RTD65" s="259"/>
      <c r="RTE65" s="288"/>
      <c r="RTF65" s="288"/>
      <c r="RTG65" s="288"/>
      <c r="RTH65" s="288"/>
      <c r="RTI65" s="288"/>
      <c r="RTJ65" s="288"/>
      <c r="RTK65" s="288"/>
      <c r="RTL65" s="288"/>
      <c r="RTM65" s="288"/>
      <c r="RTN65" s="124"/>
      <c r="RTO65" s="259"/>
      <c r="RTP65" s="259"/>
      <c r="RTQ65" s="259"/>
      <c r="RTR65" s="288"/>
      <c r="RTS65" s="288"/>
      <c r="RTT65" s="288"/>
      <c r="RTU65" s="288"/>
      <c r="RTV65" s="288"/>
      <c r="RTW65" s="288"/>
      <c r="RTX65" s="288"/>
      <c r="RTY65" s="288"/>
      <c r="RTZ65" s="288"/>
      <c r="RUA65" s="124"/>
      <c r="RUB65" s="259"/>
      <c r="RUC65" s="259"/>
      <c r="RUD65" s="259"/>
      <c r="RUE65" s="288"/>
      <c r="RUF65" s="288"/>
      <c r="RUG65" s="288"/>
      <c r="RUH65" s="288"/>
      <c r="RUI65" s="288"/>
      <c r="RUJ65" s="288"/>
      <c r="RUK65" s="288"/>
      <c r="RUL65" s="288"/>
      <c r="RUM65" s="288"/>
      <c r="RUN65" s="124"/>
      <c r="RUO65" s="259"/>
      <c r="RUP65" s="259"/>
      <c r="RUQ65" s="259"/>
      <c r="RUR65" s="288"/>
      <c r="RUS65" s="288"/>
      <c r="RUT65" s="288"/>
      <c r="RUU65" s="288"/>
      <c r="RUV65" s="288"/>
      <c r="RUW65" s="288"/>
      <c r="RUX65" s="288"/>
      <c r="RUY65" s="288"/>
      <c r="RUZ65" s="288"/>
      <c r="RVA65" s="124"/>
      <c r="RVB65" s="259"/>
      <c r="RVC65" s="259"/>
      <c r="RVD65" s="259"/>
      <c r="RVE65" s="288"/>
      <c r="RVF65" s="288"/>
      <c r="RVG65" s="288"/>
      <c r="RVH65" s="288"/>
      <c r="RVI65" s="288"/>
      <c r="RVJ65" s="288"/>
      <c r="RVK65" s="288"/>
      <c r="RVL65" s="288"/>
      <c r="RVM65" s="288"/>
      <c r="RVN65" s="124"/>
      <c r="RVO65" s="259"/>
      <c r="RVP65" s="259"/>
      <c r="RVQ65" s="259"/>
      <c r="RVR65" s="288"/>
      <c r="RVS65" s="288"/>
      <c r="RVT65" s="288"/>
      <c r="RVU65" s="288"/>
      <c r="RVV65" s="288"/>
      <c r="RVW65" s="288"/>
      <c r="RVX65" s="288"/>
      <c r="RVY65" s="288"/>
      <c r="RVZ65" s="288"/>
      <c r="RWA65" s="124"/>
      <c r="RWB65" s="259"/>
      <c r="RWC65" s="259"/>
      <c r="RWD65" s="259"/>
      <c r="RWE65" s="288"/>
      <c r="RWF65" s="288"/>
      <c r="RWG65" s="288"/>
      <c r="RWH65" s="288"/>
      <c r="RWI65" s="288"/>
      <c r="RWJ65" s="288"/>
      <c r="RWK65" s="288"/>
      <c r="RWL65" s="288"/>
      <c r="RWM65" s="288"/>
      <c r="RWN65" s="124"/>
      <c r="RWO65" s="259"/>
      <c r="RWP65" s="259"/>
      <c r="RWQ65" s="259"/>
      <c r="RWR65" s="288"/>
      <c r="RWS65" s="288"/>
      <c r="RWT65" s="288"/>
      <c r="RWU65" s="288"/>
      <c r="RWV65" s="288"/>
      <c r="RWW65" s="288"/>
      <c r="RWX65" s="288"/>
      <c r="RWY65" s="288"/>
      <c r="RWZ65" s="288"/>
      <c r="RXA65" s="124"/>
      <c r="RXB65" s="259"/>
      <c r="RXC65" s="259"/>
      <c r="RXD65" s="259"/>
      <c r="RXE65" s="288"/>
      <c r="RXF65" s="288"/>
      <c r="RXG65" s="288"/>
      <c r="RXH65" s="288"/>
      <c r="RXI65" s="288"/>
      <c r="RXJ65" s="288"/>
      <c r="RXK65" s="288"/>
      <c r="RXL65" s="288"/>
      <c r="RXM65" s="288"/>
      <c r="RXN65" s="124"/>
      <c r="RXO65" s="259"/>
      <c r="RXP65" s="259"/>
      <c r="RXQ65" s="259"/>
      <c r="RXR65" s="288"/>
      <c r="RXS65" s="288"/>
      <c r="RXT65" s="288"/>
      <c r="RXU65" s="288"/>
      <c r="RXV65" s="288"/>
      <c r="RXW65" s="288"/>
      <c r="RXX65" s="288"/>
      <c r="RXY65" s="288"/>
      <c r="RXZ65" s="288"/>
      <c r="RYA65" s="124"/>
      <c r="RYB65" s="259"/>
      <c r="RYC65" s="259"/>
      <c r="RYD65" s="259"/>
      <c r="RYE65" s="288"/>
      <c r="RYF65" s="288"/>
      <c r="RYG65" s="288"/>
      <c r="RYH65" s="288"/>
      <c r="RYI65" s="288"/>
      <c r="RYJ65" s="288"/>
      <c r="RYK65" s="288"/>
      <c r="RYL65" s="288"/>
      <c r="RYM65" s="288"/>
      <c r="RYN65" s="124"/>
      <c r="RYO65" s="259"/>
      <c r="RYP65" s="259"/>
      <c r="RYQ65" s="259"/>
      <c r="RYR65" s="288"/>
      <c r="RYS65" s="288"/>
      <c r="RYT65" s="288"/>
      <c r="RYU65" s="288"/>
      <c r="RYV65" s="288"/>
      <c r="RYW65" s="288"/>
      <c r="RYX65" s="288"/>
      <c r="RYY65" s="288"/>
      <c r="RYZ65" s="288"/>
      <c r="RZA65" s="124"/>
      <c r="RZB65" s="259"/>
      <c r="RZC65" s="259"/>
      <c r="RZD65" s="259"/>
      <c r="RZE65" s="288"/>
      <c r="RZF65" s="288"/>
      <c r="RZG65" s="288"/>
      <c r="RZH65" s="288"/>
      <c r="RZI65" s="288"/>
      <c r="RZJ65" s="288"/>
      <c r="RZK65" s="288"/>
      <c r="RZL65" s="288"/>
      <c r="RZM65" s="288"/>
      <c r="RZN65" s="124"/>
      <c r="RZO65" s="259"/>
      <c r="RZP65" s="259"/>
      <c r="RZQ65" s="259"/>
      <c r="RZR65" s="288"/>
      <c r="RZS65" s="288"/>
      <c r="RZT65" s="288"/>
      <c r="RZU65" s="288"/>
      <c r="RZV65" s="288"/>
      <c r="RZW65" s="288"/>
      <c r="RZX65" s="288"/>
      <c r="RZY65" s="288"/>
      <c r="RZZ65" s="288"/>
      <c r="SAA65" s="124"/>
      <c r="SAB65" s="259"/>
      <c r="SAC65" s="259"/>
      <c r="SAD65" s="259"/>
      <c r="SAE65" s="288"/>
      <c r="SAF65" s="288"/>
      <c r="SAG65" s="288"/>
      <c r="SAH65" s="288"/>
      <c r="SAI65" s="288"/>
      <c r="SAJ65" s="288"/>
      <c r="SAK65" s="288"/>
      <c r="SAL65" s="288"/>
      <c r="SAM65" s="288"/>
      <c r="SAN65" s="124"/>
      <c r="SAO65" s="259"/>
      <c r="SAP65" s="259"/>
      <c r="SAQ65" s="259"/>
      <c r="SAR65" s="288"/>
      <c r="SAS65" s="288"/>
      <c r="SAT65" s="288"/>
      <c r="SAU65" s="288"/>
      <c r="SAV65" s="288"/>
      <c r="SAW65" s="288"/>
      <c r="SAX65" s="288"/>
      <c r="SAY65" s="288"/>
      <c r="SAZ65" s="288"/>
      <c r="SBA65" s="124"/>
      <c r="SBB65" s="259"/>
      <c r="SBC65" s="259"/>
      <c r="SBD65" s="259"/>
      <c r="SBE65" s="288"/>
      <c r="SBF65" s="288"/>
      <c r="SBG65" s="288"/>
      <c r="SBH65" s="288"/>
      <c r="SBI65" s="288"/>
      <c r="SBJ65" s="288"/>
      <c r="SBK65" s="288"/>
      <c r="SBL65" s="288"/>
      <c r="SBM65" s="288"/>
      <c r="SBN65" s="124"/>
      <c r="SBO65" s="259"/>
      <c r="SBP65" s="259"/>
      <c r="SBQ65" s="259"/>
      <c r="SBR65" s="288"/>
      <c r="SBS65" s="288"/>
      <c r="SBT65" s="288"/>
      <c r="SBU65" s="288"/>
      <c r="SBV65" s="288"/>
      <c r="SBW65" s="288"/>
      <c r="SBX65" s="288"/>
      <c r="SBY65" s="288"/>
      <c r="SBZ65" s="288"/>
      <c r="SCA65" s="124"/>
      <c r="SCB65" s="259"/>
      <c r="SCC65" s="259"/>
      <c r="SCD65" s="259"/>
      <c r="SCE65" s="288"/>
      <c r="SCF65" s="288"/>
      <c r="SCG65" s="288"/>
      <c r="SCH65" s="288"/>
      <c r="SCI65" s="288"/>
      <c r="SCJ65" s="288"/>
      <c r="SCK65" s="288"/>
      <c r="SCL65" s="288"/>
      <c r="SCM65" s="288"/>
      <c r="SCN65" s="124"/>
      <c r="SCO65" s="259"/>
      <c r="SCP65" s="259"/>
      <c r="SCQ65" s="259"/>
      <c r="SCR65" s="288"/>
      <c r="SCS65" s="288"/>
      <c r="SCT65" s="288"/>
      <c r="SCU65" s="288"/>
      <c r="SCV65" s="288"/>
      <c r="SCW65" s="288"/>
      <c r="SCX65" s="288"/>
      <c r="SCY65" s="288"/>
      <c r="SCZ65" s="288"/>
      <c r="SDA65" s="124"/>
      <c r="SDB65" s="259"/>
      <c r="SDC65" s="259"/>
      <c r="SDD65" s="259"/>
      <c r="SDE65" s="288"/>
      <c r="SDF65" s="288"/>
      <c r="SDG65" s="288"/>
      <c r="SDH65" s="288"/>
      <c r="SDI65" s="288"/>
      <c r="SDJ65" s="288"/>
      <c r="SDK65" s="288"/>
      <c r="SDL65" s="288"/>
      <c r="SDM65" s="288"/>
      <c r="SDN65" s="124"/>
      <c r="SDO65" s="259"/>
      <c r="SDP65" s="259"/>
      <c r="SDQ65" s="259"/>
      <c r="SDR65" s="288"/>
      <c r="SDS65" s="288"/>
      <c r="SDT65" s="288"/>
      <c r="SDU65" s="288"/>
      <c r="SDV65" s="288"/>
      <c r="SDW65" s="288"/>
      <c r="SDX65" s="288"/>
      <c r="SDY65" s="288"/>
      <c r="SDZ65" s="288"/>
      <c r="SEA65" s="124"/>
      <c r="SEB65" s="259"/>
      <c r="SEC65" s="259"/>
      <c r="SED65" s="259"/>
      <c r="SEE65" s="288"/>
      <c r="SEF65" s="288"/>
      <c r="SEG65" s="288"/>
      <c r="SEH65" s="288"/>
      <c r="SEI65" s="288"/>
      <c r="SEJ65" s="288"/>
      <c r="SEK65" s="288"/>
      <c r="SEL65" s="288"/>
      <c r="SEM65" s="288"/>
      <c r="SEN65" s="124"/>
      <c r="SEO65" s="259"/>
      <c r="SEP65" s="259"/>
      <c r="SEQ65" s="259"/>
      <c r="SER65" s="288"/>
      <c r="SES65" s="288"/>
      <c r="SET65" s="288"/>
      <c r="SEU65" s="288"/>
      <c r="SEV65" s="288"/>
      <c r="SEW65" s="288"/>
      <c r="SEX65" s="288"/>
      <c r="SEY65" s="288"/>
      <c r="SEZ65" s="288"/>
      <c r="SFA65" s="124"/>
      <c r="SFB65" s="259"/>
      <c r="SFC65" s="259"/>
      <c r="SFD65" s="259"/>
      <c r="SFE65" s="288"/>
      <c r="SFF65" s="288"/>
      <c r="SFG65" s="288"/>
      <c r="SFH65" s="288"/>
      <c r="SFI65" s="288"/>
      <c r="SFJ65" s="288"/>
      <c r="SFK65" s="288"/>
      <c r="SFL65" s="288"/>
      <c r="SFM65" s="288"/>
      <c r="SFN65" s="124"/>
      <c r="SFO65" s="259"/>
      <c r="SFP65" s="259"/>
      <c r="SFQ65" s="259"/>
      <c r="SFR65" s="288"/>
      <c r="SFS65" s="288"/>
      <c r="SFT65" s="288"/>
      <c r="SFU65" s="288"/>
      <c r="SFV65" s="288"/>
      <c r="SFW65" s="288"/>
      <c r="SFX65" s="288"/>
      <c r="SFY65" s="288"/>
      <c r="SFZ65" s="288"/>
      <c r="SGA65" s="124"/>
      <c r="SGB65" s="259"/>
      <c r="SGC65" s="259"/>
      <c r="SGD65" s="259"/>
      <c r="SGE65" s="288"/>
      <c r="SGF65" s="288"/>
      <c r="SGG65" s="288"/>
      <c r="SGH65" s="288"/>
      <c r="SGI65" s="288"/>
      <c r="SGJ65" s="288"/>
      <c r="SGK65" s="288"/>
      <c r="SGL65" s="288"/>
      <c r="SGM65" s="288"/>
      <c r="SGN65" s="124"/>
      <c r="SGO65" s="259"/>
      <c r="SGP65" s="259"/>
      <c r="SGQ65" s="259"/>
      <c r="SGR65" s="288"/>
      <c r="SGS65" s="288"/>
      <c r="SGT65" s="288"/>
      <c r="SGU65" s="288"/>
      <c r="SGV65" s="288"/>
      <c r="SGW65" s="288"/>
      <c r="SGX65" s="288"/>
      <c r="SGY65" s="288"/>
      <c r="SGZ65" s="288"/>
      <c r="SHA65" s="124"/>
      <c r="SHB65" s="259"/>
      <c r="SHC65" s="259"/>
      <c r="SHD65" s="259"/>
      <c r="SHE65" s="288"/>
      <c r="SHF65" s="288"/>
      <c r="SHG65" s="288"/>
      <c r="SHH65" s="288"/>
      <c r="SHI65" s="288"/>
      <c r="SHJ65" s="288"/>
      <c r="SHK65" s="288"/>
      <c r="SHL65" s="288"/>
      <c r="SHM65" s="288"/>
      <c r="SHN65" s="124"/>
      <c r="SHO65" s="259"/>
      <c r="SHP65" s="259"/>
      <c r="SHQ65" s="259"/>
      <c r="SHR65" s="288"/>
      <c r="SHS65" s="288"/>
      <c r="SHT65" s="288"/>
      <c r="SHU65" s="288"/>
      <c r="SHV65" s="288"/>
      <c r="SHW65" s="288"/>
      <c r="SHX65" s="288"/>
      <c r="SHY65" s="288"/>
      <c r="SHZ65" s="288"/>
      <c r="SIA65" s="124"/>
      <c r="SIB65" s="259"/>
      <c r="SIC65" s="259"/>
      <c r="SID65" s="259"/>
      <c r="SIE65" s="288"/>
      <c r="SIF65" s="288"/>
      <c r="SIG65" s="288"/>
      <c r="SIH65" s="288"/>
      <c r="SII65" s="288"/>
      <c r="SIJ65" s="288"/>
      <c r="SIK65" s="288"/>
      <c r="SIL65" s="288"/>
      <c r="SIM65" s="288"/>
      <c r="SIN65" s="124"/>
      <c r="SIO65" s="259"/>
      <c r="SIP65" s="259"/>
      <c r="SIQ65" s="259"/>
      <c r="SIR65" s="288"/>
      <c r="SIS65" s="288"/>
      <c r="SIT65" s="288"/>
      <c r="SIU65" s="288"/>
      <c r="SIV65" s="288"/>
      <c r="SIW65" s="288"/>
      <c r="SIX65" s="288"/>
      <c r="SIY65" s="288"/>
      <c r="SIZ65" s="288"/>
      <c r="SJA65" s="124"/>
      <c r="SJB65" s="259"/>
      <c r="SJC65" s="259"/>
      <c r="SJD65" s="259"/>
      <c r="SJE65" s="288"/>
      <c r="SJF65" s="288"/>
      <c r="SJG65" s="288"/>
      <c r="SJH65" s="288"/>
      <c r="SJI65" s="288"/>
      <c r="SJJ65" s="288"/>
      <c r="SJK65" s="288"/>
      <c r="SJL65" s="288"/>
      <c r="SJM65" s="288"/>
      <c r="SJN65" s="124"/>
      <c r="SJO65" s="259"/>
      <c r="SJP65" s="259"/>
      <c r="SJQ65" s="259"/>
      <c r="SJR65" s="288"/>
      <c r="SJS65" s="288"/>
      <c r="SJT65" s="288"/>
      <c r="SJU65" s="288"/>
      <c r="SJV65" s="288"/>
      <c r="SJW65" s="288"/>
      <c r="SJX65" s="288"/>
      <c r="SJY65" s="288"/>
      <c r="SJZ65" s="288"/>
      <c r="SKA65" s="124"/>
      <c r="SKB65" s="259"/>
      <c r="SKC65" s="259"/>
      <c r="SKD65" s="259"/>
      <c r="SKE65" s="288"/>
      <c r="SKF65" s="288"/>
      <c r="SKG65" s="288"/>
      <c r="SKH65" s="288"/>
      <c r="SKI65" s="288"/>
      <c r="SKJ65" s="288"/>
      <c r="SKK65" s="288"/>
      <c r="SKL65" s="288"/>
      <c r="SKM65" s="288"/>
      <c r="SKN65" s="124"/>
      <c r="SKO65" s="259"/>
      <c r="SKP65" s="259"/>
      <c r="SKQ65" s="259"/>
      <c r="SKR65" s="288"/>
      <c r="SKS65" s="288"/>
      <c r="SKT65" s="288"/>
      <c r="SKU65" s="288"/>
      <c r="SKV65" s="288"/>
      <c r="SKW65" s="288"/>
      <c r="SKX65" s="288"/>
      <c r="SKY65" s="288"/>
      <c r="SKZ65" s="288"/>
      <c r="SLA65" s="124"/>
      <c r="SLB65" s="259"/>
      <c r="SLC65" s="259"/>
      <c r="SLD65" s="259"/>
      <c r="SLE65" s="288"/>
      <c r="SLF65" s="288"/>
      <c r="SLG65" s="288"/>
      <c r="SLH65" s="288"/>
      <c r="SLI65" s="288"/>
      <c r="SLJ65" s="288"/>
      <c r="SLK65" s="288"/>
      <c r="SLL65" s="288"/>
      <c r="SLM65" s="288"/>
      <c r="SLN65" s="124"/>
      <c r="SLO65" s="259"/>
      <c r="SLP65" s="259"/>
      <c r="SLQ65" s="259"/>
      <c r="SLR65" s="288"/>
      <c r="SLS65" s="288"/>
      <c r="SLT65" s="288"/>
      <c r="SLU65" s="288"/>
      <c r="SLV65" s="288"/>
      <c r="SLW65" s="288"/>
      <c r="SLX65" s="288"/>
      <c r="SLY65" s="288"/>
      <c r="SLZ65" s="288"/>
      <c r="SMA65" s="124"/>
      <c r="SMB65" s="259"/>
      <c r="SMC65" s="259"/>
      <c r="SMD65" s="259"/>
      <c r="SME65" s="288"/>
      <c r="SMF65" s="288"/>
      <c r="SMG65" s="288"/>
      <c r="SMH65" s="288"/>
      <c r="SMI65" s="288"/>
      <c r="SMJ65" s="288"/>
      <c r="SMK65" s="288"/>
      <c r="SML65" s="288"/>
      <c r="SMM65" s="288"/>
      <c r="SMN65" s="124"/>
      <c r="SMO65" s="259"/>
      <c r="SMP65" s="259"/>
      <c r="SMQ65" s="259"/>
      <c r="SMR65" s="288"/>
      <c r="SMS65" s="288"/>
      <c r="SMT65" s="288"/>
      <c r="SMU65" s="288"/>
      <c r="SMV65" s="288"/>
      <c r="SMW65" s="288"/>
      <c r="SMX65" s="288"/>
      <c r="SMY65" s="288"/>
      <c r="SMZ65" s="288"/>
      <c r="SNA65" s="124"/>
      <c r="SNB65" s="259"/>
      <c r="SNC65" s="259"/>
      <c r="SND65" s="259"/>
      <c r="SNE65" s="288"/>
      <c r="SNF65" s="288"/>
      <c r="SNG65" s="288"/>
      <c r="SNH65" s="288"/>
      <c r="SNI65" s="288"/>
      <c r="SNJ65" s="288"/>
      <c r="SNK65" s="288"/>
      <c r="SNL65" s="288"/>
      <c r="SNM65" s="288"/>
      <c r="SNN65" s="124"/>
      <c r="SNO65" s="259"/>
      <c r="SNP65" s="259"/>
      <c r="SNQ65" s="259"/>
      <c r="SNR65" s="288"/>
      <c r="SNS65" s="288"/>
      <c r="SNT65" s="288"/>
      <c r="SNU65" s="288"/>
      <c r="SNV65" s="288"/>
      <c r="SNW65" s="288"/>
      <c r="SNX65" s="288"/>
      <c r="SNY65" s="288"/>
      <c r="SNZ65" s="288"/>
      <c r="SOA65" s="124"/>
      <c r="SOB65" s="259"/>
      <c r="SOC65" s="259"/>
      <c r="SOD65" s="259"/>
      <c r="SOE65" s="288"/>
      <c r="SOF65" s="288"/>
      <c r="SOG65" s="288"/>
      <c r="SOH65" s="288"/>
      <c r="SOI65" s="288"/>
      <c r="SOJ65" s="288"/>
      <c r="SOK65" s="288"/>
      <c r="SOL65" s="288"/>
      <c r="SOM65" s="288"/>
      <c r="SON65" s="124"/>
      <c r="SOO65" s="259"/>
      <c r="SOP65" s="259"/>
      <c r="SOQ65" s="259"/>
      <c r="SOR65" s="288"/>
      <c r="SOS65" s="288"/>
      <c r="SOT65" s="288"/>
      <c r="SOU65" s="288"/>
      <c r="SOV65" s="288"/>
      <c r="SOW65" s="288"/>
      <c r="SOX65" s="288"/>
      <c r="SOY65" s="288"/>
      <c r="SOZ65" s="288"/>
      <c r="SPA65" s="124"/>
      <c r="SPB65" s="259"/>
      <c r="SPC65" s="259"/>
      <c r="SPD65" s="259"/>
      <c r="SPE65" s="288"/>
      <c r="SPF65" s="288"/>
      <c r="SPG65" s="288"/>
      <c r="SPH65" s="288"/>
      <c r="SPI65" s="288"/>
      <c r="SPJ65" s="288"/>
      <c r="SPK65" s="288"/>
      <c r="SPL65" s="288"/>
      <c r="SPM65" s="288"/>
      <c r="SPN65" s="124"/>
      <c r="SPO65" s="259"/>
      <c r="SPP65" s="259"/>
      <c r="SPQ65" s="259"/>
      <c r="SPR65" s="288"/>
      <c r="SPS65" s="288"/>
      <c r="SPT65" s="288"/>
      <c r="SPU65" s="288"/>
      <c r="SPV65" s="288"/>
      <c r="SPW65" s="288"/>
      <c r="SPX65" s="288"/>
      <c r="SPY65" s="288"/>
      <c r="SPZ65" s="288"/>
      <c r="SQA65" s="124"/>
      <c r="SQB65" s="259"/>
      <c r="SQC65" s="259"/>
      <c r="SQD65" s="259"/>
      <c r="SQE65" s="288"/>
      <c r="SQF65" s="288"/>
      <c r="SQG65" s="288"/>
      <c r="SQH65" s="288"/>
      <c r="SQI65" s="288"/>
      <c r="SQJ65" s="288"/>
      <c r="SQK65" s="288"/>
      <c r="SQL65" s="288"/>
      <c r="SQM65" s="288"/>
      <c r="SQN65" s="124"/>
      <c r="SQO65" s="259"/>
      <c r="SQP65" s="259"/>
      <c r="SQQ65" s="259"/>
      <c r="SQR65" s="288"/>
      <c r="SQS65" s="288"/>
      <c r="SQT65" s="288"/>
      <c r="SQU65" s="288"/>
      <c r="SQV65" s="288"/>
      <c r="SQW65" s="288"/>
      <c r="SQX65" s="288"/>
      <c r="SQY65" s="288"/>
      <c r="SQZ65" s="288"/>
      <c r="SRA65" s="124"/>
      <c r="SRB65" s="259"/>
      <c r="SRC65" s="259"/>
      <c r="SRD65" s="259"/>
      <c r="SRE65" s="288"/>
      <c r="SRF65" s="288"/>
      <c r="SRG65" s="288"/>
      <c r="SRH65" s="288"/>
      <c r="SRI65" s="288"/>
      <c r="SRJ65" s="288"/>
      <c r="SRK65" s="288"/>
      <c r="SRL65" s="288"/>
      <c r="SRM65" s="288"/>
      <c r="SRN65" s="124"/>
      <c r="SRO65" s="259"/>
      <c r="SRP65" s="259"/>
      <c r="SRQ65" s="259"/>
      <c r="SRR65" s="288"/>
      <c r="SRS65" s="288"/>
      <c r="SRT65" s="288"/>
      <c r="SRU65" s="288"/>
      <c r="SRV65" s="288"/>
      <c r="SRW65" s="288"/>
      <c r="SRX65" s="288"/>
      <c r="SRY65" s="288"/>
      <c r="SRZ65" s="288"/>
      <c r="SSA65" s="124"/>
      <c r="SSB65" s="259"/>
      <c r="SSC65" s="259"/>
      <c r="SSD65" s="259"/>
      <c r="SSE65" s="288"/>
      <c r="SSF65" s="288"/>
      <c r="SSG65" s="288"/>
      <c r="SSH65" s="288"/>
      <c r="SSI65" s="288"/>
      <c r="SSJ65" s="288"/>
      <c r="SSK65" s="288"/>
      <c r="SSL65" s="288"/>
      <c r="SSM65" s="288"/>
      <c r="SSN65" s="124"/>
      <c r="SSO65" s="259"/>
      <c r="SSP65" s="259"/>
      <c r="SSQ65" s="259"/>
      <c r="SSR65" s="288"/>
      <c r="SSS65" s="288"/>
      <c r="SST65" s="288"/>
      <c r="SSU65" s="288"/>
      <c r="SSV65" s="288"/>
      <c r="SSW65" s="288"/>
      <c r="SSX65" s="288"/>
      <c r="SSY65" s="288"/>
      <c r="SSZ65" s="288"/>
      <c r="STA65" s="124"/>
      <c r="STB65" s="259"/>
      <c r="STC65" s="259"/>
      <c r="STD65" s="259"/>
      <c r="STE65" s="288"/>
      <c r="STF65" s="288"/>
      <c r="STG65" s="288"/>
      <c r="STH65" s="288"/>
      <c r="STI65" s="288"/>
      <c r="STJ65" s="288"/>
      <c r="STK65" s="288"/>
      <c r="STL65" s="288"/>
      <c r="STM65" s="288"/>
      <c r="STN65" s="124"/>
      <c r="STO65" s="259"/>
      <c r="STP65" s="259"/>
      <c r="STQ65" s="259"/>
      <c r="STR65" s="288"/>
      <c r="STS65" s="288"/>
      <c r="STT65" s="288"/>
      <c r="STU65" s="288"/>
      <c r="STV65" s="288"/>
      <c r="STW65" s="288"/>
      <c r="STX65" s="288"/>
      <c r="STY65" s="288"/>
      <c r="STZ65" s="288"/>
      <c r="SUA65" s="124"/>
      <c r="SUB65" s="259"/>
      <c r="SUC65" s="259"/>
      <c r="SUD65" s="259"/>
      <c r="SUE65" s="288"/>
      <c r="SUF65" s="288"/>
      <c r="SUG65" s="288"/>
      <c r="SUH65" s="288"/>
      <c r="SUI65" s="288"/>
      <c r="SUJ65" s="288"/>
      <c r="SUK65" s="288"/>
      <c r="SUL65" s="288"/>
      <c r="SUM65" s="288"/>
      <c r="SUN65" s="124"/>
      <c r="SUO65" s="259"/>
      <c r="SUP65" s="259"/>
      <c r="SUQ65" s="259"/>
      <c r="SUR65" s="288"/>
      <c r="SUS65" s="288"/>
      <c r="SUT65" s="288"/>
      <c r="SUU65" s="288"/>
      <c r="SUV65" s="288"/>
      <c r="SUW65" s="288"/>
      <c r="SUX65" s="288"/>
      <c r="SUY65" s="288"/>
      <c r="SUZ65" s="288"/>
      <c r="SVA65" s="124"/>
      <c r="SVB65" s="259"/>
      <c r="SVC65" s="259"/>
      <c r="SVD65" s="259"/>
      <c r="SVE65" s="288"/>
      <c r="SVF65" s="288"/>
      <c r="SVG65" s="288"/>
      <c r="SVH65" s="288"/>
      <c r="SVI65" s="288"/>
      <c r="SVJ65" s="288"/>
      <c r="SVK65" s="288"/>
      <c r="SVL65" s="288"/>
      <c r="SVM65" s="288"/>
      <c r="SVN65" s="124"/>
      <c r="SVO65" s="259"/>
      <c r="SVP65" s="259"/>
      <c r="SVQ65" s="259"/>
      <c r="SVR65" s="288"/>
      <c r="SVS65" s="288"/>
      <c r="SVT65" s="288"/>
      <c r="SVU65" s="288"/>
      <c r="SVV65" s="288"/>
      <c r="SVW65" s="288"/>
      <c r="SVX65" s="288"/>
      <c r="SVY65" s="288"/>
      <c r="SVZ65" s="288"/>
      <c r="SWA65" s="124"/>
      <c r="SWB65" s="259"/>
      <c r="SWC65" s="259"/>
      <c r="SWD65" s="259"/>
      <c r="SWE65" s="288"/>
      <c r="SWF65" s="288"/>
      <c r="SWG65" s="288"/>
      <c r="SWH65" s="288"/>
      <c r="SWI65" s="288"/>
      <c r="SWJ65" s="288"/>
      <c r="SWK65" s="288"/>
      <c r="SWL65" s="288"/>
      <c r="SWM65" s="288"/>
      <c r="SWN65" s="124"/>
      <c r="SWO65" s="259"/>
      <c r="SWP65" s="259"/>
      <c r="SWQ65" s="259"/>
      <c r="SWR65" s="288"/>
      <c r="SWS65" s="288"/>
      <c r="SWT65" s="288"/>
      <c r="SWU65" s="288"/>
      <c r="SWV65" s="288"/>
      <c r="SWW65" s="288"/>
      <c r="SWX65" s="288"/>
      <c r="SWY65" s="288"/>
      <c r="SWZ65" s="288"/>
      <c r="SXA65" s="124"/>
      <c r="SXB65" s="259"/>
      <c r="SXC65" s="259"/>
      <c r="SXD65" s="259"/>
      <c r="SXE65" s="288"/>
      <c r="SXF65" s="288"/>
      <c r="SXG65" s="288"/>
      <c r="SXH65" s="288"/>
      <c r="SXI65" s="288"/>
      <c r="SXJ65" s="288"/>
      <c r="SXK65" s="288"/>
      <c r="SXL65" s="288"/>
      <c r="SXM65" s="288"/>
      <c r="SXN65" s="124"/>
      <c r="SXO65" s="259"/>
      <c r="SXP65" s="259"/>
      <c r="SXQ65" s="259"/>
      <c r="SXR65" s="288"/>
      <c r="SXS65" s="288"/>
      <c r="SXT65" s="288"/>
      <c r="SXU65" s="288"/>
      <c r="SXV65" s="288"/>
      <c r="SXW65" s="288"/>
      <c r="SXX65" s="288"/>
      <c r="SXY65" s="288"/>
      <c r="SXZ65" s="288"/>
      <c r="SYA65" s="124"/>
      <c r="SYB65" s="259"/>
      <c r="SYC65" s="259"/>
      <c r="SYD65" s="259"/>
      <c r="SYE65" s="288"/>
      <c r="SYF65" s="288"/>
      <c r="SYG65" s="288"/>
      <c r="SYH65" s="288"/>
      <c r="SYI65" s="288"/>
      <c r="SYJ65" s="288"/>
      <c r="SYK65" s="288"/>
      <c r="SYL65" s="288"/>
      <c r="SYM65" s="288"/>
      <c r="SYN65" s="124"/>
      <c r="SYO65" s="259"/>
      <c r="SYP65" s="259"/>
      <c r="SYQ65" s="259"/>
      <c r="SYR65" s="288"/>
      <c r="SYS65" s="288"/>
      <c r="SYT65" s="288"/>
      <c r="SYU65" s="288"/>
      <c r="SYV65" s="288"/>
      <c r="SYW65" s="288"/>
      <c r="SYX65" s="288"/>
      <c r="SYY65" s="288"/>
      <c r="SYZ65" s="288"/>
      <c r="SZA65" s="124"/>
      <c r="SZB65" s="259"/>
      <c r="SZC65" s="259"/>
      <c r="SZD65" s="259"/>
      <c r="SZE65" s="288"/>
      <c r="SZF65" s="288"/>
      <c r="SZG65" s="288"/>
      <c r="SZH65" s="288"/>
      <c r="SZI65" s="288"/>
      <c r="SZJ65" s="288"/>
      <c r="SZK65" s="288"/>
      <c r="SZL65" s="288"/>
      <c r="SZM65" s="288"/>
      <c r="SZN65" s="124"/>
      <c r="SZO65" s="259"/>
      <c r="SZP65" s="259"/>
      <c r="SZQ65" s="259"/>
      <c r="SZR65" s="288"/>
      <c r="SZS65" s="288"/>
      <c r="SZT65" s="288"/>
      <c r="SZU65" s="288"/>
      <c r="SZV65" s="288"/>
      <c r="SZW65" s="288"/>
      <c r="SZX65" s="288"/>
      <c r="SZY65" s="288"/>
      <c r="SZZ65" s="288"/>
      <c r="TAA65" s="124"/>
      <c r="TAB65" s="259"/>
      <c r="TAC65" s="259"/>
      <c r="TAD65" s="259"/>
      <c r="TAE65" s="288"/>
      <c r="TAF65" s="288"/>
      <c r="TAG65" s="288"/>
      <c r="TAH65" s="288"/>
      <c r="TAI65" s="288"/>
      <c r="TAJ65" s="288"/>
      <c r="TAK65" s="288"/>
      <c r="TAL65" s="288"/>
      <c r="TAM65" s="288"/>
      <c r="TAN65" s="124"/>
      <c r="TAO65" s="259"/>
      <c r="TAP65" s="259"/>
      <c r="TAQ65" s="259"/>
      <c r="TAR65" s="288"/>
      <c r="TAS65" s="288"/>
      <c r="TAT65" s="288"/>
      <c r="TAU65" s="288"/>
      <c r="TAV65" s="288"/>
      <c r="TAW65" s="288"/>
      <c r="TAX65" s="288"/>
      <c r="TAY65" s="288"/>
      <c r="TAZ65" s="288"/>
      <c r="TBA65" s="124"/>
      <c r="TBB65" s="259"/>
      <c r="TBC65" s="259"/>
      <c r="TBD65" s="259"/>
      <c r="TBE65" s="288"/>
      <c r="TBF65" s="288"/>
      <c r="TBG65" s="288"/>
      <c r="TBH65" s="288"/>
      <c r="TBI65" s="288"/>
      <c r="TBJ65" s="288"/>
      <c r="TBK65" s="288"/>
      <c r="TBL65" s="288"/>
      <c r="TBM65" s="288"/>
      <c r="TBN65" s="124"/>
      <c r="TBO65" s="259"/>
      <c r="TBP65" s="259"/>
      <c r="TBQ65" s="259"/>
      <c r="TBR65" s="288"/>
      <c r="TBS65" s="288"/>
      <c r="TBT65" s="288"/>
      <c r="TBU65" s="288"/>
      <c r="TBV65" s="288"/>
      <c r="TBW65" s="288"/>
      <c r="TBX65" s="288"/>
      <c r="TBY65" s="288"/>
      <c r="TBZ65" s="288"/>
      <c r="TCA65" s="124"/>
      <c r="TCB65" s="259"/>
      <c r="TCC65" s="259"/>
      <c r="TCD65" s="259"/>
      <c r="TCE65" s="288"/>
      <c r="TCF65" s="288"/>
      <c r="TCG65" s="288"/>
      <c r="TCH65" s="288"/>
      <c r="TCI65" s="288"/>
      <c r="TCJ65" s="288"/>
      <c r="TCK65" s="288"/>
      <c r="TCL65" s="288"/>
      <c r="TCM65" s="288"/>
      <c r="TCN65" s="124"/>
      <c r="TCO65" s="259"/>
      <c r="TCP65" s="259"/>
      <c r="TCQ65" s="259"/>
      <c r="TCR65" s="288"/>
      <c r="TCS65" s="288"/>
      <c r="TCT65" s="288"/>
      <c r="TCU65" s="288"/>
      <c r="TCV65" s="288"/>
      <c r="TCW65" s="288"/>
      <c r="TCX65" s="288"/>
      <c r="TCY65" s="288"/>
      <c r="TCZ65" s="288"/>
      <c r="TDA65" s="124"/>
      <c r="TDB65" s="259"/>
      <c r="TDC65" s="259"/>
      <c r="TDD65" s="259"/>
      <c r="TDE65" s="288"/>
      <c r="TDF65" s="288"/>
      <c r="TDG65" s="288"/>
      <c r="TDH65" s="288"/>
      <c r="TDI65" s="288"/>
      <c r="TDJ65" s="288"/>
      <c r="TDK65" s="288"/>
      <c r="TDL65" s="288"/>
      <c r="TDM65" s="288"/>
      <c r="TDN65" s="124"/>
      <c r="TDO65" s="259"/>
      <c r="TDP65" s="259"/>
      <c r="TDQ65" s="259"/>
      <c r="TDR65" s="288"/>
      <c r="TDS65" s="288"/>
      <c r="TDT65" s="288"/>
      <c r="TDU65" s="288"/>
      <c r="TDV65" s="288"/>
      <c r="TDW65" s="288"/>
      <c r="TDX65" s="288"/>
      <c r="TDY65" s="288"/>
      <c r="TDZ65" s="288"/>
      <c r="TEA65" s="124"/>
      <c r="TEB65" s="259"/>
      <c r="TEC65" s="259"/>
      <c r="TED65" s="259"/>
      <c r="TEE65" s="288"/>
      <c r="TEF65" s="288"/>
      <c r="TEG65" s="288"/>
      <c r="TEH65" s="288"/>
      <c r="TEI65" s="288"/>
      <c r="TEJ65" s="288"/>
      <c r="TEK65" s="288"/>
      <c r="TEL65" s="288"/>
      <c r="TEM65" s="288"/>
      <c r="TEN65" s="124"/>
      <c r="TEO65" s="259"/>
      <c r="TEP65" s="259"/>
      <c r="TEQ65" s="259"/>
      <c r="TER65" s="288"/>
      <c r="TES65" s="288"/>
      <c r="TET65" s="288"/>
      <c r="TEU65" s="288"/>
      <c r="TEV65" s="288"/>
      <c r="TEW65" s="288"/>
      <c r="TEX65" s="288"/>
      <c r="TEY65" s="288"/>
      <c r="TEZ65" s="288"/>
      <c r="TFA65" s="124"/>
      <c r="TFB65" s="259"/>
      <c r="TFC65" s="259"/>
      <c r="TFD65" s="259"/>
      <c r="TFE65" s="288"/>
      <c r="TFF65" s="288"/>
      <c r="TFG65" s="288"/>
      <c r="TFH65" s="288"/>
      <c r="TFI65" s="288"/>
      <c r="TFJ65" s="288"/>
      <c r="TFK65" s="288"/>
      <c r="TFL65" s="288"/>
      <c r="TFM65" s="288"/>
      <c r="TFN65" s="124"/>
      <c r="TFO65" s="259"/>
      <c r="TFP65" s="259"/>
      <c r="TFQ65" s="259"/>
      <c r="TFR65" s="288"/>
      <c r="TFS65" s="288"/>
      <c r="TFT65" s="288"/>
      <c r="TFU65" s="288"/>
      <c r="TFV65" s="288"/>
      <c r="TFW65" s="288"/>
      <c r="TFX65" s="288"/>
      <c r="TFY65" s="288"/>
      <c r="TFZ65" s="288"/>
      <c r="TGA65" s="124"/>
      <c r="TGB65" s="259"/>
      <c r="TGC65" s="259"/>
      <c r="TGD65" s="259"/>
      <c r="TGE65" s="288"/>
      <c r="TGF65" s="288"/>
      <c r="TGG65" s="288"/>
      <c r="TGH65" s="288"/>
      <c r="TGI65" s="288"/>
      <c r="TGJ65" s="288"/>
      <c r="TGK65" s="288"/>
      <c r="TGL65" s="288"/>
      <c r="TGM65" s="288"/>
      <c r="TGN65" s="124"/>
      <c r="TGO65" s="259"/>
      <c r="TGP65" s="259"/>
      <c r="TGQ65" s="259"/>
      <c r="TGR65" s="288"/>
      <c r="TGS65" s="288"/>
      <c r="TGT65" s="288"/>
      <c r="TGU65" s="288"/>
      <c r="TGV65" s="288"/>
      <c r="TGW65" s="288"/>
      <c r="TGX65" s="288"/>
      <c r="TGY65" s="288"/>
      <c r="TGZ65" s="288"/>
      <c r="THA65" s="124"/>
      <c r="THB65" s="259"/>
      <c r="THC65" s="259"/>
      <c r="THD65" s="259"/>
      <c r="THE65" s="288"/>
      <c r="THF65" s="288"/>
      <c r="THG65" s="288"/>
      <c r="THH65" s="288"/>
      <c r="THI65" s="288"/>
      <c r="THJ65" s="288"/>
      <c r="THK65" s="288"/>
      <c r="THL65" s="288"/>
      <c r="THM65" s="288"/>
      <c r="THN65" s="124"/>
      <c r="THO65" s="259"/>
      <c r="THP65" s="259"/>
      <c r="THQ65" s="259"/>
      <c r="THR65" s="288"/>
      <c r="THS65" s="288"/>
      <c r="THT65" s="288"/>
      <c r="THU65" s="288"/>
      <c r="THV65" s="288"/>
      <c r="THW65" s="288"/>
      <c r="THX65" s="288"/>
      <c r="THY65" s="288"/>
      <c r="THZ65" s="288"/>
      <c r="TIA65" s="124"/>
      <c r="TIB65" s="259"/>
      <c r="TIC65" s="259"/>
      <c r="TID65" s="259"/>
      <c r="TIE65" s="288"/>
      <c r="TIF65" s="288"/>
      <c r="TIG65" s="288"/>
      <c r="TIH65" s="288"/>
      <c r="TII65" s="288"/>
      <c r="TIJ65" s="288"/>
      <c r="TIK65" s="288"/>
      <c r="TIL65" s="288"/>
      <c r="TIM65" s="288"/>
      <c r="TIN65" s="124"/>
      <c r="TIO65" s="259"/>
      <c r="TIP65" s="259"/>
      <c r="TIQ65" s="259"/>
      <c r="TIR65" s="288"/>
      <c r="TIS65" s="288"/>
      <c r="TIT65" s="288"/>
      <c r="TIU65" s="288"/>
      <c r="TIV65" s="288"/>
      <c r="TIW65" s="288"/>
      <c r="TIX65" s="288"/>
      <c r="TIY65" s="288"/>
      <c r="TIZ65" s="288"/>
      <c r="TJA65" s="124"/>
      <c r="TJB65" s="259"/>
      <c r="TJC65" s="259"/>
      <c r="TJD65" s="259"/>
      <c r="TJE65" s="288"/>
      <c r="TJF65" s="288"/>
      <c r="TJG65" s="288"/>
      <c r="TJH65" s="288"/>
      <c r="TJI65" s="288"/>
      <c r="TJJ65" s="288"/>
      <c r="TJK65" s="288"/>
      <c r="TJL65" s="288"/>
      <c r="TJM65" s="288"/>
      <c r="TJN65" s="124"/>
      <c r="TJO65" s="259"/>
      <c r="TJP65" s="259"/>
      <c r="TJQ65" s="259"/>
      <c r="TJR65" s="288"/>
      <c r="TJS65" s="288"/>
      <c r="TJT65" s="288"/>
      <c r="TJU65" s="288"/>
      <c r="TJV65" s="288"/>
      <c r="TJW65" s="288"/>
      <c r="TJX65" s="288"/>
      <c r="TJY65" s="288"/>
      <c r="TJZ65" s="288"/>
      <c r="TKA65" s="124"/>
      <c r="TKB65" s="259"/>
      <c r="TKC65" s="259"/>
      <c r="TKD65" s="259"/>
      <c r="TKE65" s="288"/>
      <c r="TKF65" s="288"/>
      <c r="TKG65" s="288"/>
      <c r="TKH65" s="288"/>
      <c r="TKI65" s="288"/>
      <c r="TKJ65" s="288"/>
      <c r="TKK65" s="288"/>
      <c r="TKL65" s="288"/>
      <c r="TKM65" s="288"/>
      <c r="TKN65" s="124"/>
      <c r="TKO65" s="259"/>
      <c r="TKP65" s="259"/>
      <c r="TKQ65" s="259"/>
      <c r="TKR65" s="288"/>
      <c r="TKS65" s="288"/>
      <c r="TKT65" s="288"/>
      <c r="TKU65" s="288"/>
      <c r="TKV65" s="288"/>
      <c r="TKW65" s="288"/>
      <c r="TKX65" s="288"/>
      <c r="TKY65" s="288"/>
      <c r="TKZ65" s="288"/>
      <c r="TLA65" s="124"/>
      <c r="TLB65" s="259"/>
      <c r="TLC65" s="259"/>
      <c r="TLD65" s="259"/>
      <c r="TLE65" s="288"/>
      <c r="TLF65" s="288"/>
      <c r="TLG65" s="288"/>
      <c r="TLH65" s="288"/>
      <c r="TLI65" s="288"/>
      <c r="TLJ65" s="288"/>
      <c r="TLK65" s="288"/>
      <c r="TLL65" s="288"/>
      <c r="TLM65" s="288"/>
      <c r="TLN65" s="124"/>
      <c r="TLO65" s="259"/>
      <c r="TLP65" s="259"/>
      <c r="TLQ65" s="259"/>
      <c r="TLR65" s="288"/>
      <c r="TLS65" s="288"/>
      <c r="TLT65" s="288"/>
      <c r="TLU65" s="288"/>
      <c r="TLV65" s="288"/>
      <c r="TLW65" s="288"/>
      <c r="TLX65" s="288"/>
      <c r="TLY65" s="288"/>
      <c r="TLZ65" s="288"/>
      <c r="TMA65" s="124"/>
      <c r="TMB65" s="259"/>
      <c r="TMC65" s="259"/>
      <c r="TMD65" s="259"/>
      <c r="TME65" s="288"/>
      <c r="TMF65" s="288"/>
      <c r="TMG65" s="288"/>
      <c r="TMH65" s="288"/>
      <c r="TMI65" s="288"/>
      <c r="TMJ65" s="288"/>
      <c r="TMK65" s="288"/>
      <c r="TML65" s="288"/>
      <c r="TMM65" s="288"/>
      <c r="TMN65" s="124"/>
      <c r="TMO65" s="259"/>
      <c r="TMP65" s="259"/>
      <c r="TMQ65" s="259"/>
      <c r="TMR65" s="288"/>
      <c r="TMS65" s="288"/>
      <c r="TMT65" s="288"/>
      <c r="TMU65" s="288"/>
      <c r="TMV65" s="288"/>
      <c r="TMW65" s="288"/>
      <c r="TMX65" s="288"/>
      <c r="TMY65" s="288"/>
      <c r="TMZ65" s="288"/>
      <c r="TNA65" s="124"/>
      <c r="TNB65" s="259"/>
      <c r="TNC65" s="259"/>
      <c r="TND65" s="259"/>
      <c r="TNE65" s="288"/>
      <c r="TNF65" s="288"/>
      <c r="TNG65" s="288"/>
      <c r="TNH65" s="288"/>
      <c r="TNI65" s="288"/>
      <c r="TNJ65" s="288"/>
      <c r="TNK65" s="288"/>
      <c r="TNL65" s="288"/>
      <c r="TNM65" s="288"/>
      <c r="TNN65" s="124"/>
      <c r="TNO65" s="259"/>
      <c r="TNP65" s="259"/>
      <c r="TNQ65" s="259"/>
      <c r="TNR65" s="288"/>
      <c r="TNS65" s="288"/>
      <c r="TNT65" s="288"/>
      <c r="TNU65" s="288"/>
      <c r="TNV65" s="288"/>
      <c r="TNW65" s="288"/>
      <c r="TNX65" s="288"/>
      <c r="TNY65" s="288"/>
      <c r="TNZ65" s="288"/>
      <c r="TOA65" s="124"/>
      <c r="TOB65" s="259"/>
      <c r="TOC65" s="259"/>
      <c r="TOD65" s="259"/>
      <c r="TOE65" s="288"/>
      <c r="TOF65" s="288"/>
      <c r="TOG65" s="288"/>
      <c r="TOH65" s="288"/>
      <c r="TOI65" s="288"/>
      <c r="TOJ65" s="288"/>
      <c r="TOK65" s="288"/>
      <c r="TOL65" s="288"/>
      <c r="TOM65" s="288"/>
      <c r="TON65" s="124"/>
      <c r="TOO65" s="259"/>
      <c r="TOP65" s="259"/>
      <c r="TOQ65" s="259"/>
      <c r="TOR65" s="288"/>
      <c r="TOS65" s="288"/>
      <c r="TOT65" s="288"/>
      <c r="TOU65" s="288"/>
      <c r="TOV65" s="288"/>
      <c r="TOW65" s="288"/>
      <c r="TOX65" s="288"/>
      <c r="TOY65" s="288"/>
      <c r="TOZ65" s="288"/>
      <c r="TPA65" s="124"/>
      <c r="TPB65" s="259"/>
      <c r="TPC65" s="259"/>
      <c r="TPD65" s="259"/>
      <c r="TPE65" s="288"/>
      <c r="TPF65" s="288"/>
      <c r="TPG65" s="288"/>
      <c r="TPH65" s="288"/>
      <c r="TPI65" s="288"/>
      <c r="TPJ65" s="288"/>
      <c r="TPK65" s="288"/>
      <c r="TPL65" s="288"/>
      <c r="TPM65" s="288"/>
      <c r="TPN65" s="124"/>
      <c r="TPO65" s="259"/>
      <c r="TPP65" s="259"/>
      <c r="TPQ65" s="259"/>
      <c r="TPR65" s="288"/>
      <c r="TPS65" s="288"/>
      <c r="TPT65" s="288"/>
      <c r="TPU65" s="288"/>
      <c r="TPV65" s="288"/>
      <c r="TPW65" s="288"/>
      <c r="TPX65" s="288"/>
      <c r="TPY65" s="288"/>
      <c r="TPZ65" s="288"/>
      <c r="TQA65" s="124"/>
      <c r="TQB65" s="259"/>
      <c r="TQC65" s="259"/>
      <c r="TQD65" s="259"/>
      <c r="TQE65" s="288"/>
      <c r="TQF65" s="288"/>
      <c r="TQG65" s="288"/>
      <c r="TQH65" s="288"/>
      <c r="TQI65" s="288"/>
      <c r="TQJ65" s="288"/>
      <c r="TQK65" s="288"/>
      <c r="TQL65" s="288"/>
      <c r="TQM65" s="288"/>
      <c r="TQN65" s="124"/>
      <c r="TQO65" s="259"/>
      <c r="TQP65" s="259"/>
      <c r="TQQ65" s="259"/>
      <c r="TQR65" s="288"/>
      <c r="TQS65" s="288"/>
      <c r="TQT65" s="288"/>
      <c r="TQU65" s="288"/>
      <c r="TQV65" s="288"/>
      <c r="TQW65" s="288"/>
      <c r="TQX65" s="288"/>
      <c r="TQY65" s="288"/>
      <c r="TQZ65" s="288"/>
      <c r="TRA65" s="124"/>
      <c r="TRB65" s="259"/>
      <c r="TRC65" s="259"/>
      <c r="TRD65" s="259"/>
      <c r="TRE65" s="288"/>
      <c r="TRF65" s="288"/>
      <c r="TRG65" s="288"/>
      <c r="TRH65" s="288"/>
      <c r="TRI65" s="288"/>
      <c r="TRJ65" s="288"/>
      <c r="TRK65" s="288"/>
      <c r="TRL65" s="288"/>
      <c r="TRM65" s="288"/>
      <c r="TRN65" s="124"/>
      <c r="TRO65" s="259"/>
      <c r="TRP65" s="259"/>
      <c r="TRQ65" s="259"/>
      <c r="TRR65" s="288"/>
      <c r="TRS65" s="288"/>
      <c r="TRT65" s="288"/>
      <c r="TRU65" s="288"/>
      <c r="TRV65" s="288"/>
      <c r="TRW65" s="288"/>
      <c r="TRX65" s="288"/>
      <c r="TRY65" s="288"/>
      <c r="TRZ65" s="288"/>
      <c r="TSA65" s="124"/>
      <c r="TSB65" s="259"/>
      <c r="TSC65" s="259"/>
      <c r="TSD65" s="259"/>
      <c r="TSE65" s="288"/>
      <c r="TSF65" s="288"/>
      <c r="TSG65" s="288"/>
      <c r="TSH65" s="288"/>
      <c r="TSI65" s="288"/>
      <c r="TSJ65" s="288"/>
      <c r="TSK65" s="288"/>
      <c r="TSL65" s="288"/>
      <c r="TSM65" s="288"/>
      <c r="TSN65" s="124"/>
      <c r="TSO65" s="259"/>
      <c r="TSP65" s="259"/>
      <c r="TSQ65" s="259"/>
      <c r="TSR65" s="288"/>
      <c r="TSS65" s="288"/>
      <c r="TST65" s="288"/>
      <c r="TSU65" s="288"/>
      <c r="TSV65" s="288"/>
      <c r="TSW65" s="288"/>
      <c r="TSX65" s="288"/>
      <c r="TSY65" s="288"/>
      <c r="TSZ65" s="288"/>
      <c r="TTA65" s="124"/>
      <c r="TTB65" s="259"/>
      <c r="TTC65" s="259"/>
      <c r="TTD65" s="259"/>
      <c r="TTE65" s="288"/>
      <c r="TTF65" s="288"/>
      <c r="TTG65" s="288"/>
      <c r="TTH65" s="288"/>
      <c r="TTI65" s="288"/>
      <c r="TTJ65" s="288"/>
      <c r="TTK65" s="288"/>
      <c r="TTL65" s="288"/>
      <c r="TTM65" s="288"/>
      <c r="TTN65" s="124"/>
      <c r="TTO65" s="259"/>
      <c r="TTP65" s="259"/>
      <c r="TTQ65" s="259"/>
      <c r="TTR65" s="288"/>
      <c r="TTS65" s="288"/>
      <c r="TTT65" s="288"/>
      <c r="TTU65" s="288"/>
      <c r="TTV65" s="288"/>
      <c r="TTW65" s="288"/>
      <c r="TTX65" s="288"/>
      <c r="TTY65" s="288"/>
      <c r="TTZ65" s="288"/>
      <c r="TUA65" s="124"/>
      <c r="TUB65" s="259"/>
      <c r="TUC65" s="259"/>
      <c r="TUD65" s="259"/>
      <c r="TUE65" s="288"/>
      <c r="TUF65" s="288"/>
      <c r="TUG65" s="288"/>
      <c r="TUH65" s="288"/>
      <c r="TUI65" s="288"/>
      <c r="TUJ65" s="288"/>
      <c r="TUK65" s="288"/>
      <c r="TUL65" s="288"/>
      <c r="TUM65" s="288"/>
      <c r="TUN65" s="124"/>
      <c r="TUO65" s="259"/>
      <c r="TUP65" s="259"/>
      <c r="TUQ65" s="259"/>
      <c r="TUR65" s="288"/>
      <c r="TUS65" s="288"/>
      <c r="TUT65" s="288"/>
      <c r="TUU65" s="288"/>
      <c r="TUV65" s="288"/>
      <c r="TUW65" s="288"/>
      <c r="TUX65" s="288"/>
      <c r="TUY65" s="288"/>
      <c r="TUZ65" s="288"/>
      <c r="TVA65" s="124"/>
      <c r="TVB65" s="259"/>
      <c r="TVC65" s="259"/>
      <c r="TVD65" s="259"/>
      <c r="TVE65" s="288"/>
      <c r="TVF65" s="288"/>
      <c r="TVG65" s="288"/>
      <c r="TVH65" s="288"/>
      <c r="TVI65" s="288"/>
      <c r="TVJ65" s="288"/>
      <c r="TVK65" s="288"/>
      <c r="TVL65" s="288"/>
      <c r="TVM65" s="288"/>
      <c r="TVN65" s="124"/>
      <c r="TVO65" s="259"/>
      <c r="TVP65" s="259"/>
      <c r="TVQ65" s="259"/>
      <c r="TVR65" s="288"/>
      <c r="TVS65" s="288"/>
      <c r="TVT65" s="288"/>
      <c r="TVU65" s="288"/>
      <c r="TVV65" s="288"/>
      <c r="TVW65" s="288"/>
      <c r="TVX65" s="288"/>
      <c r="TVY65" s="288"/>
      <c r="TVZ65" s="288"/>
      <c r="TWA65" s="124"/>
      <c r="TWB65" s="259"/>
      <c r="TWC65" s="259"/>
      <c r="TWD65" s="259"/>
      <c r="TWE65" s="288"/>
      <c r="TWF65" s="288"/>
      <c r="TWG65" s="288"/>
      <c r="TWH65" s="288"/>
      <c r="TWI65" s="288"/>
      <c r="TWJ65" s="288"/>
      <c r="TWK65" s="288"/>
      <c r="TWL65" s="288"/>
      <c r="TWM65" s="288"/>
      <c r="TWN65" s="124"/>
      <c r="TWO65" s="259"/>
      <c r="TWP65" s="259"/>
      <c r="TWQ65" s="259"/>
      <c r="TWR65" s="288"/>
      <c r="TWS65" s="288"/>
      <c r="TWT65" s="288"/>
      <c r="TWU65" s="288"/>
      <c r="TWV65" s="288"/>
      <c r="TWW65" s="288"/>
      <c r="TWX65" s="288"/>
      <c r="TWY65" s="288"/>
      <c r="TWZ65" s="288"/>
      <c r="TXA65" s="124"/>
      <c r="TXB65" s="259"/>
      <c r="TXC65" s="259"/>
      <c r="TXD65" s="259"/>
      <c r="TXE65" s="288"/>
      <c r="TXF65" s="288"/>
      <c r="TXG65" s="288"/>
      <c r="TXH65" s="288"/>
      <c r="TXI65" s="288"/>
      <c r="TXJ65" s="288"/>
      <c r="TXK65" s="288"/>
      <c r="TXL65" s="288"/>
      <c r="TXM65" s="288"/>
      <c r="TXN65" s="124"/>
      <c r="TXO65" s="259"/>
      <c r="TXP65" s="259"/>
      <c r="TXQ65" s="259"/>
      <c r="TXR65" s="288"/>
      <c r="TXS65" s="288"/>
      <c r="TXT65" s="288"/>
      <c r="TXU65" s="288"/>
      <c r="TXV65" s="288"/>
      <c r="TXW65" s="288"/>
      <c r="TXX65" s="288"/>
      <c r="TXY65" s="288"/>
      <c r="TXZ65" s="288"/>
      <c r="TYA65" s="124"/>
      <c r="TYB65" s="259"/>
      <c r="TYC65" s="259"/>
      <c r="TYD65" s="259"/>
      <c r="TYE65" s="288"/>
      <c r="TYF65" s="288"/>
      <c r="TYG65" s="288"/>
      <c r="TYH65" s="288"/>
      <c r="TYI65" s="288"/>
      <c r="TYJ65" s="288"/>
      <c r="TYK65" s="288"/>
      <c r="TYL65" s="288"/>
      <c r="TYM65" s="288"/>
      <c r="TYN65" s="124"/>
      <c r="TYO65" s="259"/>
      <c r="TYP65" s="259"/>
      <c r="TYQ65" s="259"/>
      <c r="TYR65" s="288"/>
      <c r="TYS65" s="288"/>
      <c r="TYT65" s="288"/>
      <c r="TYU65" s="288"/>
      <c r="TYV65" s="288"/>
      <c r="TYW65" s="288"/>
      <c r="TYX65" s="288"/>
      <c r="TYY65" s="288"/>
      <c r="TYZ65" s="288"/>
      <c r="TZA65" s="124"/>
      <c r="TZB65" s="259"/>
      <c r="TZC65" s="259"/>
      <c r="TZD65" s="259"/>
      <c r="TZE65" s="288"/>
      <c r="TZF65" s="288"/>
      <c r="TZG65" s="288"/>
      <c r="TZH65" s="288"/>
      <c r="TZI65" s="288"/>
      <c r="TZJ65" s="288"/>
      <c r="TZK65" s="288"/>
      <c r="TZL65" s="288"/>
      <c r="TZM65" s="288"/>
      <c r="TZN65" s="124"/>
      <c r="TZO65" s="259"/>
      <c r="TZP65" s="259"/>
      <c r="TZQ65" s="259"/>
      <c r="TZR65" s="288"/>
      <c r="TZS65" s="288"/>
      <c r="TZT65" s="288"/>
      <c r="TZU65" s="288"/>
      <c r="TZV65" s="288"/>
      <c r="TZW65" s="288"/>
      <c r="TZX65" s="288"/>
      <c r="TZY65" s="288"/>
      <c r="TZZ65" s="288"/>
      <c r="UAA65" s="124"/>
      <c r="UAB65" s="259"/>
      <c r="UAC65" s="259"/>
      <c r="UAD65" s="259"/>
      <c r="UAE65" s="288"/>
      <c r="UAF65" s="288"/>
      <c r="UAG65" s="288"/>
      <c r="UAH65" s="288"/>
      <c r="UAI65" s="288"/>
      <c r="UAJ65" s="288"/>
      <c r="UAK65" s="288"/>
      <c r="UAL65" s="288"/>
      <c r="UAM65" s="288"/>
      <c r="UAN65" s="124"/>
      <c r="UAO65" s="259"/>
      <c r="UAP65" s="259"/>
      <c r="UAQ65" s="259"/>
      <c r="UAR65" s="288"/>
      <c r="UAS65" s="288"/>
      <c r="UAT65" s="288"/>
      <c r="UAU65" s="288"/>
      <c r="UAV65" s="288"/>
      <c r="UAW65" s="288"/>
      <c r="UAX65" s="288"/>
      <c r="UAY65" s="288"/>
      <c r="UAZ65" s="288"/>
      <c r="UBA65" s="124"/>
      <c r="UBB65" s="259"/>
      <c r="UBC65" s="259"/>
      <c r="UBD65" s="259"/>
      <c r="UBE65" s="288"/>
      <c r="UBF65" s="288"/>
      <c r="UBG65" s="288"/>
      <c r="UBH65" s="288"/>
      <c r="UBI65" s="288"/>
      <c r="UBJ65" s="288"/>
      <c r="UBK65" s="288"/>
      <c r="UBL65" s="288"/>
      <c r="UBM65" s="288"/>
      <c r="UBN65" s="124"/>
      <c r="UBO65" s="259"/>
      <c r="UBP65" s="259"/>
      <c r="UBQ65" s="259"/>
      <c r="UBR65" s="288"/>
      <c r="UBS65" s="288"/>
      <c r="UBT65" s="288"/>
      <c r="UBU65" s="288"/>
      <c r="UBV65" s="288"/>
      <c r="UBW65" s="288"/>
      <c r="UBX65" s="288"/>
      <c r="UBY65" s="288"/>
      <c r="UBZ65" s="288"/>
      <c r="UCA65" s="124"/>
      <c r="UCB65" s="259"/>
      <c r="UCC65" s="259"/>
      <c r="UCD65" s="259"/>
      <c r="UCE65" s="288"/>
      <c r="UCF65" s="288"/>
      <c r="UCG65" s="288"/>
      <c r="UCH65" s="288"/>
      <c r="UCI65" s="288"/>
      <c r="UCJ65" s="288"/>
      <c r="UCK65" s="288"/>
      <c r="UCL65" s="288"/>
      <c r="UCM65" s="288"/>
      <c r="UCN65" s="124"/>
      <c r="UCO65" s="259"/>
      <c r="UCP65" s="259"/>
      <c r="UCQ65" s="259"/>
      <c r="UCR65" s="288"/>
      <c r="UCS65" s="288"/>
      <c r="UCT65" s="288"/>
      <c r="UCU65" s="288"/>
      <c r="UCV65" s="288"/>
      <c r="UCW65" s="288"/>
      <c r="UCX65" s="288"/>
      <c r="UCY65" s="288"/>
      <c r="UCZ65" s="288"/>
      <c r="UDA65" s="124"/>
      <c r="UDB65" s="259"/>
      <c r="UDC65" s="259"/>
      <c r="UDD65" s="259"/>
      <c r="UDE65" s="288"/>
      <c r="UDF65" s="288"/>
      <c r="UDG65" s="288"/>
      <c r="UDH65" s="288"/>
      <c r="UDI65" s="288"/>
      <c r="UDJ65" s="288"/>
      <c r="UDK65" s="288"/>
      <c r="UDL65" s="288"/>
      <c r="UDM65" s="288"/>
      <c r="UDN65" s="124"/>
      <c r="UDO65" s="259"/>
      <c r="UDP65" s="259"/>
      <c r="UDQ65" s="259"/>
      <c r="UDR65" s="288"/>
      <c r="UDS65" s="288"/>
      <c r="UDT65" s="288"/>
      <c r="UDU65" s="288"/>
      <c r="UDV65" s="288"/>
      <c r="UDW65" s="288"/>
      <c r="UDX65" s="288"/>
      <c r="UDY65" s="288"/>
      <c r="UDZ65" s="288"/>
      <c r="UEA65" s="124"/>
      <c r="UEB65" s="259"/>
      <c r="UEC65" s="259"/>
      <c r="UED65" s="259"/>
      <c r="UEE65" s="288"/>
      <c r="UEF65" s="288"/>
      <c r="UEG65" s="288"/>
      <c r="UEH65" s="288"/>
      <c r="UEI65" s="288"/>
      <c r="UEJ65" s="288"/>
      <c r="UEK65" s="288"/>
      <c r="UEL65" s="288"/>
      <c r="UEM65" s="288"/>
      <c r="UEN65" s="124"/>
      <c r="UEO65" s="259"/>
      <c r="UEP65" s="259"/>
      <c r="UEQ65" s="259"/>
      <c r="UER65" s="288"/>
      <c r="UES65" s="288"/>
      <c r="UET65" s="288"/>
      <c r="UEU65" s="288"/>
      <c r="UEV65" s="288"/>
      <c r="UEW65" s="288"/>
      <c r="UEX65" s="288"/>
      <c r="UEY65" s="288"/>
      <c r="UEZ65" s="288"/>
      <c r="UFA65" s="124"/>
      <c r="UFB65" s="259"/>
      <c r="UFC65" s="259"/>
      <c r="UFD65" s="259"/>
      <c r="UFE65" s="288"/>
      <c r="UFF65" s="288"/>
      <c r="UFG65" s="288"/>
      <c r="UFH65" s="288"/>
      <c r="UFI65" s="288"/>
      <c r="UFJ65" s="288"/>
      <c r="UFK65" s="288"/>
      <c r="UFL65" s="288"/>
      <c r="UFM65" s="288"/>
      <c r="UFN65" s="124"/>
      <c r="UFO65" s="259"/>
      <c r="UFP65" s="259"/>
      <c r="UFQ65" s="259"/>
      <c r="UFR65" s="288"/>
      <c r="UFS65" s="288"/>
      <c r="UFT65" s="288"/>
      <c r="UFU65" s="288"/>
      <c r="UFV65" s="288"/>
      <c r="UFW65" s="288"/>
      <c r="UFX65" s="288"/>
      <c r="UFY65" s="288"/>
      <c r="UFZ65" s="288"/>
      <c r="UGA65" s="124"/>
      <c r="UGB65" s="259"/>
      <c r="UGC65" s="259"/>
      <c r="UGD65" s="259"/>
      <c r="UGE65" s="288"/>
      <c r="UGF65" s="288"/>
      <c r="UGG65" s="288"/>
      <c r="UGH65" s="288"/>
      <c r="UGI65" s="288"/>
      <c r="UGJ65" s="288"/>
      <c r="UGK65" s="288"/>
      <c r="UGL65" s="288"/>
      <c r="UGM65" s="288"/>
      <c r="UGN65" s="124"/>
      <c r="UGO65" s="259"/>
      <c r="UGP65" s="259"/>
      <c r="UGQ65" s="259"/>
      <c r="UGR65" s="288"/>
      <c r="UGS65" s="288"/>
      <c r="UGT65" s="288"/>
      <c r="UGU65" s="288"/>
      <c r="UGV65" s="288"/>
      <c r="UGW65" s="288"/>
      <c r="UGX65" s="288"/>
      <c r="UGY65" s="288"/>
      <c r="UGZ65" s="288"/>
      <c r="UHA65" s="124"/>
      <c r="UHB65" s="259"/>
      <c r="UHC65" s="259"/>
      <c r="UHD65" s="259"/>
      <c r="UHE65" s="288"/>
      <c r="UHF65" s="288"/>
      <c r="UHG65" s="288"/>
      <c r="UHH65" s="288"/>
      <c r="UHI65" s="288"/>
      <c r="UHJ65" s="288"/>
      <c r="UHK65" s="288"/>
      <c r="UHL65" s="288"/>
      <c r="UHM65" s="288"/>
      <c r="UHN65" s="124"/>
      <c r="UHO65" s="259"/>
      <c r="UHP65" s="259"/>
      <c r="UHQ65" s="259"/>
      <c r="UHR65" s="288"/>
      <c r="UHS65" s="288"/>
      <c r="UHT65" s="288"/>
      <c r="UHU65" s="288"/>
      <c r="UHV65" s="288"/>
      <c r="UHW65" s="288"/>
      <c r="UHX65" s="288"/>
      <c r="UHY65" s="288"/>
      <c r="UHZ65" s="288"/>
      <c r="UIA65" s="124"/>
      <c r="UIB65" s="259"/>
      <c r="UIC65" s="259"/>
      <c r="UID65" s="259"/>
      <c r="UIE65" s="288"/>
      <c r="UIF65" s="288"/>
      <c r="UIG65" s="288"/>
      <c r="UIH65" s="288"/>
      <c r="UII65" s="288"/>
      <c r="UIJ65" s="288"/>
      <c r="UIK65" s="288"/>
      <c r="UIL65" s="288"/>
      <c r="UIM65" s="288"/>
      <c r="UIN65" s="124"/>
      <c r="UIO65" s="259"/>
      <c r="UIP65" s="259"/>
      <c r="UIQ65" s="259"/>
      <c r="UIR65" s="288"/>
      <c r="UIS65" s="288"/>
      <c r="UIT65" s="288"/>
      <c r="UIU65" s="288"/>
      <c r="UIV65" s="288"/>
      <c r="UIW65" s="288"/>
      <c r="UIX65" s="288"/>
      <c r="UIY65" s="288"/>
      <c r="UIZ65" s="288"/>
      <c r="UJA65" s="124"/>
      <c r="UJB65" s="259"/>
      <c r="UJC65" s="259"/>
      <c r="UJD65" s="259"/>
      <c r="UJE65" s="288"/>
      <c r="UJF65" s="288"/>
      <c r="UJG65" s="288"/>
      <c r="UJH65" s="288"/>
      <c r="UJI65" s="288"/>
      <c r="UJJ65" s="288"/>
      <c r="UJK65" s="288"/>
      <c r="UJL65" s="288"/>
      <c r="UJM65" s="288"/>
      <c r="UJN65" s="124"/>
      <c r="UJO65" s="259"/>
      <c r="UJP65" s="259"/>
      <c r="UJQ65" s="259"/>
      <c r="UJR65" s="288"/>
      <c r="UJS65" s="288"/>
      <c r="UJT65" s="288"/>
      <c r="UJU65" s="288"/>
      <c r="UJV65" s="288"/>
      <c r="UJW65" s="288"/>
      <c r="UJX65" s="288"/>
      <c r="UJY65" s="288"/>
      <c r="UJZ65" s="288"/>
      <c r="UKA65" s="124"/>
      <c r="UKB65" s="259"/>
      <c r="UKC65" s="259"/>
      <c r="UKD65" s="259"/>
      <c r="UKE65" s="288"/>
      <c r="UKF65" s="288"/>
      <c r="UKG65" s="288"/>
      <c r="UKH65" s="288"/>
      <c r="UKI65" s="288"/>
      <c r="UKJ65" s="288"/>
      <c r="UKK65" s="288"/>
      <c r="UKL65" s="288"/>
      <c r="UKM65" s="288"/>
      <c r="UKN65" s="124"/>
      <c r="UKO65" s="259"/>
      <c r="UKP65" s="259"/>
      <c r="UKQ65" s="259"/>
      <c r="UKR65" s="288"/>
      <c r="UKS65" s="288"/>
      <c r="UKT65" s="288"/>
      <c r="UKU65" s="288"/>
      <c r="UKV65" s="288"/>
      <c r="UKW65" s="288"/>
      <c r="UKX65" s="288"/>
      <c r="UKY65" s="288"/>
      <c r="UKZ65" s="288"/>
      <c r="ULA65" s="124"/>
      <c r="ULB65" s="259"/>
      <c r="ULC65" s="259"/>
      <c r="ULD65" s="259"/>
      <c r="ULE65" s="288"/>
      <c r="ULF65" s="288"/>
      <c r="ULG65" s="288"/>
      <c r="ULH65" s="288"/>
      <c r="ULI65" s="288"/>
      <c r="ULJ65" s="288"/>
      <c r="ULK65" s="288"/>
      <c r="ULL65" s="288"/>
      <c r="ULM65" s="288"/>
      <c r="ULN65" s="124"/>
      <c r="ULO65" s="259"/>
      <c r="ULP65" s="259"/>
      <c r="ULQ65" s="259"/>
      <c r="ULR65" s="288"/>
      <c r="ULS65" s="288"/>
      <c r="ULT65" s="288"/>
      <c r="ULU65" s="288"/>
      <c r="ULV65" s="288"/>
      <c r="ULW65" s="288"/>
      <c r="ULX65" s="288"/>
      <c r="ULY65" s="288"/>
      <c r="ULZ65" s="288"/>
      <c r="UMA65" s="124"/>
      <c r="UMB65" s="259"/>
      <c r="UMC65" s="259"/>
      <c r="UMD65" s="259"/>
      <c r="UME65" s="288"/>
      <c r="UMF65" s="288"/>
      <c r="UMG65" s="288"/>
      <c r="UMH65" s="288"/>
      <c r="UMI65" s="288"/>
      <c r="UMJ65" s="288"/>
      <c r="UMK65" s="288"/>
      <c r="UML65" s="288"/>
      <c r="UMM65" s="288"/>
      <c r="UMN65" s="124"/>
      <c r="UMO65" s="259"/>
      <c r="UMP65" s="259"/>
      <c r="UMQ65" s="259"/>
      <c r="UMR65" s="288"/>
      <c r="UMS65" s="288"/>
      <c r="UMT65" s="288"/>
      <c r="UMU65" s="288"/>
      <c r="UMV65" s="288"/>
      <c r="UMW65" s="288"/>
      <c r="UMX65" s="288"/>
      <c r="UMY65" s="288"/>
      <c r="UMZ65" s="288"/>
      <c r="UNA65" s="124"/>
      <c r="UNB65" s="259"/>
      <c r="UNC65" s="259"/>
      <c r="UND65" s="259"/>
      <c r="UNE65" s="288"/>
      <c r="UNF65" s="288"/>
      <c r="UNG65" s="288"/>
      <c r="UNH65" s="288"/>
      <c r="UNI65" s="288"/>
      <c r="UNJ65" s="288"/>
      <c r="UNK65" s="288"/>
      <c r="UNL65" s="288"/>
      <c r="UNM65" s="288"/>
      <c r="UNN65" s="124"/>
      <c r="UNO65" s="259"/>
      <c r="UNP65" s="259"/>
      <c r="UNQ65" s="259"/>
      <c r="UNR65" s="288"/>
      <c r="UNS65" s="288"/>
      <c r="UNT65" s="288"/>
      <c r="UNU65" s="288"/>
      <c r="UNV65" s="288"/>
      <c r="UNW65" s="288"/>
      <c r="UNX65" s="288"/>
      <c r="UNY65" s="288"/>
      <c r="UNZ65" s="288"/>
      <c r="UOA65" s="124"/>
      <c r="UOB65" s="259"/>
      <c r="UOC65" s="259"/>
      <c r="UOD65" s="259"/>
      <c r="UOE65" s="288"/>
      <c r="UOF65" s="288"/>
      <c r="UOG65" s="288"/>
      <c r="UOH65" s="288"/>
      <c r="UOI65" s="288"/>
      <c r="UOJ65" s="288"/>
      <c r="UOK65" s="288"/>
      <c r="UOL65" s="288"/>
      <c r="UOM65" s="288"/>
      <c r="UON65" s="124"/>
      <c r="UOO65" s="259"/>
      <c r="UOP65" s="259"/>
      <c r="UOQ65" s="259"/>
      <c r="UOR65" s="288"/>
      <c r="UOS65" s="288"/>
      <c r="UOT65" s="288"/>
      <c r="UOU65" s="288"/>
      <c r="UOV65" s="288"/>
      <c r="UOW65" s="288"/>
      <c r="UOX65" s="288"/>
      <c r="UOY65" s="288"/>
      <c r="UOZ65" s="288"/>
      <c r="UPA65" s="124"/>
      <c r="UPB65" s="259"/>
      <c r="UPC65" s="259"/>
      <c r="UPD65" s="259"/>
      <c r="UPE65" s="288"/>
      <c r="UPF65" s="288"/>
      <c r="UPG65" s="288"/>
      <c r="UPH65" s="288"/>
      <c r="UPI65" s="288"/>
      <c r="UPJ65" s="288"/>
      <c r="UPK65" s="288"/>
      <c r="UPL65" s="288"/>
      <c r="UPM65" s="288"/>
      <c r="UPN65" s="124"/>
      <c r="UPO65" s="259"/>
      <c r="UPP65" s="259"/>
      <c r="UPQ65" s="259"/>
      <c r="UPR65" s="288"/>
      <c r="UPS65" s="288"/>
      <c r="UPT65" s="288"/>
      <c r="UPU65" s="288"/>
      <c r="UPV65" s="288"/>
      <c r="UPW65" s="288"/>
      <c r="UPX65" s="288"/>
      <c r="UPY65" s="288"/>
      <c r="UPZ65" s="288"/>
      <c r="UQA65" s="124"/>
      <c r="UQB65" s="259"/>
      <c r="UQC65" s="259"/>
      <c r="UQD65" s="259"/>
      <c r="UQE65" s="288"/>
      <c r="UQF65" s="288"/>
      <c r="UQG65" s="288"/>
      <c r="UQH65" s="288"/>
      <c r="UQI65" s="288"/>
      <c r="UQJ65" s="288"/>
      <c r="UQK65" s="288"/>
      <c r="UQL65" s="288"/>
      <c r="UQM65" s="288"/>
      <c r="UQN65" s="124"/>
      <c r="UQO65" s="259"/>
      <c r="UQP65" s="259"/>
      <c r="UQQ65" s="259"/>
      <c r="UQR65" s="288"/>
      <c r="UQS65" s="288"/>
      <c r="UQT65" s="288"/>
      <c r="UQU65" s="288"/>
      <c r="UQV65" s="288"/>
      <c r="UQW65" s="288"/>
      <c r="UQX65" s="288"/>
      <c r="UQY65" s="288"/>
      <c r="UQZ65" s="288"/>
      <c r="URA65" s="124"/>
      <c r="URB65" s="259"/>
      <c r="URC65" s="259"/>
      <c r="URD65" s="259"/>
      <c r="URE65" s="288"/>
      <c r="URF65" s="288"/>
      <c r="URG65" s="288"/>
      <c r="URH65" s="288"/>
      <c r="URI65" s="288"/>
      <c r="URJ65" s="288"/>
      <c r="URK65" s="288"/>
      <c r="URL65" s="288"/>
      <c r="URM65" s="288"/>
      <c r="URN65" s="124"/>
      <c r="URO65" s="259"/>
      <c r="URP65" s="259"/>
      <c r="URQ65" s="259"/>
      <c r="URR65" s="288"/>
      <c r="URS65" s="288"/>
      <c r="URT65" s="288"/>
      <c r="URU65" s="288"/>
      <c r="URV65" s="288"/>
      <c r="URW65" s="288"/>
      <c r="URX65" s="288"/>
      <c r="URY65" s="288"/>
      <c r="URZ65" s="288"/>
      <c r="USA65" s="124"/>
      <c r="USB65" s="259"/>
      <c r="USC65" s="259"/>
      <c r="USD65" s="259"/>
      <c r="USE65" s="288"/>
      <c r="USF65" s="288"/>
      <c r="USG65" s="288"/>
      <c r="USH65" s="288"/>
      <c r="USI65" s="288"/>
      <c r="USJ65" s="288"/>
      <c r="USK65" s="288"/>
      <c r="USL65" s="288"/>
      <c r="USM65" s="288"/>
      <c r="USN65" s="124"/>
      <c r="USO65" s="259"/>
      <c r="USP65" s="259"/>
      <c r="USQ65" s="259"/>
      <c r="USR65" s="288"/>
      <c r="USS65" s="288"/>
      <c r="UST65" s="288"/>
      <c r="USU65" s="288"/>
      <c r="USV65" s="288"/>
      <c r="USW65" s="288"/>
      <c r="USX65" s="288"/>
      <c r="USY65" s="288"/>
      <c r="USZ65" s="288"/>
      <c r="UTA65" s="124"/>
      <c r="UTB65" s="259"/>
      <c r="UTC65" s="259"/>
      <c r="UTD65" s="259"/>
      <c r="UTE65" s="288"/>
      <c r="UTF65" s="288"/>
      <c r="UTG65" s="288"/>
      <c r="UTH65" s="288"/>
      <c r="UTI65" s="288"/>
      <c r="UTJ65" s="288"/>
      <c r="UTK65" s="288"/>
      <c r="UTL65" s="288"/>
      <c r="UTM65" s="288"/>
      <c r="UTN65" s="124"/>
      <c r="UTO65" s="259"/>
      <c r="UTP65" s="259"/>
      <c r="UTQ65" s="259"/>
      <c r="UTR65" s="288"/>
      <c r="UTS65" s="288"/>
      <c r="UTT65" s="288"/>
      <c r="UTU65" s="288"/>
      <c r="UTV65" s="288"/>
      <c r="UTW65" s="288"/>
      <c r="UTX65" s="288"/>
      <c r="UTY65" s="288"/>
      <c r="UTZ65" s="288"/>
      <c r="UUA65" s="124"/>
      <c r="UUB65" s="259"/>
      <c r="UUC65" s="259"/>
      <c r="UUD65" s="259"/>
      <c r="UUE65" s="288"/>
      <c r="UUF65" s="288"/>
      <c r="UUG65" s="288"/>
      <c r="UUH65" s="288"/>
      <c r="UUI65" s="288"/>
      <c r="UUJ65" s="288"/>
      <c r="UUK65" s="288"/>
      <c r="UUL65" s="288"/>
      <c r="UUM65" s="288"/>
      <c r="UUN65" s="124"/>
      <c r="UUO65" s="259"/>
      <c r="UUP65" s="259"/>
      <c r="UUQ65" s="259"/>
      <c r="UUR65" s="288"/>
      <c r="UUS65" s="288"/>
      <c r="UUT65" s="288"/>
      <c r="UUU65" s="288"/>
      <c r="UUV65" s="288"/>
      <c r="UUW65" s="288"/>
      <c r="UUX65" s="288"/>
      <c r="UUY65" s="288"/>
      <c r="UUZ65" s="288"/>
      <c r="UVA65" s="124"/>
      <c r="UVB65" s="259"/>
      <c r="UVC65" s="259"/>
      <c r="UVD65" s="259"/>
      <c r="UVE65" s="288"/>
      <c r="UVF65" s="288"/>
      <c r="UVG65" s="288"/>
      <c r="UVH65" s="288"/>
      <c r="UVI65" s="288"/>
      <c r="UVJ65" s="288"/>
      <c r="UVK65" s="288"/>
      <c r="UVL65" s="288"/>
      <c r="UVM65" s="288"/>
      <c r="UVN65" s="124"/>
      <c r="UVO65" s="259"/>
      <c r="UVP65" s="259"/>
      <c r="UVQ65" s="259"/>
      <c r="UVR65" s="288"/>
      <c r="UVS65" s="288"/>
      <c r="UVT65" s="288"/>
      <c r="UVU65" s="288"/>
      <c r="UVV65" s="288"/>
      <c r="UVW65" s="288"/>
      <c r="UVX65" s="288"/>
      <c r="UVY65" s="288"/>
      <c r="UVZ65" s="288"/>
      <c r="UWA65" s="124"/>
      <c r="UWB65" s="259"/>
      <c r="UWC65" s="259"/>
      <c r="UWD65" s="259"/>
      <c r="UWE65" s="288"/>
      <c r="UWF65" s="288"/>
      <c r="UWG65" s="288"/>
      <c r="UWH65" s="288"/>
      <c r="UWI65" s="288"/>
      <c r="UWJ65" s="288"/>
      <c r="UWK65" s="288"/>
      <c r="UWL65" s="288"/>
      <c r="UWM65" s="288"/>
      <c r="UWN65" s="124"/>
      <c r="UWO65" s="259"/>
      <c r="UWP65" s="259"/>
      <c r="UWQ65" s="259"/>
      <c r="UWR65" s="288"/>
      <c r="UWS65" s="288"/>
      <c r="UWT65" s="288"/>
      <c r="UWU65" s="288"/>
      <c r="UWV65" s="288"/>
      <c r="UWW65" s="288"/>
      <c r="UWX65" s="288"/>
      <c r="UWY65" s="288"/>
      <c r="UWZ65" s="288"/>
      <c r="UXA65" s="124"/>
      <c r="UXB65" s="259"/>
      <c r="UXC65" s="259"/>
      <c r="UXD65" s="259"/>
      <c r="UXE65" s="288"/>
      <c r="UXF65" s="288"/>
      <c r="UXG65" s="288"/>
      <c r="UXH65" s="288"/>
      <c r="UXI65" s="288"/>
      <c r="UXJ65" s="288"/>
      <c r="UXK65" s="288"/>
      <c r="UXL65" s="288"/>
      <c r="UXM65" s="288"/>
      <c r="UXN65" s="124"/>
      <c r="UXO65" s="259"/>
      <c r="UXP65" s="259"/>
      <c r="UXQ65" s="259"/>
      <c r="UXR65" s="288"/>
      <c r="UXS65" s="288"/>
      <c r="UXT65" s="288"/>
      <c r="UXU65" s="288"/>
      <c r="UXV65" s="288"/>
      <c r="UXW65" s="288"/>
      <c r="UXX65" s="288"/>
      <c r="UXY65" s="288"/>
      <c r="UXZ65" s="288"/>
      <c r="UYA65" s="124"/>
      <c r="UYB65" s="259"/>
      <c r="UYC65" s="259"/>
      <c r="UYD65" s="259"/>
      <c r="UYE65" s="288"/>
      <c r="UYF65" s="288"/>
      <c r="UYG65" s="288"/>
      <c r="UYH65" s="288"/>
      <c r="UYI65" s="288"/>
      <c r="UYJ65" s="288"/>
      <c r="UYK65" s="288"/>
      <c r="UYL65" s="288"/>
      <c r="UYM65" s="288"/>
      <c r="UYN65" s="124"/>
      <c r="UYO65" s="259"/>
      <c r="UYP65" s="259"/>
      <c r="UYQ65" s="259"/>
      <c r="UYR65" s="288"/>
      <c r="UYS65" s="288"/>
      <c r="UYT65" s="288"/>
      <c r="UYU65" s="288"/>
      <c r="UYV65" s="288"/>
      <c r="UYW65" s="288"/>
      <c r="UYX65" s="288"/>
      <c r="UYY65" s="288"/>
      <c r="UYZ65" s="288"/>
      <c r="UZA65" s="124"/>
      <c r="UZB65" s="259"/>
      <c r="UZC65" s="259"/>
      <c r="UZD65" s="259"/>
      <c r="UZE65" s="288"/>
      <c r="UZF65" s="288"/>
      <c r="UZG65" s="288"/>
      <c r="UZH65" s="288"/>
      <c r="UZI65" s="288"/>
      <c r="UZJ65" s="288"/>
      <c r="UZK65" s="288"/>
      <c r="UZL65" s="288"/>
      <c r="UZM65" s="288"/>
      <c r="UZN65" s="124"/>
      <c r="UZO65" s="259"/>
      <c r="UZP65" s="259"/>
      <c r="UZQ65" s="259"/>
      <c r="UZR65" s="288"/>
      <c r="UZS65" s="288"/>
      <c r="UZT65" s="288"/>
      <c r="UZU65" s="288"/>
      <c r="UZV65" s="288"/>
      <c r="UZW65" s="288"/>
      <c r="UZX65" s="288"/>
      <c r="UZY65" s="288"/>
      <c r="UZZ65" s="288"/>
      <c r="VAA65" s="124"/>
      <c r="VAB65" s="259"/>
      <c r="VAC65" s="259"/>
      <c r="VAD65" s="259"/>
      <c r="VAE65" s="288"/>
      <c r="VAF65" s="288"/>
      <c r="VAG65" s="288"/>
      <c r="VAH65" s="288"/>
      <c r="VAI65" s="288"/>
      <c r="VAJ65" s="288"/>
      <c r="VAK65" s="288"/>
      <c r="VAL65" s="288"/>
      <c r="VAM65" s="288"/>
      <c r="VAN65" s="124"/>
      <c r="VAO65" s="259"/>
      <c r="VAP65" s="259"/>
      <c r="VAQ65" s="259"/>
      <c r="VAR65" s="288"/>
      <c r="VAS65" s="288"/>
      <c r="VAT65" s="288"/>
      <c r="VAU65" s="288"/>
      <c r="VAV65" s="288"/>
      <c r="VAW65" s="288"/>
      <c r="VAX65" s="288"/>
      <c r="VAY65" s="288"/>
      <c r="VAZ65" s="288"/>
      <c r="VBA65" s="124"/>
      <c r="VBB65" s="259"/>
      <c r="VBC65" s="259"/>
      <c r="VBD65" s="259"/>
      <c r="VBE65" s="288"/>
      <c r="VBF65" s="288"/>
      <c r="VBG65" s="288"/>
      <c r="VBH65" s="288"/>
      <c r="VBI65" s="288"/>
      <c r="VBJ65" s="288"/>
      <c r="VBK65" s="288"/>
      <c r="VBL65" s="288"/>
      <c r="VBM65" s="288"/>
      <c r="VBN65" s="124"/>
      <c r="VBO65" s="259"/>
      <c r="VBP65" s="259"/>
      <c r="VBQ65" s="259"/>
      <c r="VBR65" s="288"/>
      <c r="VBS65" s="288"/>
      <c r="VBT65" s="288"/>
      <c r="VBU65" s="288"/>
      <c r="VBV65" s="288"/>
      <c r="VBW65" s="288"/>
      <c r="VBX65" s="288"/>
      <c r="VBY65" s="288"/>
      <c r="VBZ65" s="288"/>
      <c r="VCA65" s="124"/>
      <c r="VCB65" s="259"/>
      <c r="VCC65" s="259"/>
      <c r="VCD65" s="259"/>
      <c r="VCE65" s="288"/>
      <c r="VCF65" s="288"/>
      <c r="VCG65" s="288"/>
      <c r="VCH65" s="288"/>
      <c r="VCI65" s="288"/>
      <c r="VCJ65" s="288"/>
      <c r="VCK65" s="288"/>
      <c r="VCL65" s="288"/>
      <c r="VCM65" s="288"/>
      <c r="VCN65" s="124"/>
      <c r="VCO65" s="259"/>
      <c r="VCP65" s="259"/>
      <c r="VCQ65" s="259"/>
      <c r="VCR65" s="288"/>
      <c r="VCS65" s="288"/>
      <c r="VCT65" s="288"/>
      <c r="VCU65" s="288"/>
      <c r="VCV65" s="288"/>
      <c r="VCW65" s="288"/>
      <c r="VCX65" s="288"/>
      <c r="VCY65" s="288"/>
      <c r="VCZ65" s="288"/>
      <c r="VDA65" s="124"/>
      <c r="VDB65" s="259"/>
      <c r="VDC65" s="259"/>
      <c r="VDD65" s="259"/>
      <c r="VDE65" s="288"/>
      <c r="VDF65" s="288"/>
      <c r="VDG65" s="288"/>
      <c r="VDH65" s="288"/>
      <c r="VDI65" s="288"/>
      <c r="VDJ65" s="288"/>
      <c r="VDK65" s="288"/>
      <c r="VDL65" s="288"/>
      <c r="VDM65" s="288"/>
      <c r="VDN65" s="124"/>
      <c r="VDO65" s="259"/>
      <c r="VDP65" s="259"/>
      <c r="VDQ65" s="259"/>
      <c r="VDR65" s="288"/>
      <c r="VDS65" s="288"/>
      <c r="VDT65" s="288"/>
      <c r="VDU65" s="288"/>
      <c r="VDV65" s="288"/>
      <c r="VDW65" s="288"/>
      <c r="VDX65" s="288"/>
      <c r="VDY65" s="288"/>
      <c r="VDZ65" s="288"/>
      <c r="VEA65" s="124"/>
      <c r="VEB65" s="259"/>
      <c r="VEC65" s="259"/>
      <c r="VED65" s="259"/>
      <c r="VEE65" s="288"/>
      <c r="VEF65" s="288"/>
      <c r="VEG65" s="288"/>
      <c r="VEH65" s="288"/>
      <c r="VEI65" s="288"/>
      <c r="VEJ65" s="288"/>
      <c r="VEK65" s="288"/>
      <c r="VEL65" s="288"/>
      <c r="VEM65" s="288"/>
      <c r="VEN65" s="124"/>
      <c r="VEO65" s="259"/>
      <c r="VEP65" s="259"/>
      <c r="VEQ65" s="259"/>
      <c r="VER65" s="288"/>
      <c r="VES65" s="288"/>
      <c r="VET65" s="288"/>
      <c r="VEU65" s="288"/>
      <c r="VEV65" s="288"/>
      <c r="VEW65" s="288"/>
      <c r="VEX65" s="288"/>
      <c r="VEY65" s="288"/>
      <c r="VEZ65" s="288"/>
      <c r="VFA65" s="124"/>
      <c r="VFB65" s="259"/>
      <c r="VFC65" s="259"/>
      <c r="VFD65" s="259"/>
      <c r="VFE65" s="288"/>
      <c r="VFF65" s="288"/>
      <c r="VFG65" s="288"/>
      <c r="VFH65" s="288"/>
      <c r="VFI65" s="288"/>
      <c r="VFJ65" s="288"/>
      <c r="VFK65" s="288"/>
      <c r="VFL65" s="288"/>
      <c r="VFM65" s="288"/>
      <c r="VFN65" s="124"/>
      <c r="VFO65" s="259"/>
      <c r="VFP65" s="259"/>
      <c r="VFQ65" s="259"/>
      <c r="VFR65" s="288"/>
      <c r="VFS65" s="288"/>
      <c r="VFT65" s="288"/>
      <c r="VFU65" s="288"/>
      <c r="VFV65" s="288"/>
      <c r="VFW65" s="288"/>
      <c r="VFX65" s="288"/>
      <c r="VFY65" s="288"/>
      <c r="VFZ65" s="288"/>
      <c r="VGA65" s="124"/>
      <c r="VGB65" s="259"/>
      <c r="VGC65" s="259"/>
      <c r="VGD65" s="259"/>
      <c r="VGE65" s="288"/>
      <c r="VGF65" s="288"/>
      <c r="VGG65" s="288"/>
      <c r="VGH65" s="288"/>
      <c r="VGI65" s="288"/>
      <c r="VGJ65" s="288"/>
      <c r="VGK65" s="288"/>
      <c r="VGL65" s="288"/>
      <c r="VGM65" s="288"/>
      <c r="VGN65" s="124"/>
      <c r="VGO65" s="259"/>
      <c r="VGP65" s="259"/>
      <c r="VGQ65" s="259"/>
      <c r="VGR65" s="288"/>
      <c r="VGS65" s="288"/>
      <c r="VGT65" s="288"/>
      <c r="VGU65" s="288"/>
      <c r="VGV65" s="288"/>
      <c r="VGW65" s="288"/>
      <c r="VGX65" s="288"/>
      <c r="VGY65" s="288"/>
      <c r="VGZ65" s="288"/>
      <c r="VHA65" s="124"/>
      <c r="VHB65" s="259"/>
      <c r="VHC65" s="259"/>
      <c r="VHD65" s="259"/>
      <c r="VHE65" s="288"/>
      <c r="VHF65" s="288"/>
      <c r="VHG65" s="288"/>
      <c r="VHH65" s="288"/>
      <c r="VHI65" s="288"/>
      <c r="VHJ65" s="288"/>
      <c r="VHK65" s="288"/>
      <c r="VHL65" s="288"/>
      <c r="VHM65" s="288"/>
      <c r="VHN65" s="124"/>
      <c r="VHO65" s="259"/>
      <c r="VHP65" s="259"/>
      <c r="VHQ65" s="259"/>
      <c r="VHR65" s="288"/>
      <c r="VHS65" s="288"/>
      <c r="VHT65" s="288"/>
      <c r="VHU65" s="288"/>
      <c r="VHV65" s="288"/>
      <c r="VHW65" s="288"/>
      <c r="VHX65" s="288"/>
      <c r="VHY65" s="288"/>
      <c r="VHZ65" s="288"/>
      <c r="VIA65" s="124"/>
      <c r="VIB65" s="259"/>
      <c r="VIC65" s="259"/>
      <c r="VID65" s="259"/>
      <c r="VIE65" s="288"/>
      <c r="VIF65" s="288"/>
      <c r="VIG65" s="288"/>
      <c r="VIH65" s="288"/>
      <c r="VII65" s="288"/>
      <c r="VIJ65" s="288"/>
      <c r="VIK65" s="288"/>
      <c r="VIL65" s="288"/>
      <c r="VIM65" s="288"/>
      <c r="VIN65" s="124"/>
      <c r="VIO65" s="259"/>
      <c r="VIP65" s="259"/>
      <c r="VIQ65" s="259"/>
      <c r="VIR65" s="288"/>
      <c r="VIS65" s="288"/>
      <c r="VIT65" s="288"/>
      <c r="VIU65" s="288"/>
      <c r="VIV65" s="288"/>
      <c r="VIW65" s="288"/>
      <c r="VIX65" s="288"/>
      <c r="VIY65" s="288"/>
      <c r="VIZ65" s="288"/>
      <c r="VJA65" s="124"/>
      <c r="VJB65" s="259"/>
      <c r="VJC65" s="259"/>
      <c r="VJD65" s="259"/>
      <c r="VJE65" s="288"/>
      <c r="VJF65" s="288"/>
      <c r="VJG65" s="288"/>
      <c r="VJH65" s="288"/>
      <c r="VJI65" s="288"/>
      <c r="VJJ65" s="288"/>
      <c r="VJK65" s="288"/>
      <c r="VJL65" s="288"/>
      <c r="VJM65" s="288"/>
      <c r="VJN65" s="124"/>
      <c r="VJO65" s="259"/>
      <c r="VJP65" s="259"/>
      <c r="VJQ65" s="259"/>
      <c r="VJR65" s="288"/>
      <c r="VJS65" s="288"/>
      <c r="VJT65" s="288"/>
      <c r="VJU65" s="288"/>
      <c r="VJV65" s="288"/>
      <c r="VJW65" s="288"/>
      <c r="VJX65" s="288"/>
      <c r="VJY65" s="288"/>
      <c r="VJZ65" s="288"/>
      <c r="VKA65" s="124"/>
      <c r="VKB65" s="259"/>
      <c r="VKC65" s="259"/>
      <c r="VKD65" s="259"/>
      <c r="VKE65" s="288"/>
      <c r="VKF65" s="288"/>
      <c r="VKG65" s="288"/>
      <c r="VKH65" s="288"/>
      <c r="VKI65" s="288"/>
      <c r="VKJ65" s="288"/>
      <c r="VKK65" s="288"/>
      <c r="VKL65" s="288"/>
      <c r="VKM65" s="288"/>
      <c r="VKN65" s="124"/>
      <c r="VKO65" s="259"/>
      <c r="VKP65" s="259"/>
      <c r="VKQ65" s="259"/>
      <c r="VKR65" s="288"/>
      <c r="VKS65" s="288"/>
      <c r="VKT65" s="288"/>
      <c r="VKU65" s="288"/>
      <c r="VKV65" s="288"/>
      <c r="VKW65" s="288"/>
      <c r="VKX65" s="288"/>
      <c r="VKY65" s="288"/>
      <c r="VKZ65" s="288"/>
      <c r="VLA65" s="124"/>
      <c r="VLB65" s="259"/>
      <c r="VLC65" s="259"/>
      <c r="VLD65" s="259"/>
      <c r="VLE65" s="288"/>
      <c r="VLF65" s="288"/>
      <c r="VLG65" s="288"/>
      <c r="VLH65" s="288"/>
      <c r="VLI65" s="288"/>
      <c r="VLJ65" s="288"/>
      <c r="VLK65" s="288"/>
      <c r="VLL65" s="288"/>
      <c r="VLM65" s="288"/>
      <c r="VLN65" s="124"/>
      <c r="VLO65" s="259"/>
      <c r="VLP65" s="259"/>
      <c r="VLQ65" s="259"/>
      <c r="VLR65" s="288"/>
      <c r="VLS65" s="288"/>
      <c r="VLT65" s="288"/>
      <c r="VLU65" s="288"/>
      <c r="VLV65" s="288"/>
      <c r="VLW65" s="288"/>
      <c r="VLX65" s="288"/>
      <c r="VLY65" s="288"/>
      <c r="VLZ65" s="288"/>
      <c r="VMA65" s="124"/>
      <c r="VMB65" s="259"/>
      <c r="VMC65" s="259"/>
      <c r="VMD65" s="259"/>
      <c r="VME65" s="288"/>
      <c r="VMF65" s="288"/>
      <c r="VMG65" s="288"/>
      <c r="VMH65" s="288"/>
      <c r="VMI65" s="288"/>
      <c r="VMJ65" s="288"/>
      <c r="VMK65" s="288"/>
      <c r="VML65" s="288"/>
      <c r="VMM65" s="288"/>
      <c r="VMN65" s="124"/>
      <c r="VMO65" s="259"/>
      <c r="VMP65" s="259"/>
      <c r="VMQ65" s="259"/>
      <c r="VMR65" s="288"/>
      <c r="VMS65" s="288"/>
      <c r="VMT65" s="288"/>
      <c r="VMU65" s="288"/>
      <c r="VMV65" s="288"/>
      <c r="VMW65" s="288"/>
      <c r="VMX65" s="288"/>
      <c r="VMY65" s="288"/>
      <c r="VMZ65" s="288"/>
      <c r="VNA65" s="124"/>
      <c r="VNB65" s="259"/>
      <c r="VNC65" s="259"/>
      <c r="VND65" s="259"/>
      <c r="VNE65" s="288"/>
      <c r="VNF65" s="288"/>
      <c r="VNG65" s="288"/>
      <c r="VNH65" s="288"/>
      <c r="VNI65" s="288"/>
      <c r="VNJ65" s="288"/>
      <c r="VNK65" s="288"/>
      <c r="VNL65" s="288"/>
      <c r="VNM65" s="288"/>
      <c r="VNN65" s="124"/>
      <c r="VNO65" s="259"/>
      <c r="VNP65" s="259"/>
      <c r="VNQ65" s="259"/>
      <c r="VNR65" s="288"/>
      <c r="VNS65" s="288"/>
      <c r="VNT65" s="288"/>
      <c r="VNU65" s="288"/>
      <c r="VNV65" s="288"/>
      <c r="VNW65" s="288"/>
      <c r="VNX65" s="288"/>
      <c r="VNY65" s="288"/>
      <c r="VNZ65" s="288"/>
      <c r="VOA65" s="124"/>
      <c r="VOB65" s="259"/>
      <c r="VOC65" s="259"/>
      <c r="VOD65" s="259"/>
      <c r="VOE65" s="288"/>
      <c r="VOF65" s="288"/>
      <c r="VOG65" s="288"/>
      <c r="VOH65" s="288"/>
      <c r="VOI65" s="288"/>
      <c r="VOJ65" s="288"/>
      <c r="VOK65" s="288"/>
      <c r="VOL65" s="288"/>
      <c r="VOM65" s="288"/>
      <c r="VON65" s="124"/>
      <c r="VOO65" s="259"/>
      <c r="VOP65" s="259"/>
      <c r="VOQ65" s="259"/>
      <c r="VOR65" s="288"/>
      <c r="VOS65" s="288"/>
      <c r="VOT65" s="288"/>
      <c r="VOU65" s="288"/>
      <c r="VOV65" s="288"/>
      <c r="VOW65" s="288"/>
      <c r="VOX65" s="288"/>
      <c r="VOY65" s="288"/>
      <c r="VOZ65" s="288"/>
      <c r="VPA65" s="124"/>
      <c r="VPB65" s="259"/>
      <c r="VPC65" s="259"/>
      <c r="VPD65" s="259"/>
      <c r="VPE65" s="288"/>
      <c r="VPF65" s="288"/>
      <c r="VPG65" s="288"/>
      <c r="VPH65" s="288"/>
      <c r="VPI65" s="288"/>
      <c r="VPJ65" s="288"/>
      <c r="VPK65" s="288"/>
      <c r="VPL65" s="288"/>
      <c r="VPM65" s="288"/>
      <c r="VPN65" s="124"/>
      <c r="VPO65" s="259"/>
      <c r="VPP65" s="259"/>
      <c r="VPQ65" s="259"/>
      <c r="VPR65" s="288"/>
      <c r="VPS65" s="288"/>
      <c r="VPT65" s="288"/>
      <c r="VPU65" s="288"/>
      <c r="VPV65" s="288"/>
      <c r="VPW65" s="288"/>
      <c r="VPX65" s="288"/>
      <c r="VPY65" s="288"/>
      <c r="VPZ65" s="288"/>
      <c r="VQA65" s="124"/>
      <c r="VQB65" s="259"/>
      <c r="VQC65" s="259"/>
      <c r="VQD65" s="259"/>
      <c r="VQE65" s="288"/>
      <c r="VQF65" s="288"/>
      <c r="VQG65" s="288"/>
      <c r="VQH65" s="288"/>
      <c r="VQI65" s="288"/>
      <c r="VQJ65" s="288"/>
      <c r="VQK65" s="288"/>
      <c r="VQL65" s="288"/>
      <c r="VQM65" s="288"/>
      <c r="VQN65" s="124"/>
      <c r="VQO65" s="259"/>
      <c r="VQP65" s="259"/>
      <c r="VQQ65" s="259"/>
      <c r="VQR65" s="288"/>
      <c r="VQS65" s="288"/>
      <c r="VQT65" s="288"/>
      <c r="VQU65" s="288"/>
      <c r="VQV65" s="288"/>
      <c r="VQW65" s="288"/>
      <c r="VQX65" s="288"/>
      <c r="VQY65" s="288"/>
      <c r="VQZ65" s="288"/>
      <c r="VRA65" s="124"/>
      <c r="VRB65" s="259"/>
      <c r="VRC65" s="259"/>
      <c r="VRD65" s="259"/>
      <c r="VRE65" s="288"/>
      <c r="VRF65" s="288"/>
      <c r="VRG65" s="288"/>
      <c r="VRH65" s="288"/>
      <c r="VRI65" s="288"/>
      <c r="VRJ65" s="288"/>
      <c r="VRK65" s="288"/>
      <c r="VRL65" s="288"/>
      <c r="VRM65" s="288"/>
      <c r="VRN65" s="124"/>
      <c r="VRO65" s="259"/>
      <c r="VRP65" s="259"/>
      <c r="VRQ65" s="259"/>
      <c r="VRR65" s="288"/>
      <c r="VRS65" s="288"/>
      <c r="VRT65" s="288"/>
      <c r="VRU65" s="288"/>
      <c r="VRV65" s="288"/>
      <c r="VRW65" s="288"/>
      <c r="VRX65" s="288"/>
      <c r="VRY65" s="288"/>
      <c r="VRZ65" s="288"/>
      <c r="VSA65" s="124"/>
      <c r="VSB65" s="259"/>
      <c r="VSC65" s="259"/>
      <c r="VSD65" s="259"/>
      <c r="VSE65" s="288"/>
      <c r="VSF65" s="288"/>
      <c r="VSG65" s="288"/>
      <c r="VSH65" s="288"/>
      <c r="VSI65" s="288"/>
      <c r="VSJ65" s="288"/>
      <c r="VSK65" s="288"/>
      <c r="VSL65" s="288"/>
      <c r="VSM65" s="288"/>
      <c r="VSN65" s="124"/>
      <c r="VSO65" s="259"/>
      <c r="VSP65" s="259"/>
      <c r="VSQ65" s="259"/>
      <c r="VSR65" s="288"/>
      <c r="VSS65" s="288"/>
      <c r="VST65" s="288"/>
      <c r="VSU65" s="288"/>
      <c r="VSV65" s="288"/>
      <c r="VSW65" s="288"/>
      <c r="VSX65" s="288"/>
      <c r="VSY65" s="288"/>
      <c r="VSZ65" s="288"/>
      <c r="VTA65" s="124"/>
      <c r="VTB65" s="259"/>
      <c r="VTC65" s="259"/>
      <c r="VTD65" s="259"/>
      <c r="VTE65" s="288"/>
      <c r="VTF65" s="288"/>
      <c r="VTG65" s="288"/>
      <c r="VTH65" s="288"/>
      <c r="VTI65" s="288"/>
      <c r="VTJ65" s="288"/>
      <c r="VTK65" s="288"/>
      <c r="VTL65" s="288"/>
      <c r="VTM65" s="288"/>
      <c r="VTN65" s="124"/>
      <c r="VTO65" s="259"/>
      <c r="VTP65" s="259"/>
      <c r="VTQ65" s="259"/>
      <c r="VTR65" s="288"/>
      <c r="VTS65" s="288"/>
      <c r="VTT65" s="288"/>
      <c r="VTU65" s="288"/>
      <c r="VTV65" s="288"/>
      <c r="VTW65" s="288"/>
      <c r="VTX65" s="288"/>
      <c r="VTY65" s="288"/>
      <c r="VTZ65" s="288"/>
      <c r="VUA65" s="124"/>
      <c r="VUB65" s="259"/>
      <c r="VUC65" s="259"/>
      <c r="VUD65" s="259"/>
      <c r="VUE65" s="288"/>
      <c r="VUF65" s="288"/>
      <c r="VUG65" s="288"/>
      <c r="VUH65" s="288"/>
      <c r="VUI65" s="288"/>
      <c r="VUJ65" s="288"/>
      <c r="VUK65" s="288"/>
      <c r="VUL65" s="288"/>
      <c r="VUM65" s="288"/>
      <c r="VUN65" s="124"/>
      <c r="VUO65" s="259"/>
      <c r="VUP65" s="259"/>
      <c r="VUQ65" s="259"/>
      <c r="VUR65" s="288"/>
      <c r="VUS65" s="288"/>
      <c r="VUT65" s="288"/>
      <c r="VUU65" s="288"/>
      <c r="VUV65" s="288"/>
      <c r="VUW65" s="288"/>
      <c r="VUX65" s="288"/>
      <c r="VUY65" s="288"/>
      <c r="VUZ65" s="288"/>
      <c r="VVA65" s="124"/>
      <c r="VVB65" s="259"/>
      <c r="VVC65" s="259"/>
      <c r="VVD65" s="259"/>
      <c r="VVE65" s="288"/>
      <c r="VVF65" s="288"/>
      <c r="VVG65" s="288"/>
      <c r="VVH65" s="288"/>
      <c r="VVI65" s="288"/>
      <c r="VVJ65" s="288"/>
      <c r="VVK65" s="288"/>
      <c r="VVL65" s="288"/>
      <c r="VVM65" s="288"/>
      <c r="VVN65" s="124"/>
      <c r="VVO65" s="259"/>
      <c r="VVP65" s="259"/>
      <c r="VVQ65" s="259"/>
      <c r="VVR65" s="288"/>
      <c r="VVS65" s="288"/>
      <c r="VVT65" s="288"/>
      <c r="VVU65" s="288"/>
      <c r="VVV65" s="288"/>
      <c r="VVW65" s="288"/>
      <c r="VVX65" s="288"/>
      <c r="VVY65" s="288"/>
      <c r="VVZ65" s="288"/>
      <c r="VWA65" s="124"/>
      <c r="VWB65" s="259"/>
      <c r="VWC65" s="259"/>
      <c r="VWD65" s="259"/>
      <c r="VWE65" s="288"/>
      <c r="VWF65" s="288"/>
      <c r="VWG65" s="288"/>
      <c r="VWH65" s="288"/>
      <c r="VWI65" s="288"/>
      <c r="VWJ65" s="288"/>
      <c r="VWK65" s="288"/>
      <c r="VWL65" s="288"/>
      <c r="VWM65" s="288"/>
      <c r="VWN65" s="124"/>
      <c r="VWO65" s="259"/>
      <c r="VWP65" s="259"/>
      <c r="VWQ65" s="259"/>
      <c r="VWR65" s="288"/>
      <c r="VWS65" s="288"/>
      <c r="VWT65" s="288"/>
      <c r="VWU65" s="288"/>
      <c r="VWV65" s="288"/>
      <c r="VWW65" s="288"/>
      <c r="VWX65" s="288"/>
      <c r="VWY65" s="288"/>
      <c r="VWZ65" s="288"/>
      <c r="VXA65" s="124"/>
      <c r="VXB65" s="259"/>
      <c r="VXC65" s="259"/>
      <c r="VXD65" s="259"/>
      <c r="VXE65" s="288"/>
      <c r="VXF65" s="288"/>
      <c r="VXG65" s="288"/>
      <c r="VXH65" s="288"/>
      <c r="VXI65" s="288"/>
      <c r="VXJ65" s="288"/>
      <c r="VXK65" s="288"/>
      <c r="VXL65" s="288"/>
      <c r="VXM65" s="288"/>
      <c r="VXN65" s="124"/>
      <c r="VXO65" s="259"/>
      <c r="VXP65" s="259"/>
      <c r="VXQ65" s="259"/>
      <c r="VXR65" s="288"/>
      <c r="VXS65" s="288"/>
      <c r="VXT65" s="288"/>
      <c r="VXU65" s="288"/>
      <c r="VXV65" s="288"/>
      <c r="VXW65" s="288"/>
      <c r="VXX65" s="288"/>
      <c r="VXY65" s="288"/>
      <c r="VXZ65" s="288"/>
      <c r="VYA65" s="124"/>
      <c r="VYB65" s="259"/>
      <c r="VYC65" s="259"/>
      <c r="VYD65" s="259"/>
      <c r="VYE65" s="288"/>
      <c r="VYF65" s="288"/>
      <c r="VYG65" s="288"/>
      <c r="VYH65" s="288"/>
      <c r="VYI65" s="288"/>
      <c r="VYJ65" s="288"/>
      <c r="VYK65" s="288"/>
      <c r="VYL65" s="288"/>
      <c r="VYM65" s="288"/>
      <c r="VYN65" s="124"/>
      <c r="VYO65" s="259"/>
      <c r="VYP65" s="259"/>
      <c r="VYQ65" s="259"/>
      <c r="VYR65" s="288"/>
      <c r="VYS65" s="288"/>
      <c r="VYT65" s="288"/>
      <c r="VYU65" s="288"/>
      <c r="VYV65" s="288"/>
      <c r="VYW65" s="288"/>
      <c r="VYX65" s="288"/>
      <c r="VYY65" s="288"/>
      <c r="VYZ65" s="288"/>
      <c r="VZA65" s="124"/>
      <c r="VZB65" s="259"/>
      <c r="VZC65" s="259"/>
      <c r="VZD65" s="259"/>
      <c r="VZE65" s="288"/>
      <c r="VZF65" s="288"/>
      <c r="VZG65" s="288"/>
      <c r="VZH65" s="288"/>
      <c r="VZI65" s="288"/>
      <c r="VZJ65" s="288"/>
      <c r="VZK65" s="288"/>
      <c r="VZL65" s="288"/>
      <c r="VZM65" s="288"/>
      <c r="VZN65" s="124"/>
      <c r="VZO65" s="259"/>
      <c r="VZP65" s="259"/>
      <c r="VZQ65" s="259"/>
      <c r="VZR65" s="288"/>
      <c r="VZS65" s="288"/>
      <c r="VZT65" s="288"/>
      <c r="VZU65" s="288"/>
      <c r="VZV65" s="288"/>
      <c r="VZW65" s="288"/>
      <c r="VZX65" s="288"/>
      <c r="VZY65" s="288"/>
      <c r="VZZ65" s="288"/>
      <c r="WAA65" s="124"/>
      <c r="WAB65" s="259"/>
      <c r="WAC65" s="259"/>
      <c r="WAD65" s="259"/>
      <c r="WAE65" s="288"/>
      <c r="WAF65" s="288"/>
      <c r="WAG65" s="288"/>
      <c r="WAH65" s="288"/>
      <c r="WAI65" s="288"/>
      <c r="WAJ65" s="288"/>
      <c r="WAK65" s="288"/>
      <c r="WAL65" s="288"/>
      <c r="WAM65" s="288"/>
      <c r="WAN65" s="124"/>
      <c r="WAO65" s="259"/>
      <c r="WAP65" s="259"/>
      <c r="WAQ65" s="259"/>
      <c r="WAR65" s="288"/>
      <c r="WAS65" s="288"/>
      <c r="WAT65" s="288"/>
      <c r="WAU65" s="288"/>
      <c r="WAV65" s="288"/>
      <c r="WAW65" s="288"/>
      <c r="WAX65" s="288"/>
      <c r="WAY65" s="288"/>
      <c r="WAZ65" s="288"/>
      <c r="WBA65" s="124"/>
      <c r="WBB65" s="259"/>
      <c r="WBC65" s="259"/>
      <c r="WBD65" s="259"/>
      <c r="WBE65" s="288"/>
      <c r="WBF65" s="288"/>
      <c r="WBG65" s="288"/>
      <c r="WBH65" s="288"/>
      <c r="WBI65" s="288"/>
      <c r="WBJ65" s="288"/>
      <c r="WBK65" s="288"/>
      <c r="WBL65" s="288"/>
      <c r="WBM65" s="288"/>
      <c r="WBN65" s="124"/>
      <c r="WBO65" s="259"/>
      <c r="WBP65" s="259"/>
      <c r="WBQ65" s="259"/>
      <c r="WBR65" s="288"/>
      <c r="WBS65" s="288"/>
      <c r="WBT65" s="288"/>
      <c r="WBU65" s="288"/>
      <c r="WBV65" s="288"/>
      <c r="WBW65" s="288"/>
      <c r="WBX65" s="288"/>
      <c r="WBY65" s="288"/>
      <c r="WBZ65" s="288"/>
      <c r="WCA65" s="124"/>
      <c r="WCB65" s="259"/>
      <c r="WCC65" s="259"/>
      <c r="WCD65" s="259"/>
      <c r="WCE65" s="288"/>
      <c r="WCF65" s="288"/>
      <c r="WCG65" s="288"/>
      <c r="WCH65" s="288"/>
      <c r="WCI65" s="288"/>
      <c r="WCJ65" s="288"/>
      <c r="WCK65" s="288"/>
      <c r="WCL65" s="288"/>
      <c r="WCM65" s="288"/>
      <c r="WCN65" s="124"/>
      <c r="WCO65" s="259"/>
      <c r="WCP65" s="259"/>
      <c r="WCQ65" s="259"/>
      <c r="WCR65" s="288"/>
      <c r="WCS65" s="288"/>
      <c r="WCT65" s="288"/>
      <c r="WCU65" s="288"/>
      <c r="WCV65" s="288"/>
      <c r="WCW65" s="288"/>
      <c r="WCX65" s="288"/>
      <c r="WCY65" s="288"/>
      <c r="WCZ65" s="288"/>
      <c r="WDA65" s="124"/>
      <c r="WDB65" s="259"/>
      <c r="WDC65" s="259"/>
      <c r="WDD65" s="259"/>
      <c r="WDE65" s="288"/>
      <c r="WDF65" s="288"/>
      <c r="WDG65" s="288"/>
      <c r="WDH65" s="288"/>
      <c r="WDI65" s="288"/>
      <c r="WDJ65" s="288"/>
      <c r="WDK65" s="288"/>
      <c r="WDL65" s="288"/>
      <c r="WDM65" s="288"/>
      <c r="WDN65" s="124"/>
      <c r="WDO65" s="259"/>
      <c r="WDP65" s="259"/>
      <c r="WDQ65" s="259"/>
      <c r="WDR65" s="288"/>
      <c r="WDS65" s="288"/>
      <c r="WDT65" s="288"/>
      <c r="WDU65" s="288"/>
      <c r="WDV65" s="288"/>
      <c r="WDW65" s="288"/>
      <c r="WDX65" s="288"/>
      <c r="WDY65" s="288"/>
      <c r="WDZ65" s="288"/>
      <c r="WEA65" s="124"/>
      <c r="WEB65" s="259"/>
      <c r="WEC65" s="259"/>
      <c r="WED65" s="259"/>
      <c r="WEE65" s="288"/>
      <c r="WEF65" s="288"/>
      <c r="WEG65" s="288"/>
      <c r="WEH65" s="288"/>
      <c r="WEI65" s="288"/>
      <c r="WEJ65" s="288"/>
      <c r="WEK65" s="288"/>
      <c r="WEL65" s="288"/>
      <c r="WEM65" s="288"/>
      <c r="WEN65" s="124"/>
      <c r="WEO65" s="259"/>
      <c r="WEP65" s="259"/>
      <c r="WEQ65" s="259"/>
      <c r="WER65" s="288"/>
      <c r="WES65" s="288"/>
      <c r="WET65" s="288"/>
      <c r="WEU65" s="288"/>
      <c r="WEV65" s="288"/>
      <c r="WEW65" s="288"/>
      <c r="WEX65" s="288"/>
      <c r="WEY65" s="288"/>
      <c r="WEZ65" s="288"/>
      <c r="WFA65" s="124"/>
      <c r="WFB65" s="259"/>
      <c r="WFC65" s="259"/>
      <c r="WFD65" s="259"/>
      <c r="WFE65" s="288"/>
      <c r="WFF65" s="288"/>
      <c r="WFG65" s="288"/>
      <c r="WFH65" s="288"/>
      <c r="WFI65" s="288"/>
      <c r="WFJ65" s="288"/>
      <c r="WFK65" s="288"/>
      <c r="WFL65" s="288"/>
      <c r="WFM65" s="288"/>
      <c r="WFN65" s="124"/>
      <c r="WFO65" s="259"/>
      <c r="WFP65" s="259"/>
      <c r="WFQ65" s="259"/>
      <c r="WFR65" s="288"/>
      <c r="WFS65" s="288"/>
      <c r="WFT65" s="288"/>
      <c r="WFU65" s="288"/>
      <c r="WFV65" s="288"/>
      <c r="WFW65" s="288"/>
      <c r="WFX65" s="288"/>
      <c r="WFY65" s="288"/>
      <c r="WFZ65" s="288"/>
      <c r="WGA65" s="124"/>
      <c r="WGB65" s="259"/>
      <c r="WGC65" s="259"/>
      <c r="WGD65" s="259"/>
      <c r="WGE65" s="288"/>
      <c r="WGF65" s="288"/>
      <c r="WGG65" s="288"/>
      <c r="WGH65" s="288"/>
      <c r="WGI65" s="288"/>
      <c r="WGJ65" s="288"/>
      <c r="WGK65" s="288"/>
      <c r="WGL65" s="288"/>
      <c r="WGM65" s="288"/>
      <c r="WGN65" s="124"/>
      <c r="WGO65" s="259"/>
      <c r="WGP65" s="259"/>
      <c r="WGQ65" s="259"/>
      <c r="WGR65" s="288"/>
      <c r="WGS65" s="288"/>
      <c r="WGT65" s="288"/>
      <c r="WGU65" s="288"/>
      <c r="WGV65" s="288"/>
      <c r="WGW65" s="288"/>
      <c r="WGX65" s="288"/>
      <c r="WGY65" s="288"/>
      <c r="WGZ65" s="288"/>
      <c r="WHA65" s="124"/>
      <c r="WHB65" s="259"/>
      <c r="WHC65" s="259"/>
      <c r="WHD65" s="259"/>
      <c r="WHE65" s="288"/>
      <c r="WHF65" s="288"/>
      <c r="WHG65" s="288"/>
      <c r="WHH65" s="288"/>
      <c r="WHI65" s="288"/>
      <c r="WHJ65" s="288"/>
      <c r="WHK65" s="288"/>
      <c r="WHL65" s="288"/>
      <c r="WHM65" s="288"/>
      <c r="WHN65" s="124"/>
      <c r="WHO65" s="259"/>
      <c r="WHP65" s="259"/>
      <c r="WHQ65" s="259"/>
      <c r="WHR65" s="288"/>
      <c r="WHS65" s="288"/>
      <c r="WHT65" s="288"/>
      <c r="WHU65" s="288"/>
      <c r="WHV65" s="288"/>
      <c r="WHW65" s="288"/>
      <c r="WHX65" s="288"/>
      <c r="WHY65" s="288"/>
      <c r="WHZ65" s="288"/>
      <c r="WIA65" s="124"/>
      <c r="WIB65" s="259"/>
      <c r="WIC65" s="259"/>
      <c r="WID65" s="259"/>
      <c r="WIE65" s="288"/>
      <c r="WIF65" s="288"/>
      <c r="WIG65" s="288"/>
      <c r="WIH65" s="288"/>
      <c r="WII65" s="288"/>
      <c r="WIJ65" s="288"/>
      <c r="WIK65" s="288"/>
      <c r="WIL65" s="288"/>
      <c r="WIM65" s="288"/>
      <c r="WIN65" s="124"/>
      <c r="WIO65" s="259"/>
      <c r="WIP65" s="259"/>
      <c r="WIQ65" s="259"/>
      <c r="WIR65" s="288"/>
      <c r="WIS65" s="288"/>
      <c r="WIT65" s="288"/>
      <c r="WIU65" s="288"/>
      <c r="WIV65" s="288"/>
      <c r="WIW65" s="288"/>
      <c r="WIX65" s="288"/>
      <c r="WIY65" s="288"/>
      <c r="WIZ65" s="288"/>
      <c r="WJA65" s="124"/>
      <c r="WJB65" s="259"/>
      <c r="WJC65" s="259"/>
      <c r="WJD65" s="259"/>
      <c r="WJE65" s="288"/>
      <c r="WJF65" s="288"/>
      <c r="WJG65" s="288"/>
      <c r="WJH65" s="288"/>
      <c r="WJI65" s="288"/>
      <c r="WJJ65" s="288"/>
      <c r="WJK65" s="288"/>
      <c r="WJL65" s="288"/>
      <c r="WJM65" s="288"/>
      <c r="WJN65" s="124"/>
      <c r="WJO65" s="259"/>
      <c r="WJP65" s="259"/>
      <c r="WJQ65" s="259"/>
      <c r="WJR65" s="288"/>
      <c r="WJS65" s="288"/>
      <c r="WJT65" s="288"/>
      <c r="WJU65" s="288"/>
      <c r="WJV65" s="288"/>
      <c r="WJW65" s="288"/>
      <c r="WJX65" s="288"/>
      <c r="WJY65" s="288"/>
      <c r="WJZ65" s="288"/>
      <c r="WKA65" s="124"/>
      <c r="WKB65" s="259"/>
      <c r="WKC65" s="259"/>
      <c r="WKD65" s="259"/>
      <c r="WKE65" s="288"/>
      <c r="WKF65" s="288"/>
      <c r="WKG65" s="288"/>
      <c r="WKH65" s="288"/>
      <c r="WKI65" s="288"/>
      <c r="WKJ65" s="288"/>
      <c r="WKK65" s="288"/>
      <c r="WKL65" s="288"/>
      <c r="WKM65" s="288"/>
      <c r="WKN65" s="124"/>
      <c r="WKO65" s="259"/>
      <c r="WKP65" s="259"/>
      <c r="WKQ65" s="259"/>
      <c r="WKR65" s="288"/>
      <c r="WKS65" s="288"/>
      <c r="WKT65" s="288"/>
      <c r="WKU65" s="288"/>
      <c r="WKV65" s="288"/>
      <c r="WKW65" s="288"/>
      <c r="WKX65" s="288"/>
      <c r="WKY65" s="288"/>
      <c r="WKZ65" s="288"/>
      <c r="WLA65" s="124"/>
      <c r="WLB65" s="259"/>
      <c r="WLC65" s="259"/>
      <c r="WLD65" s="259"/>
      <c r="WLE65" s="288"/>
      <c r="WLF65" s="288"/>
      <c r="WLG65" s="288"/>
      <c r="WLH65" s="288"/>
      <c r="WLI65" s="288"/>
      <c r="WLJ65" s="288"/>
      <c r="WLK65" s="288"/>
      <c r="WLL65" s="288"/>
      <c r="WLM65" s="288"/>
      <c r="WLN65" s="124"/>
      <c r="WLO65" s="259"/>
      <c r="WLP65" s="259"/>
      <c r="WLQ65" s="259"/>
      <c r="WLR65" s="288"/>
      <c r="WLS65" s="288"/>
      <c r="WLT65" s="288"/>
      <c r="WLU65" s="288"/>
      <c r="WLV65" s="288"/>
      <c r="WLW65" s="288"/>
      <c r="WLX65" s="288"/>
      <c r="WLY65" s="288"/>
      <c r="WLZ65" s="288"/>
      <c r="WMA65" s="124"/>
      <c r="WMB65" s="259"/>
      <c r="WMC65" s="259"/>
      <c r="WMD65" s="259"/>
      <c r="WME65" s="288"/>
      <c r="WMF65" s="288"/>
      <c r="WMG65" s="288"/>
      <c r="WMH65" s="288"/>
      <c r="WMI65" s="288"/>
      <c r="WMJ65" s="288"/>
      <c r="WMK65" s="288"/>
      <c r="WML65" s="288"/>
      <c r="WMM65" s="288"/>
      <c r="WMN65" s="124"/>
      <c r="WMO65" s="259"/>
      <c r="WMP65" s="259"/>
      <c r="WMQ65" s="259"/>
      <c r="WMR65" s="288"/>
      <c r="WMS65" s="288"/>
      <c r="WMT65" s="288"/>
      <c r="WMU65" s="288"/>
      <c r="WMV65" s="288"/>
      <c r="WMW65" s="288"/>
      <c r="WMX65" s="288"/>
      <c r="WMY65" s="288"/>
      <c r="WMZ65" s="288"/>
      <c r="WNA65" s="124"/>
      <c r="WNB65" s="259"/>
      <c r="WNC65" s="259"/>
      <c r="WND65" s="259"/>
      <c r="WNE65" s="288"/>
      <c r="WNF65" s="288"/>
      <c r="WNG65" s="288"/>
      <c r="WNH65" s="288"/>
      <c r="WNI65" s="288"/>
      <c r="WNJ65" s="288"/>
      <c r="WNK65" s="288"/>
      <c r="WNL65" s="288"/>
      <c r="WNM65" s="288"/>
      <c r="WNN65" s="124"/>
      <c r="WNO65" s="259"/>
      <c r="WNP65" s="259"/>
      <c r="WNQ65" s="259"/>
      <c r="WNR65" s="288"/>
      <c r="WNS65" s="288"/>
      <c r="WNT65" s="288"/>
      <c r="WNU65" s="288"/>
      <c r="WNV65" s="288"/>
      <c r="WNW65" s="288"/>
      <c r="WNX65" s="288"/>
      <c r="WNY65" s="288"/>
      <c r="WNZ65" s="288"/>
      <c r="WOA65" s="124"/>
      <c r="WOB65" s="259"/>
      <c r="WOC65" s="259"/>
      <c r="WOD65" s="259"/>
      <c r="WOE65" s="288"/>
      <c r="WOF65" s="288"/>
      <c r="WOG65" s="288"/>
      <c r="WOH65" s="288"/>
      <c r="WOI65" s="288"/>
      <c r="WOJ65" s="288"/>
      <c r="WOK65" s="288"/>
      <c r="WOL65" s="288"/>
      <c r="WOM65" s="288"/>
      <c r="WON65" s="124"/>
      <c r="WOO65" s="259"/>
      <c r="WOP65" s="259"/>
      <c r="WOQ65" s="259"/>
      <c r="WOR65" s="288"/>
      <c r="WOS65" s="288"/>
      <c r="WOT65" s="288"/>
      <c r="WOU65" s="288"/>
      <c r="WOV65" s="288"/>
      <c r="WOW65" s="288"/>
      <c r="WOX65" s="288"/>
      <c r="WOY65" s="288"/>
      <c r="WOZ65" s="288"/>
      <c r="WPA65" s="124"/>
      <c r="WPB65" s="259"/>
      <c r="WPC65" s="259"/>
      <c r="WPD65" s="259"/>
      <c r="WPE65" s="288"/>
      <c r="WPF65" s="288"/>
      <c r="WPG65" s="288"/>
      <c r="WPH65" s="288"/>
      <c r="WPI65" s="288"/>
      <c r="WPJ65" s="288"/>
      <c r="WPK65" s="288"/>
      <c r="WPL65" s="288"/>
      <c r="WPM65" s="288"/>
      <c r="WPN65" s="124"/>
      <c r="WPO65" s="259"/>
      <c r="WPP65" s="259"/>
      <c r="WPQ65" s="259"/>
      <c r="WPR65" s="288"/>
      <c r="WPS65" s="288"/>
      <c r="WPT65" s="288"/>
      <c r="WPU65" s="288"/>
      <c r="WPV65" s="288"/>
      <c r="WPW65" s="288"/>
      <c r="WPX65" s="288"/>
      <c r="WPY65" s="288"/>
      <c r="WPZ65" s="288"/>
      <c r="WQA65" s="124"/>
      <c r="WQB65" s="259"/>
      <c r="WQC65" s="259"/>
      <c r="WQD65" s="259"/>
      <c r="WQE65" s="288"/>
      <c r="WQF65" s="288"/>
      <c r="WQG65" s="288"/>
      <c r="WQH65" s="288"/>
      <c r="WQI65" s="288"/>
      <c r="WQJ65" s="288"/>
      <c r="WQK65" s="288"/>
      <c r="WQL65" s="288"/>
      <c r="WQM65" s="288"/>
      <c r="WQN65" s="124"/>
      <c r="WQO65" s="259"/>
      <c r="WQP65" s="259"/>
      <c r="WQQ65" s="259"/>
      <c r="WQR65" s="288"/>
      <c r="WQS65" s="288"/>
      <c r="WQT65" s="288"/>
      <c r="WQU65" s="288"/>
      <c r="WQV65" s="288"/>
      <c r="WQW65" s="288"/>
      <c r="WQX65" s="288"/>
      <c r="WQY65" s="288"/>
      <c r="WQZ65" s="288"/>
      <c r="WRA65" s="124"/>
      <c r="WRB65" s="259"/>
      <c r="WRC65" s="259"/>
      <c r="WRD65" s="259"/>
      <c r="WRE65" s="288"/>
      <c r="WRF65" s="288"/>
      <c r="WRG65" s="288"/>
      <c r="WRH65" s="288"/>
      <c r="WRI65" s="288"/>
      <c r="WRJ65" s="288"/>
      <c r="WRK65" s="288"/>
      <c r="WRL65" s="288"/>
      <c r="WRM65" s="288"/>
      <c r="WRN65" s="124"/>
      <c r="WRO65" s="259"/>
      <c r="WRP65" s="259"/>
      <c r="WRQ65" s="259"/>
      <c r="WRR65" s="288"/>
      <c r="WRS65" s="288"/>
      <c r="WRT65" s="288"/>
      <c r="WRU65" s="288"/>
      <c r="WRV65" s="288"/>
      <c r="WRW65" s="288"/>
      <c r="WRX65" s="288"/>
      <c r="WRY65" s="288"/>
      <c r="WRZ65" s="288"/>
      <c r="WSA65" s="124"/>
      <c r="WSB65" s="259"/>
      <c r="WSC65" s="259"/>
      <c r="WSD65" s="259"/>
      <c r="WSE65" s="288"/>
      <c r="WSF65" s="288"/>
      <c r="WSG65" s="288"/>
      <c r="WSH65" s="288"/>
      <c r="WSI65" s="288"/>
      <c r="WSJ65" s="288"/>
      <c r="WSK65" s="288"/>
      <c r="WSL65" s="288"/>
      <c r="WSM65" s="288"/>
      <c r="WSN65" s="124"/>
      <c r="WSO65" s="259"/>
      <c r="WSP65" s="259"/>
      <c r="WSQ65" s="259"/>
      <c r="WSR65" s="288"/>
      <c r="WSS65" s="288"/>
      <c r="WST65" s="288"/>
      <c r="WSU65" s="288"/>
      <c r="WSV65" s="288"/>
      <c r="WSW65" s="288"/>
      <c r="WSX65" s="288"/>
      <c r="WSY65" s="288"/>
      <c r="WSZ65" s="288"/>
      <c r="WTA65" s="124"/>
      <c r="WTB65" s="259"/>
      <c r="WTC65" s="259"/>
      <c r="WTD65" s="259"/>
      <c r="WTE65" s="288"/>
      <c r="WTF65" s="288"/>
      <c r="WTG65" s="288"/>
      <c r="WTH65" s="288"/>
      <c r="WTI65" s="288"/>
      <c r="WTJ65" s="288"/>
      <c r="WTK65" s="288"/>
      <c r="WTL65" s="288"/>
      <c r="WTM65" s="288"/>
      <c r="WTN65" s="124"/>
      <c r="WTO65" s="259"/>
      <c r="WTP65" s="259"/>
      <c r="WTQ65" s="259"/>
      <c r="WTR65" s="288"/>
      <c r="WTS65" s="288"/>
      <c r="WTT65" s="288"/>
      <c r="WTU65" s="288"/>
      <c r="WTV65" s="288"/>
      <c r="WTW65" s="288"/>
      <c r="WTX65" s="288"/>
      <c r="WTY65" s="288"/>
      <c r="WTZ65" s="288"/>
      <c r="WUA65" s="124"/>
      <c r="WUB65" s="259"/>
      <c r="WUC65" s="259"/>
      <c r="WUD65" s="259"/>
      <c r="WUE65" s="288"/>
      <c r="WUF65" s="288"/>
      <c r="WUG65" s="288"/>
      <c r="WUH65" s="288"/>
      <c r="WUI65" s="288"/>
      <c r="WUJ65" s="288"/>
      <c r="WUK65" s="288"/>
      <c r="WUL65" s="288"/>
      <c r="WUM65" s="288"/>
      <c r="WUN65" s="124"/>
      <c r="WUO65" s="259"/>
      <c r="WUP65" s="259"/>
      <c r="WUQ65" s="259"/>
      <c r="WUR65" s="288"/>
      <c r="WUS65" s="288"/>
      <c r="WUT65" s="288"/>
      <c r="WUU65" s="288"/>
      <c r="WUV65" s="288"/>
      <c r="WUW65" s="288"/>
      <c r="WUX65" s="288"/>
      <c r="WUY65" s="288"/>
      <c r="WUZ65" s="288"/>
      <c r="WVA65" s="124"/>
      <c r="WVB65" s="259"/>
      <c r="WVC65" s="259"/>
      <c r="WVD65" s="259"/>
      <c r="WVE65" s="288"/>
      <c r="WVF65" s="288"/>
      <c r="WVG65" s="288"/>
      <c r="WVH65" s="288"/>
      <c r="WVI65" s="288"/>
      <c r="WVJ65" s="288"/>
      <c r="WVK65" s="288"/>
      <c r="WVL65" s="288"/>
      <c r="WVM65" s="288"/>
      <c r="WVN65" s="124"/>
      <c r="WVO65" s="259"/>
      <c r="WVP65" s="259"/>
      <c r="WVQ65" s="259"/>
      <c r="WVR65" s="288"/>
      <c r="WVS65" s="288"/>
      <c r="WVT65" s="288"/>
      <c r="WVU65" s="288"/>
      <c r="WVV65" s="288"/>
      <c r="WVW65" s="288"/>
      <c r="WVX65" s="288"/>
      <c r="WVY65" s="288"/>
      <c r="WVZ65" s="288"/>
      <c r="WWA65" s="124"/>
      <c r="WWB65" s="259"/>
      <c r="WWC65" s="259"/>
      <c r="WWD65" s="259"/>
      <c r="WWE65" s="288"/>
      <c r="WWF65" s="288"/>
      <c r="WWG65" s="288"/>
      <c r="WWH65" s="288"/>
      <c r="WWI65" s="288"/>
      <c r="WWJ65" s="288"/>
      <c r="WWK65" s="288"/>
      <c r="WWL65" s="288"/>
      <c r="WWM65" s="288"/>
      <c r="WWN65" s="124"/>
      <c r="WWO65" s="259"/>
      <c r="WWP65" s="259"/>
      <c r="WWQ65" s="259"/>
      <c r="WWR65" s="288"/>
      <c r="WWS65" s="288"/>
      <c r="WWT65" s="288"/>
      <c r="WWU65" s="288"/>
      <c r="WWV65" s="288"/>
      <c r="WWW65" s="288"/>
      <c r="WWX65" s="288"/>
      <c r="WWY65" s="288"/>
      <c r="WWZ65" s="288"/>
      <c r="WXA65" s="124"/>
      <c r="WXB65" s="259"/>
      <c r="WXC65" s="259"/>
      <c r="WXD65" s="259"/>
      <c r="WXE65" s="288"/>
      <c r="WXF65" s="288"/>
      <c r="WXG65" s="288"/>
      <c r="WXH65" s="288"/>
      <c r="WXI65" s="288"/>
      <c r="WXJ65" s="288"/>
      <c r="WXK65" s="288"/>
      <c r="WXL65" s="288"/>
      <c r="WXM65" s="288"/>
      <c r="WXN65" s="124"/>
      <c r="WXO65" s="259"/>
      <c r="WXP65" s="259"/>
      <c r="WXQ65" s="259"/>
      <c r="WXR65" s="288"/>
      <c r="WXS65" s="288"/>
      <c r="WXT65" s="288"/>
      <c r="WXU65" s="288"/>
      <c r="WXV65" s="288"/>
      <c r="WXW65" s="288"/>
      <c r="WXX65" s="288"/>
      <c r="WXY65" s="288"/>
      <c r="WXZ65" s="288"/>
      <c r="WYA65" s="124"/>
      <c r="WYB65" s="259"/>
      <c r="WYC65" s="259"/>
      <c r="WYD65" s="259"/>
      <c r="WYE65" s="288"/>
      <c r="WYF65" s="288"/>
      <c r="WYG65" s="288"/>
      <c r="WYH65" s="288"/>
      <c r="WYI65" s="288"/>
      <c r="WYJ65" s="288"/>
      <c r="WYK65" s="288"/>
      <c r="WYL65" s="288"/>
      <c r="WYM65" s="288"/>
      <c r="WYN65" s="124"/>
      <c r="WYO65" s="259"/>
      <c r="WYP65" s="259"/>
      <c r="WYQ65" s="259"/>
      <c r="WYR65" s="288"/>
      <c r="WYS65" s="288"/>
      <c r="WYT65" s="288"/>
      <c r="WYU65" s="288"/>
      <c r="WYV65" s="288"/>
      <c r="WYW65" s="288"/>
      <c r="WYX65" s="288"/>
      <c r="WYY65" s="288"/>
      <c r="WYZ65" s="288"/>
      <c r="WZA65" s="124"/>
      <c r="WZB65" s="259"/>
      <c r="WZC65" s="259"/>
      <c r="WZD65" s="259"/>
      <c r="WZE65" s="288"/>
      <c r="WZF65" s="288"/>
      <c r="WZG65" s="288"/>
      <c r="WZH65" s="288"/>
      <c r="WZI65" s="288"/>
      <c r="WZJ65" s="288"/>
      <c r="WZK65" s="288"/>
      <c r="WZL65" s="288"/>
      <c r="WZM65" s="288"/>
      <c r="WZN65" s="124"/>
      <c r="WZO65" s="259"/>
      <c r="WZP65" s="259"/>
      <c r="WZQ65" s="259"/>
      <c r="WZR65" s="288"/>
      <c r="WZS65" s="288"/>
      <c r="WZT65" s="288"/>
      <c r="WZU65" s="288"/>
      <c r="WZV65" s="288"/>
      <c r="WZW65" s="288"/>
      <c r="WZX65" s="288"/>
      <c r="WZY65" s="288"/>
      <c r="WZZ65" s="288"/>
      <c r="XAA65" s="124"/>
      <c r="XAB65" s="259"/>
      <c r="XAC65" s="259"/>
      <c r="XAD65" s="259"/>
      <c r="XAE65" s="288"/>
      <c r="XAF65" s="288"/>
      <c r="XAG65" s="288"/>
      <c r="XAH65" s="288"/>
      <c r="XAI65" s="288"/>
      <c r="XAJ65" s="288"/>
      <c r="XAK65" s="288"/>
      <c r="XAL65" s="288"/>
      <c r="XAM65" s="288"/>
      <c r="XAN65" s="124"/>
      <c r="XAO65" s="259"/>
      <c r="XAP65" s="259"/>
      <c r="XAQ65" s="259"/>
      <c r="XAR65" s="288"/>
      <c r="XAS65" s="288"/>
      <c r="XAT65" s="288"/>
      <c r="XAU65" s="288"/>
      <c r="XAV65" s="288"/>
      <c r="XAW65" s="288"/>
      <c r="XAX65" s="288"/>
      <c r="XAY65" s="288"/>
      <c r="XAZ65" s="288"/>
      <c r="XBA65" s="124"/>
      <c r="XBB65" s="259"/>
      <c r="XBC65" s="259"/>
      <c r="XBD65" s="259"/>
      <c r="XBE65" s="288"/>
      <c r="XBF65" s="288"/>
      <c r="XBG65" s="288"/>
      <c r="XBH65" s="288"/>
      <c r="XBI65" s="288"/>
      <c r="XBJ65" s="288"/>
      <c r="XBK65" s="288"/>
      <c r="XBL65" s="288"/>
      <c r="XBM65" s="288"/>
      <c r="XBN65" s="124"/>
      <c r="XBO65" s="259"/>
      <c r="XBP65" s="259"/>
      <c r="XBQ65" s="259"/>
      <c r="XBR65" s="288"/>
      <c r="XBS65" s="288"/>
      <c r="XBT65" s="288"/>
      <c r="XBU65" s="288"/>
      <c r="XBV65" s="288"/>
      <c r="XBW65" s="288"/>
      <c r="XBX65" s="288"/>
      <c r="XBY65" s="288"/>
      <c r="XBZ65" s="288"/>
      <c r="XCA65" s="124"/>
      <c r="XCB65" s="259"/>
      <c r="XCC65" s="259"/>
      <c r="XCD65" s="259"/>
      <c r="XCE65" s="288"/>
      <c r="XCF65" s="288"/>
      <c r="XCG65" s="288"/>
      <c r="XCH65" s="288"/>
      <c r="XCI65" s="288"/>
      <c r="XCJ65" s="288"/>
      <c r="XCK65" s="288"/>
      <c r="XCL65" s="288"/>
      <c r="XCM65" s="288"/>
      <c r="XCN65" s="124"/>
      <c r="XCO65" s="259"/>
      <c r="XCP65" s="259"/>
      <c r="XCQ65" s="259"/>
      <c r="XCR65" s="288"/>
      <c r="XCS65" s="288"/>
      <c r="XCT65" s="288"/>
      <c r="XCU65" s="288"/>
      <c r="XCV65" s="288"/>
      <c r="XCW65" s="288"/>
      <c r="XCX65" s="288"/>
      <c r="XCY65" s="288"/>
      <c r="XCZ65" s="288"/>
      <c r="XDA65" s="124"/>
      <c r="XDB65" s="259"/>
      <c r="XDC65" s="259"/>
      <c r="XDD65" s="259"/>
      <c r="XDE65" s="288"/>
      <c r="XDF65" s="288"/>
      <c r="XDG65" s="288"/>
      <c r="XDH65" s="288"/>
      <c r="XDI65" s="288"/>
      <c r="XDJ65" s="288"/>
      <c r="XDK65" s="288"/>
      <c r="XDL65" s="288"/>
      <c r="XDM65" s="288"/>
      <c r="XDN65" s="124"/>
      <c r="XDO65" s="259"/>
      <c r="XDP65" s="259"/>
      <c r="XDQ65" s="259"/>
      <c r="XDR65" s="288"/>
      <c r="XDS65" s="288"/>
      <c r="XDT65" s="288"/>
      <c r="XDU65" s="288"/>
      <c r="XDV65" s="288"/>
      <c r="XDW65" s="288"/>
      <c r="XDX65" s="288"/>
      <c r="XDY65" s="288"/>
      <c r="XDZ65" s="288"/>
      <c r="XEA65" s="124"/>
      <c r="XEB65" s="259"/>
      <c r="XEC65" s="259"/>
      <c r="XED65" s="259"/>
      <c r="XEE65" s="288"/>
      <c r="XEF65" s="288"/>
      <c r="XEG65" s="288"/>
      <c r="XEH65" s="288"/>
      <c r="XEI65" s="288"/>
      <c r="XEJ65" s="288"/>
      <c r="XEK65" s="288"/>
      <c r="XEL65" s="288"/>
      <c r="XEM65" s="288"/>
      <c r="XEN65" s="124"/>
      <c r="XEO65" s="259"/>
      <c r="XEP65" s="259"/>
      <c r="XEQ65" s="259"/>
      <c r="XER65" s="288"/>
      <c r="XES65" s="288"/>
      <c r="XET65" s="288"/>
      <c r="XEU65" s="288"/>
      <c r="XEV65" s="288"/>
      <c r="XEW65" s="288"/>
      <c r="XEX65" s="288"/>
      <c r="XEY65" s="288"/>
      <c r="XEZ65" s="288"/>
      <c r="XFA65" s="124"/>
      <c r="XFB65" s="259"/>
      <c r="XFC65" s="259"/>
      <c r="XFD65" s="259"/>
    </row>
    <row r="66" spans="1:16384" ht="15" customHeight="1" x14ac:dyDescent="0.3">
      <c r="A66" s="3"/>
      <c r="B66" s="248" t="s">
        <v>147</v>
      </c>
      <c r="C66" s="248"/>
      <c r="D66" s="248"/>
      <c r="E66" s="248"/>
      <c r="F66" s="248"/>
      <c r="G66" s="248"/>
      <c r="H66" s="248"/>
      <c r="I66" s="248"/>
      <c r="J66" s="248"/>
      <c r="K66" s="248"/>
      <c r="L66" s="248"/>
      <c r="M66" s="248"/>
    </row>
    <row r="67" spans="1:16384" ht="15" customHeight="1" x14ac:dyDescent="0.3">
      <c r="A67" s="3"/>
      <c r="B67" s="277" t="s">
        <v>135</v>
      </c>
      <c r="C67" s="277"/>
      <c r="D67" s="277"/>
      <c r="E67" s="277"/>
      <c r="F67" s="277"/>
      <c r="G67" s="277"/>
      <c r="H67" s="277"/>
      <c r="I67" s="277"/>
      <c r="J67" s="277"/>
      <c r="K67" s="277"/>
      <c r="L67" s="277"/>
      <c r="M67" s="277"/>
    </row>
    <row r="68" spans="1:16384" ht="15" customHeight="1" x14ac:dyDescent="0.3">
      <c r="A68" s="3"/>
      <c r="B68" s="248" t="s">
        <v>136</v>
      </c>
      <c r="C68" s="248"/>
      <c r="D68" s="248"/>
      <c r="E68" s="248"/>
      <c r="F68" s="248"/>
      <c r="G68" s="248"/>
      <c r="H68" s="248"/>
      <c r="I68" s="248"/>
      <c r="J68" s="248"/>
      <c r="K68" s="248"/>
      <c r="L68" s="248"/>
      <c r="M68" s="248"/>
    </row>
    <row r="69" spans="1:16384" ht="15" customHeight="1" x14ac:dyDescent="0.3">
      <c r="A69" s="3"/>
      <c r="B69" s="248" t="s">
        <v>79</v>
      </c>
      <c r="C69" s="248"/>
      <c r="D69" s="248"/>
      <c r="E69" s="248"/>
      <c r="F69" s="248"/>
      <c r="G69" s="248"/>
      <c r="H69" s="248"/>
      <c r="I69" s="248"/>
      <c r="J69" s="248"/>
      <c r="K69" s="248"/>
      <c r="L69" s="248"/>
      <c r="M69" s="248"/>
    </row>
    <row r="70" spans="1:16384" ht="15" customHeight="1" x14ac:dyDescent="0.3">
      <c r="A70" s="3"/>
      <c r="B70" s="248" t="s">
        <v>134</v>
      </c>
      <c r="C70" s="248"/>
      <c r="D70" s="248"/>
      <c r="E70" s="248"/>
      <c r="F70" s="248"/>
      <c r="G70" s="248"/>
      <c r="H70" s="248"/>
      <c r="I70" s="248"/>
      <c r="J70" s="248"/>
      <c r="K70" s="248"/>
      <c r="L70" s="248"/>
      <c r="M70" s="248"/>
    </row>
    <row r="71" spans="1:16384" x14ac:dyDescent="0.3">
      <c r="A71" s="3"/>
      <c r="B71" s="248"/>
      <c r="C71" s="248"/>
      <c r="D71" s="248"/>
      <c r="E71" s="248"/>
      <c r="F71" s="248"/>
      <c r="G71" s="248"/>
      <c r="H71" s="248"/>
      <c r="I71" s="248"/>
      <c r="J71" s="248"/>
      <c r="K71" s="248"/>
      <c r="L71" s="248"/>
      <c r="M71" s="248"/>
    </row>
    <row r="72" spans="1:16384" x14ac:dyDescent="0.3">
      <c r="A72" s="3"/>
      <c r="B72" s="248"/>
      <c r="C72" s="248"/>
      <c r="D72" s="248"/>
      <c r="E72" s="248"/>
      <c r="F72" s="248"/>
      <c r="G72" s="248"/>
      <c r="H72" s="248"/>
      <c r="I72" s="248"/>
      <c r="J72" s="248"/>
      <c r="K72" s="248"/>
      <c r="L72" s="248"/>
      <c r="M72" s="248"/>
    </row>
    <row r="73" spans="1:16384" x14ac:dyDescent="0.3">
      <c r="A73" s="3"/>
      <c r="B73" s="248"/>
      <c r="C73" s="248"/>
      <c r="D73" s="248"/>
      <c r="E73" s="248"/>
      <c r="F73" s="248"/>
      <c r="G73" s="248"/>
      <c r="H73" s="248"/>
      <c r="I73" s="248"/>
      <c r="J73" s="248"/>
      <c r="K73" s="248"/>
      <c r="L73" s="248"/>
      <c r="M73" s="248"/>
    </row>
    <row r="74" spans="1:16384" x14ac:dyDescent="0.3">
      <c r="A74" s="1"/>
      <c r="B74" s="248"/>
      <c r="C74" s="248"/>
      <c r="D74" s="248"/>
      <c r="E74" s="248"/>
      <c r="F74" s="248"/>
      <c r="G74" s="248"/>
      <c r="H74" s="248"/>
      <c r="I74" s="248"/>
      <c r="J74" s="248"/>
      <c r="K74" s="248"/>
      <c r="L74" s="248"/>
      <c r="M74" s="248"/>
    </row>
    <row r="75" spans="1:16384" x14ac:dyDescent="0.3">
      <c r="A75" s="1"/>
      <c r="B75" s="248"/>
      <c r="C75" s="248"/>
      <c r="D75" s="248"/>
      <c r="E75" s="248"/>
      <c r="F75" s="248"/>
      <c r="G75" s="248"/>
      <c r="H75" s="248"/>
      <c r="I75" s="248"/>
      <c r="J75" s="248"/>
      <c r="K75" s="248"/>
      <c r="L75" s="248"/>
      <c r="M75" s="248"/>
    </row>
    <row r="76" spans="1:16384" x14ac:dyDescent="0.3">
      <c r="A76" s="1"/>
      <c r="B76" s="248"/>
      <c r="C76" s="248"/>
      <c r="D76" s="248"/>
      <c r="E76" s="248"/>
      <c r="F76" s="248"/>
      <c r="G76" s="248"/>
      <c r="H76" s="248"/>
      <c r="I76" s="248"/>
      <c r="J76" s="248"/>
      <c r="K76" s="248"/>
      <c r="L76" s="248"/>
      <c r="M76" s="248"/>
    </row>
    <row r="77" spans="1:16384" x14ac:dyDescent="0.3">
      <c r="E77" s="248"/>
      <c r="F77" s="248"/>
      <c r="G77" s="248"/>
      <c r="H77" s="248"/>
      <c r="I77" s="248"/>
      <c r="J77" s="248"/>
      <c r="K77" s="248"/>
      <c r="L77" s="248"/>
      <c r="M77" s="248"/>
    </row>
    <row r="78" spans="1:16384" x14ac:dyDescent="0.3">
      <c r="E78" s="78"/>
      <c r="F78" s="78"/>
      <c r="G78" s="78"/>
      <c r="H78" s="78"/>
      <c r="I78" s="78"/>
      <c r="J78" s="78"/>
      <c r="K78" s="78"/>
      <c r="L78" s="78"/>
      <c r="M78" s="78"/>
    </row>
    <row r="79" spans="1:16384" x14ac:dyDescent="0.3">
      <c r="B79" s="284" t="s">
        <v>127</v>
      </c>
      <c r="C79" s="284"/>
      <c r="D79" s="284"/>
      <c r="E79" s="284"/>
    </row>
    <row r="80" spans="1:16384" ht="15" customHeight="1" x14ac:dyDescent="0.3">
      <c r="B80" s="81" t="s">
        <v>77</v>
      </c>
      <c r="C80" s="82" t="s">
        <v>98</v>
      </c>
      <c r="D80" s="285" t="s">
        <v>72</v>
      </c>
      <c r="E80" s="285"/>
    </row>
    <row r="81" spans="2:5" x14ac:dyDescent="0.3">
      <c r="B81" s="83"/>
      <c r="C81" s="84"/>
      <c r="D81" s="286"/>
      <c r="E81" s="286"/>
    </row>
    <row r="82" spans="2:5" ht="15" customHeight="1" x14ac:dyDescent="0.3">
      <c r="B82" s="81" t="s">
        <v>78</v>
      </c>
      <c r="C82" s="81" t="s">
        <v>124</v>
      </c>
      <c r="D82" s="285" t="s">
        <v>97</v>
      </c>
      <c r="E82" s="285"/>
    </row>
    <row r="83" spans="2:5" x14ac:dyDescent="0.3">
      <c r="B83" s="83"/>
      <c r="C83" s="83"/>
      <c r="D83" s="287"/>
      <c r="E83" s="287"/>
    </row>
    <row r="84" spans="2:5" x14ac:dyDescent="0.3">
      <c r="B84" s="284" t="s">
        <v>125</v>
      </c>
      <c r="C84" s="284"/>
      <c r="D84" s="284"/>
      <c r="E84" s="284"/>
    </row>
    <row r="85" spans="2:5" ht="28.8" x14ac:dyDescent="0.3">
      <c r="B85" s="81" t="s">
        <v>73</v>
      </c>
      <c r="C85" s="82" t="s">
        <v>85</v>
      </c>
      <c r="D85" s="82" t="s">
        <v>86</v>
      </c>
      <c r="E85" s="82" t="s">
        <v>87</v>
      </c>
    </row>
    <row r="86" spans="2:5" x14ac:dyDescent="0.3">
      <c r="B86" s="83"/>
      <c r="C86" s="109"/>
      <c r="D86" s="84"/>
      <c r="E86" s="84"/>
    </row>
    <row r="87" spans="2:5" ht="30.75" customHeight="1" x14ac:dyDescent="0.3">
      <c r="B87" s="85" t="s">
        <v>74</v>
      </c>
      <c r="C87" s="82" t="s">
        <v>88</v>
      </c>
      <c r="D87" s="82" t="s">
        <v>96</v>
      </c>
      <c r="E87" s="82" t="s">
        <v>75</v>
      </c>
    </row>
    <row r="88" spans="2:5" ht="15" customHeight="1" x14ac:dyDescent="0.3">
      <c r="B88" s="80"/>
      <c r="C88" s="86" t="e">
        <f>(C86/B88)</f>
        <v>#DIV/0!</v>
      </c>
      <c r="D88" s="87">
        <f>C86+D86</f>
        <v>0</v>
      </c>
      <c r="E88" s="88" t="e">
        <f>(D88/B88)</f>
        <v>#DIV/0!</v>
      </c>
    </row>
    <row r="89" spans="2:5" x14ac:dyDescent="0.3">
      <c r="B89" s="283" t="s">
        <v>126</v>
      </c>
      <c r="C89" s="283"/>
      <c r="D89" s="283"/>
      <c r="E89" s="283"/>
    </row>
    <row r="156" spans="26:26" x14ac:dyDescent="0.3">
      <c r="Z156" t="s">
        <v>107</v>
      </c>
    </row>
  </sheetData>
  <mergeCells count="2657">
    <mergeCell ref="XFB65:XFD65"/>
    <mergeCell ref="XCR65:XCZ65"/>
    <mergeCell ref="XDB65:XDD65"/>
    <mergeCell ref="XDE65:XDM65"/>
    <mergeCell ref="XDO65:XDQ65"/>
    <mergeCell ref="XDR65:XDZ65"/>
    <mergeCell ref="XEB65:XED65"/>
    <mergeCell ref="XEE65:XEM65"/>
    <mergeCell ref="XEO65:XEQ65"/>
    <mergeCell ref="XER65:XEZ65"/>
    <mergeCell ref="XAO65:XAQ65"/>
    <mergeCell ref="XAR65:XAZ65"/>
    <mergeCell ref="XBB65:XBD65"/>
    <mergeCell ref="XBE65:XBM65"/>
    <mergeCell ref="XBO65:XBQ65"/>
    <mergeCell ref="XBR65:XBZ65"/>
    <mergeCell ref="XCB65:XCD65"/>
    <mergeCell ref="XCE65:XCM65"/>
    <mergeCell ref="XCO65:XCQ65"/>
    <mergeCell ref="WYE65:WYM65"/>
    <mergeCell ref="WYO65:WYQ65"/>
    <mergeCell ref="WYR65:WYZ65"/>
    <mergeCell ref="WZB65:WZD65"/>
    <mergeCell ref="WZE65:WZM65"/>
    <mergeCell ref="WZO65:WZQ65"/>
    <mergeCell ref="WZR65:WZZ65"/>
    <mergeCell ref="XAB65:XAD65"/>
    <mergeCell ref="XAE65:XAM65"/>
    <mergeCell ref="WWB65:WWD65"/>
    <mergeCell ref="WWE65:WWM65"/>
    <mergeCell ref="WWO65:WWQ65"/>
    <mergeCell ref="WWR65:WWZ65"/>
    <mergeCell ref="WXB65:WXD65"/>
    <mergeCell ref="WXE65:WXM65"/>
    <mergeCell ref="WXO65:WXQ65"/>
    <mergeCell ref="WXR65:WXZ65"/>
    <mergeCell ref="WYB65:WYD65"/>
    <mergeCell ref="WTR65:WTZ65"/>
    <mergeCell ref="WUB65:WUD65"/>
    <mergeCell ref="WUE65:WUM65"/>
    <mergeCell ref="WUO65:WUQ65"/>
    <mergeCell ref="WUR65:WUZ65"/>
    <mergeCell ref="WVB65:WVD65"/>
    <mergeCell ref="WVE65:WVM65"/>
    <mergeCell ref="WVO65:WVQ65"/>
    <mergeCell ref="WVR65:WVZ65"/>
    <mergeCell ref="WRO65:WRQ65"/>
    <mergeCell ref="WRR65:WRZ65"/>
    <mergeCell ref="WSB65:WSD65"/>
    <mergeCell ref="WSE65:WSM65"/>
    <mergeCell ref="WSO65:WSQ65"/>
    <mergeCell ref="WSR65:WSZ65"/>
    <mergeCell ref="WTB65:WTD65"/>
    <mergeCell ref="WTE65:WTM65"/>
    <mergeCell ref="WTO65:WTQ65"/>
    <mergeCell ref="WPE65:WPM65"/>
    <mergeCell ref="WPO65:WPQ65"/>
    <mergeCell ref="WPR65:WPZ65"/>
    <mergeCell ref="WQB65:WQD65"/>
    <mergeCell ref="WQE65:WQM65"/>
    <mergeCell ref="WQO65:WQQ65"/>
    <mergeCell ref="WQR65:WQZ65"/>
    <mergeCell ref="WRB65:WRD65"/>
    <mergeCell ref="WRE65:WRM65"/>
    <mergeCell ref="WNB65:WND65"/>
    <mergeCell ref="WNE65:WNM65"/>
    <mergeCell ref="WNO65:WNQ65"/>
    <mergeCell ref="WNR65:WNZ65"/>
    <mergeCell ref="WOB65:WOD65"/>
    <mergeCell ref="WOE65:WOM65"/>
    <mergeCell ref="WOO65:WOQ65"/>
    <mergeCell ref="WOR65:WOZ65"/>
    <mergeCell ref="WPB65:WPD65"/>
    <mergeCell ref="WKR65:WKZ65"/>
    <mergeCell ref="WLB65:WLD65"/>
    <mergeCell ref="WLE65:WLM65"/>
    <mergeCell ref="WLO65:WLQ65"/>
    <mergeCell ref="WLR65:WLZ65"/>
    <mergeCell ref="WMB65:WMD65"/>
    <mergeCell ref="WME65:WMM65"/>
    <mergeCell ref="WMO65:WMQ65"/>
    <mergeCell ref="WMR65:WMZ65"/>
    <mergeCell ref="WIO65:WIQ65"/>
    <mergeCell ref="WIR65:WIZ65"/>
    <mergeCell ref="WJB65:WJD65"/>
    <mergeCell ref="WJE65:WJM65"/>
    <mergeCell ref="WJO65:WJQ65"/>
    <mergeCell ref="WJR65:WJZ65"/>
    <mergeCell ref="WKB65:WKD65"/>
    <mergeCell ref="WKE65:WKM65"/>
    <mergeCell ref="WKO65:WKQ65"/>
    <mergeCell ref="WGE65:WGM65"/>
    <mergeCell ref="WGO65:WGQ65"/>
    <mergeCell ref="WGR65:WGZ65"/>
    <mergeCell ref="WHB65:WHD65"/>
    <mergeCell ref="WHE65:WHM65"/>
    <mergeCell ref="WHO65:WHQ65"/>
    <mergeCell ref="WHR65:WHZ65"/>
    <mergeCell ref="WIB65:WID65"/>
    <mergeCell ref="WIE65:WIM65"/>
    <mergeCell ref="WEB65:WED65"/>
    <mergeCell ref="WEE65:WEM65"/>
    <mergeCell ref="WEO65:WEQ65"/>
    <mergeCell ref="WER65:WEZ65"/>
    <mergeCell ref="WFB65:WFD65"/>
    <mergeCell ref="WFE65:WFM65"/>
    <mergeCell ref="WFO65:WFQ65"/>
    <mergeCell ref="WFR65:WFZ65"/>
    <mergeCell ref="WGB65:WGD65"/>
    <mergeCell ref="WBR65:WBZ65"/>
    <mergeCell ref="WCB65:WCD65"/>
    <mergeCell ref="WCE65:WCM65"/>
    <mergeCell ref="WCO65:WCQ65"/>
    <mergeCell ref="WCR65:WCZ65"/>
    <mergeCell ref="WDB65:WDD65"/>
    <mergeCell ref="WDE65:WDM65"/>
    <mergeCell ref="WDO65:WDQ65"/>
    <mergeCell ref="WDR65:WDZ65"/>
    <mergeCell ref="VZO65:VZQ65"/>
    <mergeCell ref="VZR65:VZZ65"/>
    <mergeCell ref="WAB65:WAD65"/>
    <mergeCell ref="WAE65:WAM65"/>
    <mergeCell ref="WAO65:WAQ65"/>
    <mergeCell ref="WAR65:WAZ65"/>
    <mergeCell ref="WBB65:WBD65"/>
    <mergeCell ref="WBE65:WBM65"/>
    <mergeCell ref="WBO65:WBQ65"/>
    <mergeCell ref="VXE65:VXM65"/>
    <mergeCell ref="VXO65:VXQ65"/>
    <mergeCell ref="VXR65:VXZ65"/>
    <mergeCell ref="VYB65:VYD65"/>
    <mergeCell ref="VYE65:VYM65"/>
    <mergeCell ref="VYO65:VYQ65"/>
    <mergeCell ref="VYR65:VYZ65"/>
    <mergeCell ref="VZB65:VZD65"/>
    <mergeCell ref="VZE65:VZM65"/>
    <mergeCell ref="VVB65:VVD65"/>
    <mergeCell ref="VVE65:VVM65"/>
    <mergeCell ref="VVO65:VVQ65"/>
    <mergeCell ref="VVR65:VVZ65"/>
    <mergeCell ref="VWB65:VWD65"/>
    <mergeCell ref="VWE65:VWM65"/>
    <mergeCell ref="VWO65:VWQ65"/>
    <mergeCell ref="VWR65:VWZ65"/>
    <mergeCell ref="VXB65:VXD65"/>
    <mergeCell ref="VSR65:VSZ65"/>
    <mergeCell ref="VTB65:VTD65"/>
    <mergeCell ref="VTE65:VTM65"/>
    <mergeCell ref="VTO65:VTQ65"/>
    <mergeCell ref="VTR65:VTZ65"/>
    <mergeCell ref="VUB65:VUD65"/>
    <mergeCell ref="VUE65:VUM65"/>
    <mergeCell ref="VUO65:VUQ65"/>
    <mergeCell ref="VUR65:VUZ65"/>
    <mergeCell ref="VQO65:VQQ65"/>
    <mergeCell ref="VQR65:VQZ65"/>
    <mergeCell ref="VRB65:VRD65"/>
    <mergeCell ref="VRE65:VRM65"/>
    <mergeCell ref="VRO65:VRQ65"/>
    <mergeCell ref="VRR65:VRZ65"/>
    <mergeCell ref="VSB65:VSD65"/>
    <mergeCell ref="VSE65:VSM65"/>
    <mergeCell ref="VSO65:VSQ65"/>
    <mergeCell ref="VOE65:VOM65"/>
    <mergeCell ref="VOO65:VOQ65"/>
    <mergeCell ref="VOR65:VOZ65"/>
    <mergeCell ref="VPB65:VPD65"/>
    <mergeCell ref="VPE65:VPM65"/>
    <mergeCell ref="VPO65:VPQ65"/>
    <mergeCell ref="VPR65:VPZ65"/>
    <mergeCell ref="VQB65:VQD65"/>
    <mergeCell ref="VQE65:VQM65"/>
    <mergeCell ref="VMB65:VMD65"/>
    <mergeCell ref="VME65:VMM65"/>
    <mergeCell ref="VMO65:VMQ65"/>
    <mergeCell ref="VMR65:VMZ65"/>
    <mergeCell ref="VNB65:VND65"/>
    <mergeCell ref="VNE65:VNM65"/>
    <mergeCell ref="VNO65:VNQ65"/>
    <mergeCell ref="VNR65:VNZ65"/>
    <mergeCell ref="VOB65:VOD65"/>
    <mergeCell ref="VJR65:VJZ65"/>
    <mergeCell ref="VKB65:VKD65"/>
    <mergeCell ref="VKE65:VKM65"/>
    <mergeCell ref="VKO65:VKQ65"/>
    <mergeCell ref="VKR65:VKZ65"/>
    <mergeCell ref="VLB65:VLD65"/>
    <mergeCell ref="VLE65:VLM65"/>
    <mergeCell ref="VLO65:VLQ65"/>
    <mergeCell ref="VLR65:VLZ65"/>
    <mergeCell ref="VHO65:VHQ65"/>
    <mergeCell ref="VHR65:VHZ65"/>
    <mergeCell ref="VIB65:VID65"/>
    <mergeCell ref="VIE65:VIM65"/>
    <mergeCell ref="VIO65:VIQ65"/>
    <mergeCell ref="VIR65:VIZ65"/>
    <mergeCell ref="VJB65:VJD65"/>
    <mergeCell ref="VJE65:VJM65"/>
    <mergeCell ref="VJO65:VJQ65"/>
    <mergeCell ref="VFE65:VFM65"/>
    <mergeCell ref="VFO65:VFQ65"/>
    <mergeCell ref="VFR65:VFZ65"/>
    <mergeCell ref="VGB65:VGD65"/>
    <mergeCell ref="VGE65:VGM65"/>
    <mergeCell ref="VGO65:VGQ65"/>
    <mergeCell ref="VGR65:VGZ65"/>
    <mergeCell ref="VHB65:VHD65"/>
    <mergeCell ref="VHE65:VHM65"/>
    <mergeCell ref="VDB65:VDD65"/>
    <mergeCell ref="VDE65:VDM65"/>
    <mergeCell ref="VDO65:VDQ65"/>
    <mergeCell ref="VDR65:VDZ65"/>
    <mergeCell ref="VEB65:VED65"/>
    <mergeCell ref="VEE65:VEM65"/>
    <mergeCell ref="VEO65:VEQ65"/>
    <mergeCell ref="VER65:VEZ65"/>
    <mergeCell ref="VFB65:VFD65"/>
    <mergeCell ref="VAR65:VAZ65"/>
    <mergeCell ref="VBB65:VBD65"/>
    <mergeCell ref="VBE65:VBM65"/>
    <mergeCell ref="VBO65:VBQ65"/>
    <mergeCell ref="VBR65:VBZ65"/>
    <mergeCell ref="VCB65:VCD65"/>
    <mergeCell ref="VCE65:VCM65"/>
    <mergeCell ref="VCO65:VCQ65"/>
    <mergeCell ref="VCR65:VCZ65"/>
    <mergeCell ref="UYO65:UYQ65"/>
    <mergeCell ref="UYR65:UYZ65"/>
    <mergeCell ref="UZB65:UZD65"/>
    <mergeCell ref="UZE65:UZM65"/>
    <mergeCell ref="UZO65:UZQ65"/>
    <mergeCell ref="UZR65:UZZ65"/>
    <mergeCell ref="VAB65:VAD65"/>
    <mergeCell ref="VAE65:VAM65"/>
    <mergeCell ref="VAO65:VAQ65"/>
    <mergeCell ref="UWE65:UWM65"/>
    <mergeCell ref="UWO65:UWQ65"/>
    <mergeCell ref="UWR65:UWZ65"/>
    <mergeCell ref="UXB65:UXD65"/>
    <mergeCell ref="UXE65:UXM65"/>
    <mergeCell ref="UXO65:UXQ65"/>
    <mergeCell ref="UXR65:UXZ65"/>
    <mergeCell ref="UYB65:UYD65"/>
    <mergeCell ref="UYE65:UYM65"/>
    <mergeCell ref="UUB65:UUD65"/>
    <mergeCell ref="UUE65:UUM65"/>
    <mergeCell ref="UUO65:UUQ65"/>
    <mergeCell ref="UUR65:UUZ65"/>
    <mergeCell ref="UVB65:UVD65"/>
    <mergeCell ref="UVE65:UVM65"/>
    <mergeCell ref="UVO65:UVQ65"/>
    <mergeCell ref="UVR65:UVZ65"/>
    <mergeCell ref="UWB65:UWD65"/>
    <mergeCell ref="URR65:URZ65"/>
    <mergeCell ref="USB65:USD65"/>
    <mergeCell ref="USE65:USM65"/>
    <mergeCell ref="USO65:USQ65"/>
    <mergeCell ref="USR65:USZ65"/>
    <mergeCell ref="UTB65:UTD65"/>
    <mergeCell ref="UTE65:UTM65"/>
    <mergeCell ref="UTO65:UTQ65"/>
    <mergeCell ref="UTR65:UTZ65"/>
    <mergeCell ref="UPO65:UPQ65"/>
    <mergeCell ref="UPR65:UPZ65"/>
    <mergeCell ref="UQB65:UQD65"/>
    <mergeCell ref="UQE65:UQM65"/>
    <mergeCell ref="UQO65:UQQ65"/>
    <mergeCell ref="UQR65:UQZ65"/>
    <mergeCell ref="URB65:URD65"/>
    <mergeCell ref="URE65:URM65"/>
    <mergeCell ref="URO65:URQ65"/>
    <mergeCell ref="UNE65:UNM65"/>
    <mergeCell ref="UNO65:UNQ65"/>
    <mergeCell ref="UNR65:UNZ65"/>
    <mergeCell ref="UOB65:UOD65"/>
    <mergeCell ref="UOE65:UOM65"/>
    <mergeCell ref="UOO65:UOQ65"/>
    <mergeCell ref="UOR65:UOZ65"/>
    <mergeCell ref="UPB65:UPD65"/>
    <mergeCell ref="UPE65:UPM65"/>
    <mergeCell ref="ULB65:ULD65"/>
    <mergeCell ref="ULE65:ULM65"/>
    <mergeCell ref="ULO65:ULQ65"/>
    <mergeCell ref="ULR65:ULZ65"/>
    <mergeCell ref="UMB65:UMD65"/>
    <mergeCell ref="UME65:UMM65"/>
    <mergeCell ref="UMO65:UMQ65"/>
    <mergeCell ref="UMR65:UMZ65"/>
    <mergeCell ref="UNB65:UND65"/>
    <mergeCell ref="UIR65:UIZ65"/>
    <mergeCell ref="UJB65:UJD65"/>
    <mergeCell ref="UJE65:UJM65"/>
    <mergeCell ref="UJO65:UJQ65"/>
    <mergeCell ref="UJR65:UJZ65"/>
    <mergeCell ref="UKB65:UKD65"/>
    <mergeCell ref="UKE65:UKM65"/>
    <mergeCell ref="UKO65:UKQ65"/>
    <mergeCell ref="UKR65:UKZ65"/>
    <mergeCell ref="UGO65:UGQ65"/>
    <mergeCell ref="UGR65:UGZ65"/>
    <mergeCell ref="UHB65:UHD65"/>
    <mergeCell ref="UHE65:UHM65"/>
    <mergeCell ref="UHO65:UHQ65"/>
    <mergeCell ref="UHR65:UHZ65"/>
    <mergeCell ref="UIB65:UID65"/>
    <mergeCell ref="UIE65:UIM65"/>
    <mergeCell ref="UIO65:UIQ65"/>
    <mergeCell ref="UEE65:UEM65"/>
    <mergeCell ref="UEO65:UEQ65"/>
    <mergeCell ref="UER65:UEZ65"/>
    <mergeCell ref="UFB65:UFD65"/>
    <mergeCell ref="UFE65:UFM65"/>
    <mergeCell ref="UFO65:UFQ65"/>
    <mergeCell ref="UFR65:UFZ65"/>
    <mergeCell ref="UGB65:UGD65"/>
    <mergeCell ref="UGE65:UGM65"/>
    <mergeCell ref="UCB65:UCD65"/>
    <mergeCell ref="UCE65:UCM65"/>
    <mergeCell ref="UCO65:UCQ65"/>
    <mergeCell ref="UCR65:UCZ65"/>
    <mergeCell ref="UDB65:UDD65"/>
    <mergeCell ref="UDE65:UDM65"/>
    <mergeCell ref="UDO65:UDQ65"/>
    <mergeCell ref="UDR65:UDZ65"/>
    <mergeCell ref="UEB65:UED65"/>
    <mergeCell ref="TZR65:TZZ65"/>
    <mergeCell ref="UAB65:UAD65"/>
    <mergeCell ref="UAE65:UAM65"/>
    <mergeCell ref="UAO65:UAQ65"/>
    <mergeCell ref="UAR65:UAZ65"/>
    <mergeCell ref="UBB65:UBD65"/>
    <mergeCell ref="UBE65:UBM65"/>
    <mergeCell ref="UBO65:UBQ65"/>
    <mergeCell ref="UBR65:UBZ65"/>
    <mergeCell ref="TXO65:TXQ65"/>
    <mergeCell ref="TXR65:TXZ65"/>
    <mergeCell ref="TYB65:TYD65"/>
    <mergeCell ref="TYE65:TYM65"/>
    <mergeCell ref="TYO65:TYQ65"/>
    <mergeCell ref="TYR65:TYZ65"/>
    <mergeCell ref="TZB65:TZD65"/>
    <mergeCell ref="TZE65:TZM65"/>
    <mergeCell ref="TZO65:TZQ65"/>
    <mergeCell ref="TVE65:TVM65"/>
    <mergeCell ref="TVO65:TVQ65"/>
    <mergeCell ref="TVR65:TVZ65"/>
    <mergeCell ref="TWB65:TWD65"/>
    <mergeCell ref="TWE65:TWM65"/>
    <mergeCell ref="TWO65:TWQ65"/>
    <mergeCell ref="TWR65:TWZ65"/>
    <mergeCell ref="TXB65:TXD65"/>
    <mergeCell ref="TXE65:TXM65"/>
    <mergeCell ref="TTB65:TTD65"/>
    <mergeCell ref="TTE65:TTM65"/>
    <mergeCell ref="TTO65:TTQ65"/>
    <mergeCell ref="TTR65:TTZ65"/>
    <mergeCell ref="TUB65:TUD65"/>
    <mergeCell ref="TUE65:TUM65"/>
    <mergeCell ref="TUO65:TUQ65"/>
    <mergeCell ref="TUR65:TUZ65"/>
    <mergeCell ref="TVB65:TVD65"/>
    <mergeCell ref="TQR65:TQZ65"/>
    <mergeCell ref="TRB65:TRD65"/>
    <mergeCell ref="TRE65:TRM65"/>
    <mergeCell ref="TRO65:TRQ65"/>
    <mergeCell ref="TRR65:TRZ65"/>
    <mergeCell ref="TSB65:TSD65"/>
    <mergeCell ref="TSE65:TSM65"/>
    <mergeCell ref="TSO65:TSQ65"/>
    <mergeCell ref="TSR65:TSZ65"/>
    <mergeCell ref="TOO65:TOQ65"/>
    <mergeCell ref="TOR65:TOZ65"/>
    <mergeCell ref="TPB65:TPD65"/>
    <mergeCell ref="TPE65:TPM65"/>
    <mergeCell ref="TPO65:TPQ65"/>
    <mergeCell ref="TPR65:TPZ65"/>
    <mergeCell ref="TQB65:TQD65"/>
    <mergeCell ref="TQE65:TQM65"/>
    <mergeCell ref="TQO65:TQQ65"/>
    <mergeCell ref="TME65:TMM65"/>
    <mergeCell ref="TMO65:TMQ65"/>
    <mergeCell ref="TMR65:TMZ65"/>
    <mergeCell ref="TNB65:TND65"/>
    <mergeCell ref="TNE65:TNM65"/>
    <mergeCell ref="TNO65:TNQ65"/>
    <mergeCell ref="TNR65:TNZ65"/>
    <mergeCell ref="TOB65:TOD65"/>
    <mergeCell ref="TOE65:TOM65"/>
    <mergeCell ref="TKB65:TKD65"/>
    <mergeCell ref="TKE65:TKM65"/>
    <mergeCell ref="TKO65:TKQ65"/>
    <mergeCell ref="TKR65:TKZ65"/>
    <mergeCell ref="TLB65:TLD65"/>
    <mergeCell ref="TLE65:TLM65"/>
    <mergeCell ref="TLO65:TLQ65"/>
    <mergeCell ref="TLR65:TLZ65"/>
    <mergeCell ref="TMB65:TMD65"/>
    <mergeCell ref="THR65:THZ65"/>
    <mergeCell ref="TIB65:TID65"/>
    <mergeCell ref="TIE65:TIM65"/>
    <mergeCell ref="TIO65:TIQ65"/>
    <mergeCell ref="TIR65:TIZ65"/>
    <mergeCell ref="TJB65:TJD65"/>
    <mergeCell ref="TJE65:TJM65"/>
    <mergeCell ref="TJO65:TJQ65"/>
    <mergeCell ref="TJR65:TJZ65"/>
    <mergeCell ref="TFO65:TFQ65"/>
    <mergeCell ref="TFR65:TFZ65"/>
    <mergeCell ref="TGB65:TGD65"/>
    <mergeCell ref="TGE65:TGM65"/>
    <mergeCell ref="TGO65:TGQ65"/>
    <mergeCell ref="TGR65:TGZ65"/>
    <mergeCell ref="THB65:THD65"/>
    <mergeCell ref="THE65:THM65"/>
    <mergeCell ref="THO65:THQ65"/>
    <mergeCell ref="TDE65:TDM65"/>
    <mergeCell ref="TDO65:TDQ65"/>
    <mergeCell ref="TDR65:TDZ65"/>
    <mergeCell ref="TEB65:TED65"/>
    <mergeCell ref="TEE65:TEM65"/>
    <mergeCell ref="TEO65:TEQ65"/>
    <mergeCell ref="TER65:TEZ65"/>
    <mergeCell ref="TFB65:TFD65"/>
    <mergeCell ref="TFE65:TFM65"/>
    <mergeCell ref="TBB65:TBD65"/>
    <mergeCell ref="TBE65:TBM65"/>
    <mergeCell ref="TBO65:TBQ65"/>
    <mergeCell ref="TBR65:TBZ65"/>
    <mergeCell ref="TCB65:TCD65"/>
    <mergeCell ref="TCE65:TCM65"/>
    <mergeCell ref="TCO65:TCQ65"/>
    <mergeCell ref="TCR65:TCZ65"/>
    <mergeCell ref="TDB65:TDD65"/>
    <mergeCell ref="SYR65:SYZ65"/>
    <mergeCell ref="SZB65:SZD65"/>
    <mergeCell ref="SZE65:SZM65"/>
    <mergeCell ref="SZO65:SZQ65"/>
    <mergeCell ref="SZR65:SZZ65"/>
    <mergeCell ref="TAB65:TAD65"/>
    <mergeCell ref="TAE65:TAM65"/>
    <mergeCell ref="TAO65:TAQ65"/>
    <mergeCell ref="TAR65:TAZ65"/>
    <mergeCell ref="SWO65:SWQ65"/>
    <mergeCell ref="SWR65:SWZ65"/>
    <mergeCell ref="SXB65:SXD65"/>
    <mergeCell ref="SXE65:SXM65"/>
    <mergeCell ref="SXO65:SXQ65"/>
    <mergeCell ref="SXR65:SXZ65"/>
    <mergeCell ref="SYB65:SYD65"/>
    <mergeCell ref="SYE65:SYM65"/>
    <mergeCell ref="SYO65:SYQ65"/>
    <mergeCell ref="SUE65:SUM65"/>
    <mergeCell ref="SUO65:SUQ65"/>
    <mergeCell ref="SUR65:SUZ65"/>
    <mergeCell ref="SVB65:SVD65"/>
    <mergeCell ref="SVE65:SVM65"/>
    <mergeCell ref="SVO65:SVQ65"/>
    <mergeCell ref="SVR65:SVZ65"/>
    <mergeCell ref="SWB65:SWD65"/>
    <mergeCell ref="SWE65:SWM65"/>
    <mergeCell ref="SSB65:SSD65"/>
    <mergeCell ref="SSE65:SSM65"/>
    <mergeCell ref="SSO65:SSQ65"/>
    <mergeCell ref="SSR65:SSZ65"/>
    <mergeCell ref="STB65:STD65"/>
    <mergeCell ref="STE65:STM65"/>
    <mergeCell ref="STO65:STQ65"/>
    <mergeCell ref="STR65:STZ65"/>
    <mergeCell ref="SUB65:SUD65"/>
    <mergeCell ref="SPR65:SPZ65"/>
    <mergeCell ref="SQB65:SQD65"/>
    <mergeCell ref="SQE65:SQM65"/>
    <mergeCell ref="SQO65:SQQ65"/>
    <mergeCell ref="SQR65:SQZ65"/>
    <mergeCell ref="SRB65:SRD65"/>
    <mergeCell ref="SRE65:SRM65"/>
    <mergeCell ref="SRO65:SRQ65"/>
    <mergeCell ref="SRR65:SRZ65"/>
    <mergeCell ref="SNO65:SNQ65"/>
    <mergeCell ref="SNR65:SNZ65"/>
    <mergeCell ref="SOB65:SOD65"/>
    <mergeCell ref="SOE65:SOM65"/>
    <mergeCell ref="SOO65:SOQ65"/>
    <mergeCell ref="SOR65:SOZ65"/>
    <mergeCell ref="SPB65:SPD65"/>
    <mergeCell ref="SPE65:SPM65"/>
    <mergeCell ref="SPO65:SPQ65"/>
    <mergeCell ref="SLE65:SLM65"/>
    <mergeCell ref="SLO65:SLQ65"/>
    <mergeCell ref="SLR65:SLZ65"/>
    <mergeCell ref="SMB65:SMD65"/>
    <mergeCell ref="SME65:SMM65"/>
    <mergeCell ref="SMO65:SMQ65"/>
    <mergeCell ref="SMR65:SMZ65"/>
    <mergeCell ref="SNB65:SND65"/>
    <mergeCell ref="SNE65:SNM65"/>
    <mergeCell ref="SJB65:SJD65"/>
    <mergeCell ref="SJE65:SJM65"/>
    <mergeCell ref="SJO65:SJQ65"/>
    <mergeCell ref="SJR65:SJZ65"/>
    <mergeCell ref="SKB65:SKD65"/>
    <mergeCell ref="SKE65:SKM65"/>
    <mergeCell ref="SKO65:SKQ65"/>
    <mergeCell ref="SKR65:SKZ65"/>
    <mergeCell ref="SLB65:SLD65"/>
    <mergeCell ref="SGR65:SGZ65"/>
    <mergeCell ref="SHB65:SHD65"/>
    <mergeCell ref="SHE65:SHM65"/>
    <mergeCell ref="SHO65:SHQ65"/>
    <mergeCell ref="SHR65:SHZ65"/>
    <mergeCell ref="SIB65:SID65"/>
    <mergeCell ref="SIE65:SIM65"/>
    <mergeCell ref="SIO65:SIQ65"/>
    <mergeCell ref="SIR65:SIZ65"/>
    <mergeCell ref="SEO65:SEQ65"/>
    <mergeCell ref="SER65:SEZ65"/>
    <mergeCell ref="SFB65:SFD65"/>
    <mergeCell ref="SFE65:SFM65"/>
    <mergeCell ref="SFO65:SFQ65"/>
    <mergeCell ref="SFR65:SFZ65"/>
    <mergeCell ref="SGB65:SGD65"/>
    <mergeCell ref="SGE65:SGM65"/>
    <mergeCell ref="SGO65:SGQ65"/>
    <mergeCell ref="SCE65:SCM65"/>
    <mergeCell ref="SCO65:SCQ65"/>
    <mergeCell ref="SCR65:SCZ65"/>
    <mergeCell ref="SDB65:SDD65"/>
    <mergeCell ref="SDE65:SDM65"/>
    <mergeCell ref="SDO65:SDQ65"/>
    <mergeCell ref="SDR65:SDZ65"/>
    <mergeCell ref="SEB65:SED65"/>
    <mergeCell ref="SEE65:SEM65"/>
    <mergeCell ref="SAB65:SAD65"/>
    <mergeCell ref="SAE65:SAM65"/>
    <mergeCell ref="SAO65:SAQ65"/>
    <mergeCell ref="SAR65:SAZ65"/>
    <mergeCell ref="SBB65:SBD65"/>
    <mergeCell ref="SBE65:SBM65"/>
    <mergeCell ref="SBO65:SBQ65"/>
    <mergeCell ref="SBR65:SBZ65"/>
    <mergeCell ref="SCB65:SCD65"/>
    <mergeCell ref="RXR65:RXZ65"/>
    <mergeCell ref="RYB65:RYD65"/>
    <mergeCell ref="RYE65:RYM65"/>
    <mergeCell ref="RYO65:RYQ65"/>
    <mergeCell ref="RYR65:RYZ65"/>
    <mergeCell ref="RZB65:RZD65"/>
    <mergeCell ref="RZE65:RZM65"/>
    <mergeCell ref="RZO65:RZQ65"/>
    <mergeCell ref="RZR65:RZZ65"/>
    <mergeCell ref="RVO65:RVQ65"/>
    <mergeCell ref="RVR65:RVZ65"/>
    <mergeCell ref="RWB65:RWD65"/>
    <mergeCell ref="RWE65:RWM65"/>
    <mergeCell ref="RWO65:RWQ65"/>
    <mergeCell ref="RWR65:RWZ65"/>
    <mergeCell ref="RXB65:RXD65"/>
    <mergeCell ref="RXE65:RXM65"/>
    <mergeCell ref="RXO65:RXQ65"/>
    <mergeCell ref="RTE65:RTM65"/>
    <mergeCell ref="RTO65:RTQ65"/>
    <mergeCell ref="RTR65:RTZ65"/>
    <mergeCell ref="RUB65:RUD65"/>
    <mergeCell ref="RUE65:RUM65"/>
    <mergeCell ref="RUO65:RUQ65"/>
    <mergeCell ref="RUR65:RUZ65"/>
    <mergeCell ref="RVB65:RVD65"/>
    <mergeCell ref="RVE65:RVM65"/>
    <mergeCell ref="RRB65:RRD65"/>
    <mergeCell ref="RRE65:RRM65"/>
    <mergeCell ref="RRO65:RRQ65"/>
    <mergeCell ref="RRR65:RRZ65"/>
    <mergeCell ref="RSB65:RSD65"/>
    <mergeCell ref="RSE65:RSM65"/>
    <mergeCell ref="RSO65:RSQ65"/>
    <mergeCell ref="RSR65:RSZ65"/>
    <mergeCell ref="RTB65:RTD65"/>
    <mergeCell ref="ROR65:ROZ65"/>
    <mergeCell ref="RPB65:RPD65"/>
    <mergeCell ref="RPE65:RPM65"/>
    <mergeCell ref="RPO65:RPQ65"/>
    <mergeCell ref="RPR65:RPZ65"/>
    <mergeCell ref="RQB65:RQD65"/>
    <mergeCell ref="RQE65:RQM65"/>
    <mergeCell ref="RQO65:RQQ65"/>
    <mergeCell ref="RQR65:RQZ65"/>
    <mergeCell ref="RMO65:RMQ65"/>
    <mergeCell ref="RMR65:RMZ65"/>
    <mergeCell ref="RNB65:RND65"/>
    <mergeCell ref="RNE65:RNM65"/>
    <mergeCell ref="RNO65:RNQ65"/>
    <mergeCell ref="RNR65:RNZ65"/>
    <mergeCell ref="ROB65:ROD65"/>
    <mergeCell ref="ROE65:ROM65"/>
    <mergeCell ref="ROO65:ROQ65"/>
    <mergeCell ref="RKE65:RKM65"/>
    <mergeCell ref="RKO65:RKQ65"/>
    <mergeCell ref="RKR65:RKZ65"/>
    <mergeCell ref="RLB65:RLD65"/>
    <mergeCell ref="RLE65:RLM65"/>
    <mergeCell ref="RLO65:RLQ65"/>
    <mergeCell ref="RLR65:RLZ65"/>
    <mergeCell ref="RMB65:RMD65"/>
    <mergeCell ref="RME65:RMM65"/>
    <mergeCell ref="RIB65:RID65"/>
    <mergeCell ref="RIE65:RIM65"/>
    <mergeCell ref="RIO65:RIQ65"/>
    <mergeCell ref="RIR65:RIZ65"/>
    <mergeCell ref="RJB65:RJD65"/>
    <mergeCell ref="RJE65:RJM65"/>
    <mergeCell ref="RJO65:RJQ65"/>
    <mergeCell ref="RJR65:RJZ65"/>
    <mergeCell ref="RKB65:RKD65"/>
    <mergeCell ref="RFR65:RFZ65"/>
    <mergeCell ref="RGB65:RGD65"/>
    <mergeCell ref="RGE65:RGM65"/>
    <mergeCell ref="RGO65:RGQ65"/>
    <mergeCell ref="RGR65:RGZ65"/>
    <mergeCell ref="RHB65:RHD65"/>
    <mergeCell ref="RHE65:RHM65"/>
    <mergeCell ref="RHO65:RHQ65"/>
    <mergeCell ref="RHR65:RHZ65"/>
    <mergeCell ref="RDO65:RDQ65"/>
    <mergeCell ref="RDR65:RDZ65"/>
    <mergeCell ref="REB65:RED65"/>
    <mergeCell ref="REE65:REM65"/>
    <mergeCell ref="REO65:REQ65"/>
    <mergeCell ref="RER65:REZ65"/>
    <mergeCell ref="RFB65:RFD65"/>
    <mergeCell ref="RFE65:RFM65"/>
    <mergeCell ref="RFO65:RFQ65"/>
    <mergeCell ref="RBE65:RBM65"/>
    <mergeCell ref="RBO65:RBQ65"/>
    <mergeCell ref="RBR65:RBZ65"/>
    <mergeCell ref="RCB65:RCD65"/>
    <mergeCell ref="RCE65:RCM65"/>
    <mergeCell ref="RCO65:RCQ65"/>
    <mergeCell ref="RCR65:RCZ65"/>
    <mergeCell ref="RDB65:RDD65"/>
    <mergeCell ref="RDE65:RDM65"/>
    <mergeCell ref="QZB65:QZD65"/>
    <mergeCell ref="QZE65:QZM65"/>
    <mergeCell ref="QZO65:QZQ65"/>
    <mergeCell ref="QZR65:QZZ65"/>
    <mergeCell ref="RAB65:RAD65"/>
    <mergeCell ref="RAE65:RAM65"/>
    <mergeCell ref="RAO65:RAQ65"/>
    <mergeCell ref="RAR65:RAZ65"/>
    <mergeCell ref="RBB65:RBD65"/>
    <mergeCell ref="QWR65:QWZ65"/>
    <mergeCell ref="QXB65:QXD65"/>
    <mergeCell ref="QXE65:QXM65"/>
    <mergeCell ref="QXO65:QXQ65"/>
    <mergeCell ref="QXR65:QXZ65"/>
    <mergeCell ref="QYB65:QYD65"/>
    <mergeCell ref="QYE65:QYM65"/>
    <mergeCell ref="QYO65:QYQ65"/>
    <mergeCell ref="QYR65:QYZ65"/>
    <mergeCell ref="QUO65:QUQ65"/>
    <mergeCell ref="QUR65:QUZ65"/>
    <mergeCell ref="QVB65:QVD65"/>
    <mergeCell ref="QVE65:QVM65"/>
    <mergeCell ref="QVO65:QVQ65"/>
    <mergeCell ref="QVR65:QVZ65"/>
    <mergeCell ref="QWB65:QWD65"/>
    <mergeCell ref="QWE65:QWM65"/>
    <mergeCell ref="QWO65:QWQ65"/>
    <mergeCell ref="QSE65:QSM65"/>
    <mergeCell ref="QSO65:QSQ65"/>
    <mergeCell ref="QSR65:QSZ65"/>
    <mergeCell ref="QTB65:QTD65"/>
    <mergeCell ref="QTE65:QTM65"/>
    <mergeCell ref="QTO65:QTQ65"/>
    <mergeCell ref="QTR65:QTZ65"/>
    <mergeCell ref="QUB65:QUD65"/>
    <mergeCell ref="QUE65:QUM65"/>
    <mergeCell ref="QQB65:QQD65"/>
    <mergeCell ref="QQE65:QQM65"/>
    <mergeCell ref="QQO65:QQQ65"/>
    <mergeCell ref="QQR65:QQZ65"/>
    <mergeCell ref="QRB65:QRD65"/>
    <mergeCell ref="QRE65:QRM65"/>
    <mergeCell ref="QRO65:QRQ65"/>
    <mergeCell ref="QRR65:QRZ65"/>
    <mergeCell ref="QSB65:QSD65"/>
    <mergeCell ref="QNR65:QNZ65"/>
    <mergeCell ref="QOB65:QOD65"/>
    <mergeCell ref="QOE65:QOM65"/>
    <mergeCell ref="QOO65:QOQ65"/>
    <mergeCell ref="QOR65:QOZ65"/>
    <mergeCell ref="QPB65:QPD65"/>
    <mergeCell ref="QPE65:QPM65"/>
    <mergeCell ref="QPO65:QPQ65"/>
    <mergeCell ref="QPR65:QPZ65"/>
    <mergeCell ref="QLO65:QLQ65"/>
    <mergeCell ref="QLR65:QLZ65"/>
    <mergeCell ref="QMB65:QMD65"/>
    <mergeCell ref="QME65:QMM65"/>
    <mergeCell ref="QMO65:QMQ65"/>
    <mergeCell ref="QMR65:QMZ65"/>
    <mergeCell ref="QNB65:QND65"/>
    <mergeCell ref="QNE65:QNM65"/>
    <mergeCell ref="QNO65:QNQ65"/>
    <mergeCell ref="QJE65:QJM65"/>
    <mergeCell ref="QJO65:QJQ65"/>
    <mergeCell ref="QJR65:QJZ65"/>
    <mergeCell ref="QKB65:QKD65"/>
    <mergeCell ref="QKE65:QKM65"/>
    <mergeCell ref="QKO65:QKQ65"/>
    <mergeCell ref="QKR65:QKZ65"/>
    <mergeCell ref="QLB65:QLD65"/>
    <mergeCell ref="QLE65:QLM65"/>
    <mergeCell ref="QHB65:QHD65"/>
    <mergeCell ref="QHE65:QHM65"/>
    <mergeCell ref="QHO65:QHQ65"/>
    <mergeCell ref="QHR65:QHZ65"/>
    <mergeCell ref="QIB65:QID65"/>
    <mergeCell ref="QIE65:QIM65"/>
    <mergeCell ref="QIO65:QIQ65"/>
    <mergeCell ref="QIR65:QIZ65"/>
    <mergeCell ref="QJB65:QJD65"/>
    <mergeCell ref="QER65:QEZ65"/>
    <mergeCell ref="QFB65:QFD65"/>
    <mergeCell ref="QFE65:QFM65"/>
    <mergeCell ref="QFO65:QFQ65"/>
    <mergeCell ref="QFR65:QFZ65"/>
    <mergeCell ref="QGB65:QGD65"/>
    <mergeCell ref="QGE65:QGM65"/>
    <mergeCell ref="QGO65:QGQ65"/>
    <mergeCell ref="QGR65:QGZ65"/>
    <mergeCell ref="QCO65:QCQ65"/>
    <mergeCell ref="QCR65:QCZ65"/>
    <mergeCell ref="QDB65:QDD65"/>
    <mergeCell ref="QDE65:QDM65"/>
    <mergeCell ref="QDO65:QDQ65"/>
    <mergeCell ref="QDR65:QDZ65"/>
    <mergeCell ref="QEB65:QED65"/>
    <mergeCell ref="QEE65:QEM65"/>
    <mergeCell ref="QEO65:QEQ65"/>
    <mergeCell ref="QAE65:QAM65"/>
    <mergeCell ref="QAO65:QAQ65"/>
    <mergeCell ref="QAR65:QAZ65"/>
    <mergeCell ref="QBB65:QBD65"/>
    <mergeCell ref="QBE65:QBM65"/>
    <mergeCell ref="QBO65:QBQ65"/>
    <mergeCell ref="QBR65:QBZ65"/>
    <mergeCell ref="QCB65:QCD65"/>
    <mergeCell ref="QCE65:QCM65"/>
    <mergeCell ref="PYB65:PYD65"/>
    <mergeCell ref="PYE65:PYM65"/>
    <mergeCell ref="PYO65:PYQ65"/>
    <mergeCell ref="PYR65:PYZ65"/>
    <mergeCell ref="PZB65:PZD65"/>
    <mergeCell ref="PZE65:PZM65"/>
    <mergeCell ref="PZO65:PZQ65"/>
    <mergeCell ref="PZR65:PZZ65"/>
    <mergeCell ref="QAB65:QAD65"/>
    <mergeCell ref="PVR65:PVZ65"/>
    <mergeCell ref="PWB65:PWD65"/>
    <mergeCell ref="PWE65:PWM65"/>
    <mergeCell ref="PWO65:PWQ65"/>
    <mergeCell ref="PWR65:PWZ65"/>
    <mergeCell ref="PXB65:PXD65"/>
    <mergeCell ref="PXE65:PXM65"/>
    <mergeCell ref="PXO65:PXQ65"/>
    <mergeCell ref="PXR65:PXZ65"/>
    <mergeCell ref="PTO65:PTQ65"/>
    <mergeCell ref="PTR65:PTZ65"/>
    <mergeCell ref="PUB65:PUD65"/>
    <mergeCell ref="PUE65:PUM65"/>
    <mergeCell ref="PUO65:PUQ65"/>
    <mergeCell ref="PUR65:PUZ65"/>
    <mergeCell ref="PVB65:PVD65"/>
    <mergeCell ref="PVE65:PVM65"/>
    <mergeCell ref="PVO65:PVQ65"/>
    <mergeCell ref="PRE65:PRM65"/>
    <mergeCell ref="PRO65:PRQ65"/>
    <mergeCell ref="PRR65:PRZ65"/>
    <mergeCell ref="PSB65:PSD65"/>
    <mergeCell ref="PSE65:PSM65"/>
    <mergeCell ref="PSO65:PSQ65"/>
    <mergeCell ref="PSR65:PSZ65"/>
    <mergeCell ref="PTB65:PTD65"/>
    <mergeCell ref="PTE65:PTM65"/>
    <mergeCell ref="PPB65:PPD65"/>
    <mergeCell ref="PPE65:PPM65"/>
    <mergeCell ref="PPO65:PPQ65"/>
    <mergeCell ref="PPR65:PPZ65"/>
    <mergeCell ref="PQB65:PQD65"/>
    <mergeCell ref="PQE65:PQM65"/>
    <mergeCell ref="PQO65:PQQ65"/>
    <mergeCell ref="PQR65:PQZ65"/>
    <mergeCell ref="PRB65:PRD65"/>
    <mergeCell ref="PMR65:PMZ65"/>
    <mergeCell ref="PNB65:PND65"/>
    <mergeCell ref="PNE65:PNM65"/>
    <mergeCell ref="PNO65:PNQ65"/>
    <mergeCell ref="PNR65:PNZ65"/>
    <mergeCell ref="POB65:POD65"/>
    <mergeCell ref="POE65:POM65"/>
    <mergeCell ref="POO65:POQ65"/>
    <mergeCell ref="POR65:POZ65"/>
    <mergeCell ref="PKO65:PKQ65"/>
    <mergeCell ref="PKR65:PKZ65"/>
    <mergeCell ref="PLB65:PLD65"/>
    <mergeCell ref="PLE65:PLM65"/>
    <mergeCell ref="PLO65:PLQ65"/>
    <mergeCell ref="PLR65:PLZ65"/>
    <mergeCell ref="PMB65:PMD65"/>
    <mergeCell ref="PME65:PMM65"/>
    <mergeCell ref="PMO65:PMQ65"/>
    <mergeCell ref="PIE65:PIM65"/>
    <mergeCell ref="PIO65:PIQ65"/>
    <mergeCell ref="PIR65:PIZ65"/>
    <mergeCell ref="PJB65:PJD65"/>
    <mergeCell ref="PJE65:PJM65"/>
    <mergeCell ref="PJO65:PJQ65"/>
    <mergeCell ref="PJR65:PJZ65"/>
    <mergeCell ref="PKB65:PKD65"/>
    <mergeCell ref="PKE65:PKM65"/>
    <mergeCell ref="PGB65:PGD65"/>
    <mergeCell ref="PGE65:PGM65"/>
    <mergeCell ref="PGO65:PGQ65"/>
    <mergeCell ref="PGR65:PGZ65"/>
    <mergeCell ref="PHB65:PHD65"/>
    <mergeCell ref="PHE65:PHM65"/>
    <mergeCell ref="PHO65:PHQ65"/>
    <mergeCell ref="PHR65:PHZ65"/>
    <mergeCell ref="PIB65:PID65"/>
    <mergeCell ref="PDR65:PDZ65"/>
    <mergeCell ref="PEB65:PED65"/>
    <mergeCell ref="PEE65:PEM65"/>
    <mergeCell ref="PEO65:PEQ65"/>
    <mergeCell ref="PER65:PEZ65"/>
    <mergeCell ref="PFB65:PFD65"/>
    <mergeCell ref="PFE65:PFM65"/>
    <mergeCell ref="PFO65:PFQ65"/>
    <mergeCell ref="PFR65:PFZ65"/>
    <mergeCell ref="PBO65:PBQ65"/>
    <mergeCell ref="PBR65:PBZ65"/>
    <mergeCell ref="PCB65:PCD65"/>
    <mergeCell ref="PCE65:PCM65"/>
    <mergeCell ref="PCO65:PCQ65"/>
    <mergeCell ref="PCR65:PCZ65"/>
    <mergeCell ref="PDB65:PDD65"/>
    <mergeCell ref="PDE65:PDM65"/>
    <mergeCell ref="PDO65:PDQ65"/>
    <mergeCell ref="OZE65:OZM65"/>
    <mergeCell ref="OZO65:OZQ65"/>
    <mergeCell ref="OZR65:OZZ65"/>
    <mergeCell ref="PAB65:PAD65"/>
    <mergeCell ref="PAE65:PAM65"/>
    <mergeCell ref="PAO65:PAQ65"/>
    <mergeCell ref="PAR65:PAZ65"/>
    <mergeCell ref="PBB65:PBD65"/>
    <mergeCell ref="PBE65:PBM65"/>
    <mergeCell ref="OXB65:OXD65"/>
    <mergeCell ref="OXE65:OXM65"/>
    <mergeCell ref="OXO65:OXQ65"/>
    <mergeCell ref="OXR65:OXZ65"/>
    <mergeCell ref="OYB65:OYD65"/>
    <mergeCell ref="OYE65:OYM65"/>
    <mergeCell ref="OYO65:OYQ65"/>
    <mergeCell ref="OYR65:OYZ65"/>
    <mergeCell ref="OZB65:OZD65"/>
    <mergeCell ref="OUR65:OUZ65"/>
    <mergeCell ref="OVB65:OVD65"/>
    <mergeCell ref="OVE65:OVM65"/>
    <mergeCell ref="OVO65:OVQ65"/>
    <mergeCell ref="OVR65:OVZ65"/>
    <mergeCell ref="OWB65:OWD65"/>
    <mergeCell ref="OWE65:OWM65"/>
    <mergeCell ref="OWO65:OWQ65"/>
    <mergeCell ref="OWR65:OWZ65"/>
    <mergeCell ref="OSO65:OSQ65"/>
    <mergeCell ref="OSR65:OSZ65"/>
    <mergeCell ref="OTB65:OTD65"/>
    <mergeCell ref="OTE65:OTM65"/>
    <mergeCell ref="OTO65:OTQ65"/>
    <mergeCell ref="OTR65:OTZ65"/>
    <mergeCell ref="OUB65:OUD65"/>
    <mergeCell ref="OUE65:OUM65"/>
    <mergeCell ref="OUO65:OUQ65"/>
    <mergeCell ref="OQE65:OQM65"/>
    <mergeCell ref="OQO65:OQQ65"/>
    <mergeCell ref="OQR65:OQZ65"/>
    <mergeCell ref="ORB65:ORD65"/>
    <mergeCell ref="ORE65:ORM65"/>
    <mergeCell ref="ORO65:ORQ65"/>
    <mergeCell ref="ORR65:ORZ65"/>
    <mergeCell ref="OSB65:OSD65"/>
    <mergeCell ref="OSE65:OSM65"/>
    <mergeCell ref="OOB65:OOD65"/>
    <mergeCell ref="OOE65:OOM65"/>
    <mergeCell ref="OOO65:OOQ65"/>
    <mergeCell ref="OOR65:OOZ65"/>
    <mergeCell ref="OPB65:OPD65"/>
    <mergeCell ref="OPE65:OPM65"/>
    <mergeCell ref="OPO65:OPQ65"/>
    <mergeCell ref="OPR65:OPZ65"/>
    <mergeCell ref="OQB65:OQD65"/>
    <mergeCell ref="OLR65:OLZ65"/>
    <mergeCell ref="OMB65:OMD65"/>
    <mergeCell ref="OME65:OMM65"/>
    <mergeCell ref="OMO65:OMQ65"/>
    <mergeCell ref="OMR65:OMZ65"/>
    <mergeCell ref="ONB65:OND65"/>
    <mergeCell ref="ONE65:ONM65"/>
    <mergeCell ref="ONO65:ONQ65"/>
    <mergeCell ref="ONR65:ONZ65"/>
    <mergeCell ref="OJO65:OJQ65"/>
    <mergeCell ref="OJR65:OJZ65"/>
    <mergeCell ref="OKB65:OKD65"/>
    <mergeCell ref="OKE65:OKM65"/>
    <mergeCell ref="OKO65:OKQ65"/>
    <mergeCell ref="OKR65:OKZ65"/>
    <mergeCell ref="OLB65:OLD65"/>
    <mergeCell ref="OLE65:OLM65"/>
    <mergeCell ref="OLO65:OLQ65"/>
    <mergeCell ref="OHE65:OHM65"/>
    <mergeCell ref="OHO65:OHQ65"/>
    <mergeCell ref="OHR65:OHZ65"/>
    <mergeCell ref="OIB65:OID65"/>
    <mergeCell ref="OIE65:OIM65"/>
    <mergeCell ref="OIO65:OIQ65"/>
    <mergeCell ref="OIR65:OIZ65"/>
    <mergeCell ref="OJB65:OJD65"/>
    <mergeCell ref="OJE65:OJM65"/>
    <mergeCell ref="OFB65:OFD65"/>
    <mergeCell ref="OFE65:OFM65"/>
    <mergeCell ref="OFO65:OFQ65"/>
    <mergeCell ref="OFR65:OFZ65"/>
    <mergeCell ref="OGB65:OGD65"/>
    <mergeCell ref="OGE65:OGM65"/>
    <mergeCell ref="OGO65:OGQ65"/>
    <mergeCell ref="OGR65:OGZ65"/>
    <mergeCell ref="OHB65:OHD65"/>
    <mergeCell ref="OCR65:OCZ65"/>
    <mergeCell ref="ODB65:ODD65"/>
    <mergeCell ref="ODE65:ODM65"/>
    <mergeCell ref="ODO65:ODQ65"/>
    <mergeCell ref="ODR65:ODZ65"/>
    <mergeCell ref="OEB65:OED65"/>
    <mergeCell ref="OEE65:OEM65"/>
    <mergeCell ref="OEO65:OEQ65"/>
    <mergeCell ref="OER65:OEZ65"/>
    <mergeCell ref="OAO65:OAQ65"/>
    <mergeCell ref="OAR65:OAZ65"/>
    <mergeCell ref="OBB65:OBD65"/>
    <mergeCell ref="OBE65:OBM65"/>
    <mergeCell ref="OBO65:OBQ65"/>
    <mergeCell ref="OBR65:OBZ65"/>
    <mergeCell ref="OCB65:OCD65"/>
    <mergeCell ref="OCE65:OCM65"/>
    <mergeCell ref="OCO65:OCQ65"/>
    <mergeCell ref="NYE65:NYM65"/>
    <mergeCell ref="NYO65:NYQ65"/>
    <mergeCell ref="NYR65:NYZ65"/>
    <mergeCell ref="NZB65:NZD65"/>
    <mergeCell ref="NZE65:NZM65"/>
    <mergeCell ref="NZO65:NZQ65"/>
    <mergeCell ref="NZR65:NZZ65"/>
    <mergeCell ref="OAB65:OAD65"/>
    <mergeCell ref="OAE65:OAM65"/>
    <mergeCell ref="NWB65:NWD65"/>
    <mergeCell ref="NWE65:NWM65"/>
    <mergeCell ref="NWO65:NWQ65"/>
    <mergeCell ref="NWR65:NWZ65"/>
    <mergeCell ref="NXB65:NXD65"/>
    <mergeCell ref="NXE65:NXM65"/>
    <mergeCell ref="NXO65:NXQ65"/>
    <mergeCell ref="NXR65:NXZ65"/>
    <mergeCell ref="NYB65:NYD65"/>
    <mergeCell ref="NTR65:NTZ65"/>
    <mergeCell ref="NUB65:NUD65"/>
    <mergeCell ref="NUE65:NUM65"/>
    <mergeCell ref="NUO65:NUQ65"/>
    <mergeCell ref="NUR65:NUZ65"/>
    <mergeCell ref="NVB65:NVD65"/>
    <mergeCell ref="NVE65:NVM65"/>
    <mergeCell ref="NVO65:NVQ65"/>
    <mergeCell ref="NVR65:NVZ65"/>
    <mergeCell ref="NRO65:NRQ65"/>
    <mergeCell ref="NRR65:NRZ65"/>
    <mergeCell ref="NSB65:NSD65"/>
    <mergeCell ref="NSE65:NSM65"/>
    <mergeCell ref="NSO65:NSQ65"/>
    <mergeCell ref="NSR65:NSZ65"/>
    <mergeCell ref="NTB65:NTD65"/>
    <mergeCell ref="NTE65:NTM65"/>
    <mergeCell ref="NTO65:NTQ65"/>
    <mergeCell ref="NPE65:NPM65"/>
    <mergeCell ref="NPO65:NPQ65"/>
    <mergeCell ref="NPR65:NPZ65"/>
    <mergeCell ref="NQB65:NQD65"/>
    <mergeCell ref="NQE65:NQM65"/>
    <mergeCell ref="NQO65:NQQ65"/>
    <mergeCell ref="NQR65:NQZ65"/>
    <mergeCell ref="NRB65:NRD65"/>
    <mergeCell ref="NRE65:NRM65"/>
    <mergeCell ref="NNB65:NND65"/>
    <mergeCell ref="NNE65:NNM65"/>
    <mergeCell ref="NNO65:NNQ65"/>
    <mergeCell ref="NNR65:NNZ65"/>
    <mergeCell ref="NOB65:NOD65"/>
    <mergeCell ref="NOE65:NOM65"/>
    <mergeCell ref="NOO65:NOQ65"/>
    <mergeCell ref="NOR65:NOZ65"/>
    <mergeCell ref="NPB65:NPD65"/>
    <mergeCell ref="NKR65:NKZ65"/>
    <mergeCell ref="NLB65:NLD65"/>
    <mergeCell ref="NLE65:NLM65"/>
    <mergeCell ref="NLO65:NLQ65"/>
    <mergeCell ref="NLR65:NLZ65"/>
    <mergeCell ref="NMB65:NMD65"/>
    <mergeCell ref="NME65:NMM65"/>
    <mergeCell ref="NMO65:NMQ65"/>
    <mergeCell ref="NMR65:NMZ65"/>
    <mergeCell ref="NIO65:NIQ65"/>
    <mergeCell ref="NIR65:NIZ65"/>
    <mergeCell ref="NJB65:NJD65"/>
    <mergeCell ref="NJE65:NJM65"/>
    <mergeCell ref="NJO65:NJQ65"/>
    <mergeCell ref="NJR65:NJZ65"/>
    <mergeCell ref="NKB65:NKD65"/>
    <mergeCell ref="NKE65:NKM65"/>
    <mergeCell ref="NKO65:NKQ65"/>
    <mergeCell ref="NGE65:NGM65"/>
    <mergeCell ref="NGO65:NGQ65"/>
    <mergeCell ref="NGR65:NGZ65"/>
    <mergeCell ref="NHB65:NHD65"/>
    <mergeCell ref="NHE65:NHM65"/>
    <mergeCell ref="NHO65:NHQ65"/>
    <mergeCell ref="NHR65:NHZ65"/>
    <mergeCell ref="NIB65:NID65"/>
    <mergeCell ref="NIE65:NIM65"/>
    <mergeCell ref="NEB65:NED65"/>
    <mergeCell ref="NEE65:NEM65"/>
    <mergeCell ref="NEO65:NEQ65"/>
    <mergeCell ref="NER65:NEZ65"/>
    <mergeCell ref="NFB65:NFD65"/>
    <mergeCell ref="NFE65:NFM65"/>
    <mergeCell ref="NFO65:NFQ65"/>
    <mergeCell ref="NFR65:NFZ65"/>
    <mergeCell ref="NGB65:NGD65"/>
    <mergeCell ref="NBR65:NBZ65"/>
    <mergeCell ref="NCB65:NCD65"/>
    <mergeCell ref="NCE65:NCM65"/>
    <mergeCell ref="NCO65:NCQ65"/>
    <mergeCell ref="NCR65:NCZ65"/>
    <mergeCell ref="NDB65:NDD65"/>
    <mergeCell ref="NDE65:NDM65"/>
    <mergeCell ref="NDO65:NDQ65"/>
    <mergeCell ref="NDR65:NDZ65"/>
    <mergeCell ref="MZO65:MZQ65"/>
    <mergeCell ref="MZR65:MZZ65"/>
    <mergeCell ref="NAB65:NAD65"/>
    <mergeCell ref="NAE65:NAM65"/>
    <mergeCell ref="NAO65:NAQ65"/>
    <mergeCell ref="NAR65:NAZ65"/>
    <mergeCell ref="NBB65:NBD65"/>
    <mergeCell ref="NBE65:NBM65"/>
    <mergeCell ref="NBO65:NBQ65"/>
    <mergeCell ref="MXE65:MXM65"/>
    <mergeCell ref="MXO65:MXQ65"/>
    <mergeCell ref="MXR65:MXZ65"/>
    <mergeCell ref="MYB65:MYD65"/>
    <mergeCell ref="MYE65:MYM65"/>
    <mergeCell ref="MYO65:MYQ65"/>
    <mergeCell ref="MYR65:MYZ65"/>
    <mergeCell ref="MZB65:MZD65"/>
    <mergeCell ref="MZE65:MZM65"/>
    <mergeCell ref="MVB65:MVD65"/>
    <mergeCell ref="MVE65:MVM65"/>
    <mergeCell ref="MVO65:MVQ65"/>
    <mergeCell ref="MVR65:MVZ65"/>
    <mergeCell ref="MWB65:MWD65"/>
    <mergeCell ref="MWE65:MWM65"/>
    <mergeCell ref="MWO65:MWQ65"/>
    <mergeCell ref="MWR65:MWZ65"/>
    <mergeCell ref="MXB65:MXD65"/>
    <mergeCell ref="MSR65:MSZ65"/>
    <mergeCell ref="MTB65:MTD65"/>
    <mergeCell ref="MTE65:MTM65"/>
    <mergeCell ref="MTO65:MTQ65"/>
    <mergeCell ref="MTR65:MTZ65"/>
    <mergeCell ref="MUB65:MUD65"/>
    <mergeCell ref="MUE65:MUM65"/>
    <mergeCell ref="MUO65:MUQ65"/>
    <mergeCell ref="MUR65:MUZ65"/>
    <mergeCell ref="MQO65:MQQ65"/>
    <mergeCell ref="MQR65:MQZ65"/>
    <mergeCell ref="MRB65:MRD65"/>
    <mergeCell ref="MRE65:MRM65"/>
    <mergeCell ref="MRO65:MRQ65"/>
    <mergeCell ref="MRR65:MRZ65"/>
    <mergeCell ref="MSB65:MSD65"/>
    <mergeCell ref="MSE65:MSM65"/>
    <mergeCell ref="MSO65:MSQ65"/>
    <mergeCell ref="MOE65:MOM65"/>
    <mergeCell ref="MOO65:MOQ65"/>
    <mergeCell ref="MOR65:MOZ65"/>
    <mergeCell ref="MPB65:MPD65"/>
    <mergeCell ref="MPE65:MPM65"/>
    <mergeCell ref="MPO65:MPQ65"/>
    <mergeCell ref="MPR65:MPZ65"/>
    <mergeCell ref="MQB65:MQD65"/>
    <mergeCell ref="MQE65:MQM65"/>
    <mergeCell ref="MMB65:MMD65"/>
    <mergeCell ref="MME65:MMM65"/>
    <mergeCell ref="MMO65:MMQ65"/>
    <mergeCell ref="MMR65:MMZ65"/>
    <mergeCell ref="MNB65:MND65"/>
    <mergeCell ref="MNE65:MNM65"/>
    <mergeCell ref="MNO65:MNQ65"/>
    <mergeCell ref="MNR65:MNZ65"/>
    <mergeCell ref="MOB65:MOD65"/>
    <mergeCell ref="MJR65:MJZ65"/>
    <mergeCell ref="MKB65:MKD65"/>
    <mergeCell ref="MKE65:MKM65"/>
    <mergeCell ref="MKO65:MKQ65"/>
    <mergeCell ref="MKR65:MKZ65"/>
    <mergeCell ref="MLB65:MLD65"/>
    <mergeCell ref="MLE65:MLM65"/>
    <mergeCell ref="MLO65:MLQ65"/>
    <mergeCell ref="MLR65:MLZ65"/>
    <mergeCell ref="MHO65:MHQ65"/>
    <mergeCell ref="MHR65:MHZ65"/>
    <mergeCell ref="MIB65:MID65"/>
    <mergeCell ref="MIE65:MIM65"/>
    <mergeCell ref="MIO65:MIQ65"/>
    <mergeCell ref="MIR65:MIZ65"/>
    <mergeCell ref="MJB65:MJD65"/>
    <mergeCell ref="MJE65:MJM65"/>
    <mergeCell ref="MJO65:MJQ65"/>
    <mergeCell ref="MFE65:MFM65"/>
    <mergeCell ref="MFO65:MFQ65"/>
    <mergeCell ref="MFR65:MFZ65"/>
    <mergeCell ref="MGB65:MGD65"/>
    <mergeCell ref="MGE65:MGM65"/>
    <mergeCell ref="MGO65:MGQ65"/>
    <mergeCell ref="MGR65:MGZ65"/>
    <mergeCell ref="MHB65:MHD65"/>
    <mergeCell ref="MHE65:MHM65"/>
    <mergeCell ref="MDB65:MDD65"/>
    <mergeCell ref="MDE65:MDM65"/>
    <mergeCell ref="MDO65:MDQ65"/>
    <mergeCell ref="MDR65:MDZ65"/>
    <mergeCell ref="MEB65:MED65"/>
    <mergeCell ref="MEE65:MEM65"/>
    <mergeCell ref="MEO65:MEQ65"/>
    <mergeCell ref="MER65:MEZ65"/>
    <mergeCell ref="MFB65:MFD65"/>
    <mergeCell ref="MAR65:MAZ65"/>
    <mergeCell ref="MBB65:MBD65"/>
    <mergeCell ref="MBE65:MBM65"/>
    <mergeCell ref="MBO65:MBQ65"/>
    <mergeCell ref="MBR65:MBZ65"/>
    <mergeCell ref="MCB65:MCD65"/>
    <mergeCell ref="MCE65:MCM65"/>
    <mergeCell ref="MCO65:MCQ65"/>
    <mergeCell ref="MCR65:MCZ65"/>
    <mergeCell ref="LYO65:LYQ65"/>
    <mergeCell ref="LYR65:LYZ65"/>
    <mergeCell ref="LZB65:LZD65"/>
    <mergeCell ref="LZE65:LZM65"/>
    <mergeCell ref="LZO65:LZQ65"/>
    <mergeCell ref="LZR65:LZZ65"/>
    <mergeCell ref="MAB65:MAD65"/>
    <mergeCell ref="MAE65:MAM65"/>
    <mergeCell ref="MAO65:MAQ65"/>
    <mergeCell ref="LWE65:LWM65"/>
    <mergeCell ref="LWO65:LWQ65"/>
    <mergeCell ref="LWR65:LWZ65"/>
    <mergeCell ref="LXB65:LXD65"/>
    <mergeCell ref="LXE65:LXM65"/>
    <mergeCell ref="LXO65:LXQ65"/>
    <mergeCell ref="LXR65:LXZ65"/>
    <mergeCell ref="LYB65:LYD65"/>
    <mergeCell ref="LYE65:LYM65"/>
    <mergeCell ref="LUB65:LUD65"/>
    <mergeCell ref="LUE65:LUM65"/>
    <mergeCell ref="LUO65:LUQ65"/>
    <mergeCell ref="LUR65:LUZ65"/>
    <mergeCell ref="LVB65:LVD65"/>
    <mergeCell ref="LVE65:LVM65"/>
    <mergeCell ref="LVO65:LVQ65"/>
    <mergeCell ref="LVR65:LVZ65"/>
    <mergeCell ref="LWB65:LWD65"/>
    <mergeCell ref="LRR65:LRZ65"/>
    <mergeCell ref="LSB65:LSD65"/>
    <mergeCell ref="LSE65:LSM65"/>
    <mergeCell ref="LSO65:LSQ65"/>
    <mergeCell ref="LSR65:LSZ65"/>
    <mergeCell ref="LTB65:LTD65"/>
    <mergeCell ref="LTE65:LTM65"/>
    <mergeCell ref="LTO65:LTQ65"/>
    <mergeCell ref="LTR65:LTZ65"/>
    <mergeCell ref="LPO65:LPQ65"/>
    <mergeCell ref="LPR65:LPZ65"/>
    <mergeCell ref="LQB65:LQD65"/>
    <mergeCell ref="LQE65:LQM65"/>
    <mergeCell ref="LQO65:LQQ65"/>
    <mergeCell ref="LQR65:LQZ65"/>
    <mergeCell ref="LRB65:LRD65"/>
    <mergeCell ref="LRE65:LRM65"/>
    <mergeCell ref="LRO65:LRQ65"/>
    <mergeCell ref="LNE65:LNM65"/>
    <mergeCell ref="LNO65:LNQ65"/>
    <mergeCell ref="LNR65:LNZ65"/>
    <mergeCell ref="LOB65:LOD65"/>
    <mergeCell ref="LOE65:LOM65"/>
    <mergeCell ref="LOO65:LOQ65"/>
    <mergeCell ref="LOR65:LOZ65"/>
    <mergeCell ref="LPB65:LPD65"/>
    <mergeCell ref="LPE65:LPM65"/>
    <mergeCell ref="LLB65:LLD65"/>
    <mergeCell ref="LLE65:LLM65"/>
    <mergeCell ref="LLO65:LLQ65"/>
    <mergeCell ref="LLR65:LLZ65"/>
    <mergeCell ref="LMB65:LMD65"/>
    <mergeCell ref="LME65:LMM65"/>
    <mergeCell ref="LMO65:LMQ65"/>
    <mergeCell ref="LMR65:LMZ65"/>
    <mergeCell ref="LNB65:LND65"/>
    <mergeCell ref="LIR65:LIZ65"/>
    <mergeCell ref="LJB65:LJD65"/>
    <mergeCell ref="LJE65:LJM65"/>
    <mergeCell ref="LJO65:LJQ65"/>
    <mergeCell ref="LJR65:LJZ65"/>
    <mergeCell ref="LKB65:LKD65"/>
    <mergeCell ref="LKE65:LKM65"/>
    <mergeCell ref="LKO65:LKQ65"/>
    <mergeCell ref="LKR65:LKZ65"/>
    <mergeCell ref="LGO65:LGQ65"/>
    <mergeCell ref="LGR65:LGZ65"/>
    <mergeCell ref="LHB65:LHD65"/>
    <mergeCell ref="LHE65:LHM65"/>
    <mergeCell ref="LHO65:LHQ65"/>
    <mergeCell ref="LHR65:LHZ65"/>
    <mergeCell ref="LIB65:LID65"/>
    <mergeCell ref="LIE65:LIM65"/>
    <mergeCell ref="LIO65:LIQ65"/>
    <mergeCell ref="LEE65:LEM65"/>
    <mergeCell ref="LEO65:LEQ65"/>
    <mergeCell ref="LER65:LEZ65"/>
    <mergeCell ref="LFB65:LFD65"/>
    <mergeCell ref="LFE65:LFM65"/>
    <mergeCell ref="LFO65:LFQ65"/>
    <mergeCell ref="LFR65:LFZ65"/>
    <mergeCell ref="LGB65:LGD65"/>
    <mergeCell ref="LGE65:LGM65"/>
    <mergeCell ref="LCB65:LCD65"/>
    <mergeCell ref="LCE65:LCM65"/>
    <mergeCell ref="LCO65:LCQ65"/>
    <mergeCell ref="LCR65:LCZ65"/>
    <mergeCell ref="LDB65:LDD65"/>
    <mergeCell ref="LDE65:LDM65"/>
    <mergeCell ref="LDO65:LDQ65"/>
    <mergeCell ref="LDR65:LDZ65"/>
    <mergeCell ref="LEB65:LED65"/>
    <mergeCell ref="KZR65:KZZ65"/>
    <mergeCell ref="LAB65:LAD65"/>
    <mergeCell ref="LAE65:LAM65"/>
    <mergeCell ref="LAO65:LAQ65"/>
    <mergeCell ref="LAR65:LAZ65"/>
    <mergeCell ref="LBB65:LBD65"/>
    <mergeCell ref="LBE65:LBM65"/>
    <mergeCell ref="LBO65:LBQ65"/>
    <mergeCell ref="LBR65:LBZ65"/>
    <mergeCell ref="KXO65:KXQ65"/>
    <mergeCell ref="KXR65:KXZ65"/>
    <mergeCell ref="KYB65:KYD65"/>
    <mergeCell ref="KYE65:KYM65"/>
    <mergeCell ref="KYO65:KYQ65"/>
    <mergeCell ref="KYR65:KYZ65"/>
    <mergeCell ref="KZB65:KZD65"/>
    <mergeCell ref="KZE65:KZM65"/>
    <mergeCell ref="KZO65:KZQ65"/>
    <mergeCell ref="KVE65:KVM65"/>
    <mergeCell ref="KVO65:KVQ65"/>
    <mergeCell ref="KVR65:KVZ65"/>
    <mergeCell ref="KWB65:KWD65"/>
    <mergeCell ref="KWE65:KWM65"/>
    <mergeCell ref="KWO65:KWQ65"/>
    <mergeCell ref="KWR65:KWZ65"/>
    <mergeCell ref="KXB65:KXD65"/>
    <mergeCell ref="KXE65:KXM65"/>
    <mergeCell ref="KTB65:KTD65"/>
    <mergeCell ref="KTE65:KTM65"/>
    <mergeCell ref="KTO65:KTQ65"/>
    <mergeCell ref="KTR65:KTZ65"/>
    <mergeCell ref="KUB65:KUD65"/>
    <mergeCell ref="KUE65:KUM65"/>
    <mergeCell ref="KUO65:KUQ65"/>
    <mergeCell ref="KUR65:KUZ65"/>
    <mergeCell ref="KVB65:KVD65"/>
    <mergeCell ref="KQR65:KQZ65"/>
    <mergeCell ref="KRB65:KRD65"/>
    <mergeCell ref="KRE65:KRM65"/>
    <mergeCell ref="KRO65:KRQ65"/>
    <mergeCell ref="KRR65:KRZ65"/>
    <mergeCell ref="KSB65:KSD65"/>
    <mergeCell ref="KSE65:KSM65"/>
    <mergeCell ref="KSO65:KSQ65"/>
    <mergeCell ref="KSR65:KSZ65"/>
    <mergeCell ref="KOO65:KOQ65"/>
    <mergeCell ref="KOR65:KOZ65"/>
    <mergeCell ref="KPB65:KPD65"/>
    <mergeCell ref="KPE65:KPM65"/>
    <mergeCell ref="KPO65:KPQ65"/>
    <mergeCell ref="KPR65:KPZ65"/>
    <mergeCell ref="KQB65:KQD65"/>
    <mergeCell ref="KQE65:KQM65"/>
    <mergeCell ref="KQO65:KQQ65"/>
    <mergeCell ref="KME65:KMM65"/>
    <mergeCell ref="KMO65:KMQ65"/>
    <mergeCell ref="KMR65:KMZ65"/>
    <mergeCell ref="KNB65:KND65"/>
    <mergeCell ref="KNE65:KNM65"/>
    <mergeCell ref="KNO65:KNQ65"/>
    <mergeCell ref="KNR65:KNZ65"/>
    <mergeCell ref="KOB65:KOD65"/>
    <mergeCell ref="KOE65:KOM65"/>
    <mergeCell ref="KKB65:KKD65"/>
    <mergeCell ref="KKE65:KKM65"/>
    <mergeCell ref="KKO65:KKQ65"/>
    <mergeCell ref="KKR65:KKZ65"/>
    <mergeCell ref="KLB65:KLD65"/>
    <mergeCell ref="KLE65:KLM65"/>
    <mergeCell ref="KLO65:KLQ65"/>
    <mergeCell ref="KLR65:KLZ65"/>
    <mergeCell ref="KMB65:KMD65"/>
    <mergeCell ref="KHR65:KHZ65"/>
    <mergeCell ref="KIB65:KID65"/>
    <mergeCell ref="KIE65:KIM65"/>
    <mergeCell ref="KIO65:KIQ65"/>
    <mergeCell ref="KIR65:KIZ65"/>
    <mergeCell ref="KJB65:KJD65"/>
    <mergeCell ref="KJE65:KJM65"/>
    <mergeCell ref="KJO65:KJQ65"/>
    <mergeCell ref="KJR65:KJZ65"/>
    <mergeCell ref="KFO65:KFQ65"/>
    <mergeCell ref="KFR65:KFZ65"/>
    <mergeCell ref="KGB65:KGD65"/>
    <mergeCell ref="KGE65:KGM65"/>
    <mergeCell ref="KGO65:KGQ65"/>
    <mergeCell ref="KGR65:KGZ65"/>
    <mergeCell ref="KHB65:KHD65"/>
    <mergeCell ref="KHE65:KHM65"/>
    <mergeCell ref="KHO65:KHQ65"/>
    <mergeCell ref="KDE65:KDM65"/>
    <mergeCell ref="KDO65:KDQ65"/>
    <mergeCell ref="KDR65:KDZ65"/>
    <mergeCell ref="KEB65:KED65"/>
    <mergeCell ref="KEE65:KEM65"/>
    <mergeCell ref="KEO65:KEQ65"/>
    <mergeCell ref="KER65:KEZ65"/>
    <mergeCell ref="KFB65:KFD65"/>
    <mergeCell ref="KFE65:KFM65"/>
    <mergeCell ref="KBB65:KBD65"/>
    <mergeCell ref="KBE65:KBM65"/>
    <mergeCell ref="KBO65:KBQ65"/>
    <mergeCell ref="KBR65:KBZ65"/>
    <mergeCell ref="KCB65:KCD65"/>
    <mergeCell ref="KCE65:KCM65"/>
    <mergeCell ref="KCO65:KCQ65"/>
    <mergeCell ref="KCR65:KCZ65"/>
    <mergeCell ref="KDB65:KDD65"/>
    <mergeCell ref="JYR65:JYZ65"/>
    <mergeCell ref="JZB65:JZD65"/>
    <mergeCell ref="JZE65:JZM65"/>
    <mergeCell ref="JZO65:JZQ65"/>
    <mergeCell ref="JZR65:JZZ65"/>
    <mergeCell ref="KAB65:KAD65"/>
    <mergeCell ref="KAE65:KAM65"/>
    <mergeCell ref="KAO65:KAQ65"/>
    <mergeCell ref="KAR65:KAZ65"/>
    <mergeCell ref="JWO65:JWQ65"/>
    <mergeCell ref="JWR65:JWZ65"/>
    <mergeCell ref="JXB65:JXD65"/>
    <mergeCell ref="JXE65:JXM65"/>
    <mergeCell ref="JXO65:JXQ65"/>
    <mergeCell ref="JXR65:JXZ65"/>
    <mergeCell ref="JYB65:JYD65"/>
    <mergeCell ref="JYE65:JYM65"/>
    <mergeCell ref="JYO65:JYQ65"/>
    <mergeCell ref="JUE65:JUM65"/>
    <mergeCell ref="JUO65:JUQ65"/>
    <mergeCell ref="JUR65:JUZ65"/>
    <mergeCell ref="JVB65:JVD65"/>
    <mergeCell ref="JVE65:JVM65"/>
    <mergeCell ref="JVO65:JVQ65"/>
    <mergeCell ref="JVR65:JVZ65"/>
    <mergeCell ref="JWB65:JWD65"/>
    <mergeCell ref="JWE65:JWM65"/>
    <mergeCell ref="JSB65:JSD65"/>
    <mergeCell ref="JSE65:JSM65"/>
    <mergeCell ref="JSO65:JSQ65"/>
    <mergeCell ref="JSR65:JSZ65"/>
    <mergeCell ref="JTB65:JTD65"/>
    <mergeCell ref="JTE65:JTM65"/>
    <mergeCell ref="JTO65:JTQ65"/>
    <mergeCell ref="JTR65:JTZ65"/>
    <mergeCell ref="JUB65:JUD65"/>
    <mergeCell ref="JPR65:JPZ65"/>
    <mergeCell ref="JQB65:JQD65"/>
    <mergeCell ref="JQE65:JQM65"/>
    <mergeCell ref="JQO65:JQQ65"/>
    <mergeCell ref="JQR65:JQZ65"/>
    <mergeCell ref="JRB65:JRD65"/>
    <mergeCell ref="JRE65:JRM65"/>
    <mergeCell ref="JRO65:JRQ65"/>
    <mergeCell ref="JRR65:JRZ65"/>
    <mergeCell ref="JNO65:JNQ65"/>
    <mergeCell ref="JNR65:JNZ65"/>
    <mergeCell ref="JOB65:JOD65"/>
    <mergeCell ref="JOE65:JOM65"/>
    <mergeCell ref="JOO65:JOQ65"/>
    <mergeCell ref="JOR65:JOZ65"/>
    <mergeCell ref="JPB65:JPD65"/>
    <mergeCell ref="JPE65:JPM65"/>
    <mergeCell ref="JPO65:JPQ65"/>
    <mergeCell ref="JLE65:JLM65"/>
    <mergeCell ref="JLO65:JLQ65"/>
    <mergeCell ref="JLR65:JLZ65"/>
    <mergeCell ref="JMB65:JMD65"/>
    <mergeCell ref="JME65:JMM65"/>
    <mergeCell ref="JMO65:JMQ65"/>
    <mergeCell ref="JMR65:JMZ65"/>
    <mergeCell ref="JNB65:JND65"/>
    <mergeCell ref="JNE65:JNM65"/>
    <mergeCell ref="JJB65:JJD65"/>
    <mergeCell ref="JJE65:JJM65"/>
    <mergeCell ref="JJO65:JJQ65"/>
    <mergeCell ref="JJR65:JJZ65"/>
    <mergeCell ref="JKB65:JKD65"/>
    <mergeCell ref="JKE65:JKM65"/>
    <mergeCell ref="JKO65:JKQ65"/>
    <mergeCell ref="JKR65:JKZ65"/>
    <mergeCell ref="JLB65:JLD65"/>
    <mergeCell ref="JGR65:JGZ65"/>
    <mergeCell ref="JHB65:JHD65"/>
    <mergeCell ref="JHE65:JHM65"/>
    <mergeCell ref="JHO65:JHQ65"/>
    <mergeCell ref="JHR65:JHZ65"/>
    <mergeCell ref="JIB65:JID65"/>
    <mergeCell ref="JIE65:JIM65"/>
    <mergeCell ref="JIO65:JIQ65"/>
    <mergeCell ref="JIR65:JIZ65"/>
    <mergeCell ref="JEO65:JEQ65"/>
    <mergeCell ref="JER65:JEZ65"/>
    <mergeCell ref="JFB65:JFD65"/>
    <mergeCell ref="JFE65:JFM65"/>
    <mergeCell ref="JFO65:JFQ65"/>
    <mergeCell ref="JFR65:JFZ65"/>
    <mergeCell ref="JGB65:JGD65"/>
    <mergeCell ref="JGE65:JGM65"/>
    <mergeCell ref="JGO65:JGQ65"/>
    <mergeCell ref="JCE65:JCM65"/>
    <mergeCell ref="JCO65:JCQ65"/>
    <mergeCell ref="JCR65:JCZ65"/>
    <mergeCell ref="JDB65:JDD65"/>
    <mergeCell ref="JDE65:JDM65"/>
    <mergeCell ref="JDO65:JDQ65"/>
    <mergeCell ref="JDR65:JDZ65"/>
    <mergeCell ref="JEB65:JED65"/>
    <mergeCell ref="JEE65:JEM65"/>
    <mergeCell ref="JAB65:JAD65"/>
    <mergeCell ref="JAE65:JAM65"/>
    <mergeCell ref="JAO65:JAQ65"/>
    <mergeCell ref="JAR65:JAZ65"/>
    <mergeCell ref="JBB65:JBD65"/>
    <mergeCell ref="JBE65:JBM65"/>
    <mergeCell ref="JBO65:JBQ65"/>
    <mergeCell ref="JBR65:JBZ65"/>
    <mergeCell ref="JCB65:JCD65"/>
    <mergeCell ref="IXR65:IXZ65"/>
    <mergeCell ref="IYB65:IYD65"/>
    <mergeCell ref="IYE65:IYM65"/>
    <mergeCell ref="IYO65:IYQ65"/>
    <mergeCell ref="IYR65:IYZ65"/>
    <mergeCell ref="IZB65:IZD65"/>
    <mergeCell ref="IZE65:IZM65"/>
    <mergeCell ref="IZO65:IZQ65"/>
    <mergeCell ref="IZR65:IZZ65"/>
    <mergeCell ref="IVO65:IVQ65"/>
    <mergeCell ref="IVR65:IVZ65"/>
    <mergeCell ref="IWB65:IWD65"/>
    <mergeCell ref="IWE65:IWM65"/>
    <mergeCell ref="IWO65:IWQ65"/>
    <mergeCell ref="IWR65:IWZ65"/>
    <mergeCell ref="IXB65:IXD65"/>
    <mergeCell ref="IXE65:IXM65"/>
    <mergeCell ref="IXO65:IXQ65"/>
    <mergeCell ref="ITE65:ITM65"/>
    <mergeCell ref="ITO65:ITQ65"/>
    <mergeCell ref="ITR65:ITZ65"/>
    <mergeCell ref="IUB65:IUD65"/>
    <mergeCell ref="IUE65:IUM65"/>
    <mergeCell ref="IUO65:IUQ65"/>
    <mergeCell ref="IUR65:IUZ65"/>
    <mergeCell ref="IVB65:IVD65"/>
    <mergeCell ref="IVE65:IVM65"/>
    <mergeCell ref="IRB65:IRD65"/>
    <mergeCell ref="IRE65:IRM65"/>
    <mergeCell ref="IRO65:IRQ65"/>
    <mergeCell ref="IRR65:IRZ65"/>
    <mergeCell ref="ISB65:ISD65"/>
    <mergeCell ref="ISE65:ISM65"/>
    <mergeCell ref="ISO65:ISQ65"/>
    <mergeCell ref="ISR65:ISZ65"/>
    <mergeCell ref="ITB65:ITD65"/>
    <mergeCell ref="IOR65:IOZ65"/>
    <mergeCell ref="IPB65:IPD65"/>
    <mergeCell ref="IPE65:IPM65"/>
    <mergeCell ref="IPO65:IPQ65"/>
    <mergeCell ref="IPR65:IPZ65"/>
    <mergeCell ref="IQB65:IQD65"/>
    <mergeCell ref="IQE65:IQM65"/>
    <mergeCell ref="IQO65:IQQ65"/>
    <mergeCell ref="IQR65:IQZ65"/>
    <mergeCell ref="IMO65:IMQ65"/>
    <mergeCell ref="IMR65:IMZ65"/>
    <mergeCell ref="INB65:IND65"/>
    <mergeCell ref="INE65:INM65"/>
    <mergeCell ref="INO65:INQ65"/>
    <mergeCell ref="INR65:INZ65"/>
    <mergeCell ref="IOB65:IOD65"/>
    <mergeCell ref="IOE65:IOM65"/>
    <mergeCell ref="IOO65:IOQ65"/>
    <mergeCell ref="IKE65:IKM65"/>
    <mergeCell ref="IKO65:IKQ65"/>
    <mergeCell ref="IKR65:IKZ65"/>
    <mergeCell ref="ILB65:ILD65"/>
    <mergeCell ref="ILE65:ILM65"/>
    <mergeCell ref="ILO65:ILQ65"/>
    <mergeCell ref="ILR65:ILZ65"/>
    <mergeCell ref="IMB65:IMD65"/>
    <mergeCell ref="IME65:IMM65"/>
    <mergeCell ref="IIB65:IID65"/>
    <mergeCell ref="IIE65:IIM65"/>
    <mergeCell ref="IIO65:IIQ65"/>
    <mergeCell ref="IIR65:IIZ65"/>
    <mergeCell ref="IJB65:IJD65"/>
    <mergeCell ref="IJE65:IJM65"/>
    <mergeCell ref="IJO65:IJQ65"/>
    <mergeCell ref="IJR65:IJZ65"/>
    <mergeCell ref="IKB65:IKD65"/>
    <mergeCell ref="IFR65:IFZ65"/>
    <mergeCell ref="IGB65:IGD65"/>
    <mergeCell ref="IGE65:IGM65"/>
    <mergeCell ref="IGO65:IGQ65"/>
    <mergeCell ref="IGR65:IGZ65"/>
    <mergeCell ref="IHB65:IHD65"/>
    <mergeCell ref="IHE65:IHM65"/>
    <mergeCell ref="IHO65:IHQ65"/>
    <mergeCell ref="IHR65:IHZ65"/>
    <mergeCell ref="IDO65:IDQ65"/>
    <mergeCell ref="IDR65:IDZ65"/>
    <mergeCell ref="IEB65:IED65"/>
    <mergeCell ref="IEE65:IEM65"/>
    <mergeCell ref="IEO65:IEQ65"/>
    <mergeCell ref="IER65:IEZ65"/>
    <mergeCell ref="IFB65:IFD65"/>
    <mergeCell ref="IFE65:IFM65"/>
    <mergeCell ref="IFO65:IFQ65"/>
    <mergeCell ref="IBE65:IBM65"/>
    <mergeCell ref="IBO65:IBQ65"/>
    <mergeCell ref="IBR65:IBZ65"/>
    <mergeCell ref="ICB65:ICD65"/>
    <mergeCell ref="ICE65:ICM65"/>
    <mergeCell ref="ICO65:ICQ65"/>
    <mergeCell ref="ICR65:ICZ65"/>
    <mergeCell ref="IDB65:IDD65"/>
    <mergeCell ref="IDE65:IDM65"/>
    <mergeCell ref="HZB65:HZD65"/>
    <mergeCell ref="HZE65:HZM65"/>
    <mergeCell ref="HZO65:HZQ65"/>
    <mergeCell ref="HZR65:HZZ65"/>
    <mergeCell ref="IAB65:IAD65"/>
    <mergeCell ref="IAE65:IAM65"/>
    <mergeCell ref="IAO65:IAQ65"/>
    <mergeCell ref="IAR65:IAZ65"/>
    <mergeCell ref="IBB65:IBD65"/>
    <mergeCell ref="HWR65:HWZ65"/>
    <mergeCell ref="HXB65:HXD65"/>
    <mergeCell ref="HXE65:HXM65"/>
    <mergeCell ref="HXO65:HXQ65"/>
    <mergeCell ref="HXR65:HXZ65"/>
    <mergeCell ref="HYB65:HYD65"/>
    <mergeCell ref="HYE65:HYM65"/>
    <mergeCell ref="HYO65:HYQ65"/>
    <mergeCell ref="HYR65:HYZ65"/>
    <mergeCell ref="HUO65:HUQ65"/>
    <mergeCell ref="HUR65:HUZ65"/>
    <mergeCell ref="HVB65:HVD65"/>
    <mergeCell ref="HVE65:HVM65"/>
    <mergeCell ref="HVO65:HVQ65"/>
    <mergeCell ref="HVR65:HVZ65"/>
    <mergeCell ref="HWB65:HWD65"/>
    <mergeCell ref="HWE65:HWM65"/>
    <mergeCell ref="HWO65:HWQ65"/>
    <mergeCell ref="HSE65:HSM65"/>
    <mergeCell ref="HSO65:HSQ65"/>
    <mergeCell ref="HSR65:HSZ65"/>
    <mergeCell ref="HTB65:HTD65"/>
    <mergeCell ref="HTE65:HTM65"/>
    <mergeCell ref="HTO65:HTQ65"/>
    <mergeCell ref="HTR65:HTZ65"/>
    <mergeCell ref="HUB65:HUD65"/>
    <mergeCell ref="HUE65:HUM65"/>
    <mergeCell ref="HQB65:HQD65"/>
    <mergeCell ref="HQE65:HQM65"/>
    <mergeCell ref="HQO65:HQQ65"/>
    <mergeCell ref="HQR65:HQZ65"/>
    <mergeCell ref="HRB65:HRD65"/>
    <mergeCell ref="HRE65:HRM65"/>
    <mergeCell ref="HRO65:HRQ65"/>
    <mergeCell ref="HRR65:HRZ65"/>
    <mergeCell ref="HSB65:HSD65"/>
    <mergeCell ref="HNR65:HNZ65"/>
    <mergeCell ref="HOB65:HOD65"/>
    <mergeCell ref="HOE65:HOM65"/>
    <mergeCell ref="HOO65:HOQ65"/>
    <mergeCell ref="HOR65:HOZ65"/>
    <mergeCell ref="HPB65:HPD65"/>
    <mergeCell ref="HPE65:HPM65"/>
    <mergeCell ref="HPO65:HPQ65"/>
    <mergeCell ref="HPR65:HPZ65"/>
    <mergeCell ref="HLO65:HLQ65"/>
    <mergeCell ref="HLR65:HLZ65"/>
    <mergeCell ref="HMB65:HMD65"/>
    <mergeCell ref="HME65:HMM65"/>
    <mergeCell ref="HMO65:HMQ65"/>
    <mergeCell ref="HMR65:HMZ65"/>
    <mergeCell ref="HNB65:HND65"/>
    <mergeCell ref="HNE65:HNM65"/>
    <mergeCell ref="HNO65:HNQ65"/>
    <mergeCell ref="HJE65:HJM65"/>
    <mergeCell ref="HJO65:HJQ65"/>
    <mergeCell ref="HJR65:HJZ65"/>
    <mergeCell ref="HKB65:HKD65"/>
    <mergeCell ref="HKE65:HKM65"/>
    <mergeCell ref="HKO65:HKQ65"/>
    <mergeCell ref="HKR65:HKZ65"/>
    <mergeCell ref="HLB65:HLD65"/>
    <mergeCell ref="HLE65:HLM65"/>
    <mergeCell ref="HHB65:HHD65"/>
    <mergeCell ref="HHE65:HHM65"/>
    <mergeCell ref="HHO65:HHQ65"/>
    <mergeCell ref="HHR65:HHZ65"/>
    <mergeCell ref="HIB65:HID65"/>
    <mergeCell ref="HIE65:HIM65"/>
    <mergeCell ref="HIO65:HIQ65"/>
    <mergeCell ref="HIR65:HIZ65"/>
    <mergeCell ref="HJB65:HJD65"/>
    <mergeCell ref="HER65:HEZ65"/>
    <mergeCell ref="HFB65:HFD65"/>
    <mergeCell ref="HFE65:HFM65"/>
    <mergeCell ref="HFO65:HFQ65"/>
    <mergeCell ref="HFR65:HFZ65"/>
    <mergeCell ref="HGB65:HGD65"/>
    <mergeCell ref="HGE65:HGM65"/>
    <mergeCell ref="HGO65:HGQ65"/>
    <mergeCell ref="HGR65:HGZ65"/>
    <mergeCell ref="HCO65:HCQ65"/>
    <mergeCell ref="HCR65:HCZ65"/>
    <mergeCell ref="HDB65:HDD65"/>
    <mergeCell ref="HDE65:HDM65"/>
    <mergeCell ref="HDO65:HDQ65"/>
    <mergeCell ref="HDR65:HDZ65"/>
    <mergeCell ref="HEB65:HED65"/>
    <mergeCell ref="HEE65:HEM65"/>
    <mergeCell ref="HEO65:HEQ65"/>
    <mergeCell ref="HAE65:HAM65"/>
    <mergeCell ref="HAO65:HAQ65"/>
    <mergeCell ref="HAR65:HAZ65"/>
    <mergeCell ref="HBB65:HBD65"/>
    <mergeCell ref="HBE65:HBM65"/>
    <mergeCell ref="HBO65:HBQ65"/>
    <mergeCell ref="HBR65:HBZ65"/>
    <mergeCell ref="HCB65:HCD65"/>
    <mergeCell ref="HCE65:HCM65"/>
    <mergeCell ref="GYB65:GYD65"/>
    <mergeCell ref="GYE65:GYM65"/>
    <mergeCell ref="GYO65:GYQ65"/>
    <mergeCell ref="GYR65:GYZ65"/>
    <mergeCell ref="GZB65:GZD65"/>
    <mergeCell ref="GZE65:GZM65"/>
    <mergeCell ref="GZO65:GZQ65"/>
    <mergeCell ref="GZR65:GZZ65"/>
    <mergeCell ref="HAB65:HAD65"/>
    <mergeCell ref="GVR65:GVZ65"/>
    <mergeCell ref="GWB65:GWD65"/>
    <mergeCell ref="GWE65:GWM65"/>
    <mergeCell ref="GWO65:GWQ65"/>
    <mergeCell ref="GWR65:GWZ65"/>
    <mergeCell ref="GXB65:GXD65"/>
    <mergeCell ref="GXE65:GXM65"/>
    <mergeCell ref="GXO65:GXQ65"/>
    <mergeCell ref="GXR65:GXZ65"/>
    <mergeCell ref="GTO65:GTQ65"/>
    <mergeCell ref="GTR65:GTZ65"/>
    <mergeCell ref="GUB65:GUD65"/>
    <mergeCell ref="GUE65:GUM65"/>
    <mergeCell ref="GUO65:GUQ65"/>
    <mergeCell ref="GUR65:GUZ65"/>
    <mergeCell ref="GVB65:GVD65"/>
    <mergeCell ref="GVE65:GVM65"/>
    <mergeCell ref="GVO65:GVQ65"/>
    <mergeCell ref="GRE65:GRM65"/>
    <mergeCell ref="GRO65:GRQ65"/>
    <mergeCell ref="GRR65:GRZ65"/>
    <mergeCell ref="GSB65:GSD65"/>
    <mergeCell ref="GSE65:GSM65"/>
    <mergeCell ref="GSO65:GSQ65"/>
    <mergeCell ref="GSR65:GSZ65"/>
    <mergeCell ref="GTB65:GTD65"/>
    <mergeCell ref="GTE65:GTM65"/>
    <mergeCell ref="GPB65:GPD65"/>
    <mergeCell ref="GPE65:GPM65"/>
    <mergeCell ref="GPO65:GPQ65"/>
    <mergeCell ref="GPR65:GPZ65"/>
    <mergeCell ref="GQB65:GQD65"/>
    <mergeCell ref="GQE65:GQM65"/>
    <mergeCell ref="GQO65:GQQ65"/>
    <mergeCell ref="GQR65:GQZ65"/>
    <mergeCell ref="GRB65:GRD65"/>
    <mergeCell ref="GMR65:GMZ65"/>
    <mergeCell ref="GNB65:GND65"/>
    <mergeCell ref="GNE65:GNM65"/>
    <mergeCell ref="GNO65:GNQ65"/>
    <mergeCell ref="GNR65:GNZ65"/>
    <mergeCell ref="GOB65:GOD65"/>
    <mergeCell ref="GOE65:GOM65"/>
    <mergeCell ref="GOO65:GOQ65"/>
    <mergeCell ref="GOR65:GOZ65"/>
    <mergeCell ref="GKO65:GKQ65"/>
    <mergeCell ref="GKR65:GKZ65"/>
    <mergeCell ref="GLB65:GLD65"/>
    <mergeCell ref="GLE65:GLM65"/>
    <mergeCell ref="GLO65:GLQ65"/>
    <mergeCell ref="GLR65:GLZ65"/>
    <mergeCell ref="GMB65:GMD65"/>
    <mergeCell ref="GME65:GMM65"/>
    <mergeCell ref="GMO65:GMQ65"/>
    <mergeCell ref="GIE65:GIM65"/>
    <mergeCell ref="GIO65:GIQ65"/>
    <mergeCell ref="GIR65:GIZ65"/>
    <mergeCell ref="GJB65:GJD65"/>
    <mergeCell ref="GJE65:GJM65"/>
    <mergeCell ref="GJO65:GJQ65"/>
    <mergeCell ref="GJR65:GJZ65"/>
    <mergeCell ref="GKB65:GKD65"/>
    <mergeCell ref="GKE65:GKM65"/>
    <mergeCell ref="GGB65:GGD65"/>
    <mergeCell ref="GGE65:GGM65"/>
    <mergeCell ref="GGO65:GGQ65"/>
    <mergeCell ref="GGR65:GGZ65"/>
    <mergeCell ref="GHB65:GHD65"/>
    <mergeCell ref="GHE65:GHM65"/>
    <mergeCell ref="GHO65:GHQ65"/>
    <mergeCell ref="GHR65:GHZ65"/>
    <mergeCell ref="GIB65:GID65"/>
    <mergeCell ref="GDR65:GDZ65"/>
    <mergeCell ref="GEB65:GED65"/>
    <mergeCell ref="GEE65:GEM65"/>
    <mergeCell ref="GEO65:GEQ65"/>
    <mergeCell ref="GER65:GEZ65"/>
    <mergeCell ref="GFB65:GFD65"/>
    <mergeCell ref="GFE65:GFM65"/>
    <mergeCell ref="GFO65:GFQ65"/>
    <mergeCell ref="GFR65:GFZ65"/>
    <mergeCell ref="GBO65:GBQ65"/>
    <mergeCell ref="GBR65:GBZ65"/>
    <mergeCell ref="GCB65:GCD65"/>
    <mergeCell ref="GCE65:GCM65"/>
    <mergeCell ref="GCO65:GCQ65"/>
    <mergeCell ref="GCR65:GCZ65"/>
    <mergeCell ref="GDB65:GDD65"/>
    <mergeCell ref="GDE65:GDM65"/>
    <mergeCell ref="GDO65:GDQ65"/>
    <mergeCell ref="FZE65:FZM65"/>
    <mergeCell ref="FZO65:FZQ65"/>
    <mergeCell ref="FZR65:FZZ65"/>
    <mergeCell ref="GAB65:GAD65"/>
    <mergeCell ref="GAE65:GAM65"/>
    <mergeCell ref="GAO65:GAQ65"/>
    <mergeCell ref="GAR65:GAZ65"/>
    <mergeCell ref="GBB65:GBD65"/>
    <mergeCell ref="GBE65:GBM65"/>
    <mergeCell ref="FXB65:FXD65"/>
    <mergeCell ref="FXE65:FXM65"/>
    <mergeCell ref="FXO65:FXQ65"/>
    <mergeCell ref="FXR65:FXZ65"/>
    <mergeCell ref="FYB65:FYD65"/>
    <mergeCell ref="FYE65:FYM65"/>
    <mergeCell ref="FYO65:FYQ65"/>
    <mergeCell ref="FYR65:FYZ65"/>
    <mergeCell ref="FZB65:FZD65"/>
    <mergeCell ref="FUR65:FUZ65"/>
    <mergeCell ref="FVB65:FVD65"/>
    <mergeCell ref="FVE65:FVM65"/>
    <mergeCell ref="FVO65:FVQ65"/>
    <mergeCell ref="FVR65:FVZ65"/>
    <mergeCell ref="FWB65:FWD65"/>
    <mergeCell ref="FWE65:FWM65"/>
    <mergeCell ref="FWO65:FWQ65"/>
    <mergeCell ref="FWR65:FWZ65"/>
    <mergeCell ref="FSO65:FSQ65"/>
    <mergeCell ref="FSR65:FSZ65"/>
    <mergeCell ref="FTB65:FTD65"/>
    <mergeCell ref="FTE65:FTM65"/>
    <mergeCell ref="FTO65:FTQ65"/>
    <mergeCell ref="FTR65:FTZ65"/>
    <mergeCell ref="FUB65:FUD65"/>
    <mergeCell ref="FUE65:FUM65"/>
    <mergeCell ref="FUO65:FUQ65"/>
    <mergeCell ref="FQE65:FQM65"/>
    <mergeCell ref="FQO65:FQQ65"/>
    <mergeCell ref="FQR65:FQZ65"/>
    <mergeCell ref="FRB65:FRD65"/>
    <mergeCell ref="FRE65:FRM65"/>
    <mergeCell ref="FRO65:FRQ65"/>
    <mergeCell ref="FRR65:FRZ65"/>
    <mergeCell ref="FSB65:FSD65"/>
    <mergeCell ref="FSE65:FSM65"/>
    <mergeCell ref="FOB65:FOD65"/>
    <mergeCell ref="FOE65:FOM65"/>
    <mergeCell ref="FOO65:FOQ65"/>
    <mergeCell ref="FOR65:FOZ65"/>
    <mergeCell ref="FPB65:FPD65"/>
    <mergeCell ref="FPE65:FPM65"/>
    <mergeCell ref="FPO65:FPQ65"/>
    <mergeCell ref="FPR65:FPZ65"/>
    <mergeCell ref="FQB65:FQD65"/>
    <mergeCell ref="FLR65:FLZ65"/>
    <mergeCell ref="FMB65:FMD65"/>
    <mergeCell ref="FME65:FMM65"/>
    <mergeCell ref="FMO65:FMQ65"/>
    <mergeCell ref="FMR65:FMZ65"/>
    <mergeCell ref="FNB65:FND65"/>
    <mergeCell ref="FNE65:FNM65"/>
    <mergeCell ref="FNO65:FNQ65"/>
    <mergeCell ref="FNR65:FNZ65"/>
    <mergeCell ref="FJO65:FJQ65"/>
    <mergeCell ref="FJR65:FJZ65"/>
    <mergeCell ref="FKB65:FKD65"/>
    <mergeCell ref="FKE65:FKM65"/>
    <mergeCell ref="FKO65:FKQ65"/>
    <mergeCell ref="FKR65:FKZ65"/>
    <mergeCell ref="FLB65:FLD65"/>
    <mergeCell ref="FLE65:FLM65"/>
    <mergeCell ref="FLO65:FLQ65"/>
    <mergeCell ref="FHE65:FHM65"/>
    <mergeCell ref="FHO65:FHQ65"/>
    <mergeCell ref="FHR65:FHZ65"/>
    <mergeCell ref="FIB65:FID65"/>
    <mergeCell ref="FIE65:FIM65"/>
    <mergeCell ref="FIO65:FIQ65"/>
    <mergeCell ref="FIR65:FIZ65"/>
    <mergeCell ref="FJB65:FJD65"/>
    <mergeCell ref="FJE65:FJM65"/>
    <mergeCell ref="FFB65:FFD65"/>
    <mergeCell ref="FFE65:FFM65"/>
    <mergeCell ref="FFO65:FFQ65"/>
    <mergeCell ref="FFR65:FFZ65"/>
    <mergeCell ref="FGB65:FGD65"/>
    <mergeCell ref="FGE65:FGM65"/>
    <mergeCell ref="FGO65:FGQ65"/>
    <mergeCell ref="FGR65:FGZ65"/>
    <mergeCell ref="FHB65:FHD65"/>
    <mergeCell ref="FCR65:FCZ65"/>
    <mergeCell ref="FDB65:FDD65"/>
    <mergeCell ref="FDE65:FDM65"/>
    <mergeCell ref="FDO65:FDQ65"/>
    <mergeCell ref="FDR65:FDZ65"/>
    <mergeCell ref="FEB65:FED65"/>
    <mergeCell ref="FEE65:FEM65"/>
    <mergeCell ref="FEO65:FEQ65"/>
    <mergeCell ref="FER65:FEZ65"/>
    <mergeCell ref="FAO65:FAQ65"/>
    <mergeCell ref="FAR65:FAZ65"/>
    <mergeCell ref="FBB65:FBD65"/>
    <mergeCell ref="FBE65:FBM65"/>
    <mergeCell ref="FBO65:FBQ65"/>
    <mergeCell ref="FBR65:FBZ65"/>
    <mergeCell ref="FCB65:FCD65"/>
    <mergeCell ref="FCE65:FCM65"/>
    <mergeCell ref="FCO65:FCQ65"/>
    <mergeCell ref="EYE65:EYM65"/>
    <mergeCell ref="EYO65:EYQ65"/>
    <mergeCell ref="EYR65:EYZ65"/>
    <mergeCell ref="EZB65:EZD65"/>
    <mergeCell ref="EZE65:EZM65"/>
    <mergeCell ref="EZO65:EZQ65"/>
    <mergeCell ref="EZR65:EZZ65"/>
    <mergeCell ref="FAB65:FAD65"/>
    <mergeCell ref="FAE65:FAM65"/>
    <mergeCell ref="EWB65:EWD65"/>
    <mergeCell ref="EWE65:EWM65"/>
    <mergeCell ref="EWO65:EWQ65"/>
    <mergeCell ref="EWR65:EWZ65"/>
    <mergeCell ref="EXB65:EXD65"/>
    <mergeCell ref="EXE65:EXM65"/>
    <mergeCell ref="EXO65:EXQ65"/>
    <mergeCell ref="EXR65:EXZ65"/>
    <mergeCell ref="EYB65:EYD65"/>
    <mergeCell ref="ETR65:ETZ65"/>
    <mergeCell ref="EUB65:EUD65"/>
    <mergeCell ref="EUE65:EUM65"/>
    <mergeCell ref="EUO65:EUQ65"/>
    <mergeCell ref="EUR65:EUZ65"/>
    <mergeCell ref="EVB65:EVD65"/>
    <mergeCell ref="EVE65:EVM65"/>
    <mergeCell ref="EVO65:EVQ65"/>
    <mergeCell ref="EVR65:EVZ65"/>
    <mergeCell ref="ERO65:ERQ65"/>
    <mergeCell ref="ERR65:ERZ65"/>
    <mergeCell ref="ESB65:ESD65"/>
    <mergeCell ref="ESE65:ESM65"/>
    <mergeCell ref="ESO65:ESQ65"/>
    <mergeCell ref="ESR65:ESZ65"/>
    <mergeCell ref="ETB65:ETD65"/>
    <mergeCell ref="ETE65:ETM65"/>
    <mergeCell ref="ETO65:ETQ65"/>
    <mergeCell ref="EPE65:EPM65"/>
    <mergeCell ref="EPO65:EPQ65"/>
    <mergeCell ref="EPR65:EPZ65"/>
    <mergeCell ref="EQB65:EQD65"/>
    <mergeCell ref="EQE65:EQM65"/>
    <mergeCell ref="EQO65:EQQ65"/>
    <mergeCell ref="EQR65:EQZ65"/>
    <mergeCell ref="ERB65:ERD65"/>
    <mergeCell ref="ERE65:ERM65"/>
    <mergeCell ref="ENB65:END65"/>
    <mergeCell ref="ENE65:ENM65"/>
    <mergeCell ref="ENO65:ENQ65"/>
    <mergeCell ref="ENR65:ENZ65"/>
    <mergeCell ref="EOB65:EOD65"/>
    <mergeCell ref="EOE65:EOM65"/>
    <mergeCell ref="EOO65:EOQ65"/>
    <mergeCell ref="EOR65:EOZ65"/>
    <mergeCell ref="EPB65:EPD65"/>
    <mergeCell ref="EKR65:EKZ65"/>
    <mergeCell ref="ELB65:ELD65"/>
    <mergeCell ref="ELE65:ELM65"/>
    <mergeCell ref="ELO65:ELQ65"/>
    <mergeCell ref="ELR65:ELZ65"/>
    <mergeCell ref="EMB65:EMD65"/>
    <mergeCell ref="EME65:EMM65"/>
    <mergeCell ref="EMO65:EMQ65"/>
    <mergeCell ref="EMR65:EMZ65"/>
    <mergeCell ref="EIO65:EIQ65"/>
    <mergeCell ref="EIR65:EIZ65"/>
    <mergeCell ref="EJB65:EJD65"/>
    <mergeCell ref="EJE65:EJM65"/>
    <mergeCell ref="EJO65:EJQ65"/>
    <mergeCell ref="EJR65:EJZ65"/>
    <mergeCell ref="EKB65:EKD65"/>
    <mergeCell ref="EKE65:EKM65"/>
    <mergeCell ref="EKO65:EKQ65"/>
    <mergeCell ref="EGE65:EGM65"/>
    <mergeCell ref="EGO65:EGQ65"/>
    <mergeCell ref="EGR65:EGZ65"/>
    <mergeCell ref="EHB65:EHD65"/>
    <mergeCell ref="EHE65:EHM65"/>
    <mergeCell ref="EHO65:EHQ65"/>
    <mergeCell ref="EHR65:EHZ65"/>
    <mergeCell ref="EIB65:EID65"/>
    <mergeCell ref="EIE65:EIM65"/>
    <mergeCell ref="EEB65:EED65"/>
    <mergeCell ref="EEE65:EEM65"/>
    <mergeCell ref="EEO65:EEQ65"/>
    <mergeCell ref="EER65:EEZ65"/>
    <mergeCell ref="EFB65:EFD65"/>
    <mergeCell ref="EFE65:EFM65"/>
    <mergeCell ref="EFO65:EFQ65"/>
    <mergeCell ref="EFR65:EFZ65"/>
    <mergeCell ref="EGB65:EGD65"/>
    <mergeCell ref="EBR65:EBZ65"/>
    <mergeCell ref="ECB65:ECD65"/>
    <mergeCell ref="ECE65:ECM65"/>
    <mergeCell ref="ECO65:ECQ65"/>
    <mergeCell ref="ECR65:ECZ65"/>
    <mergeCell ref="EDB65:EDD65"/>
    <mergeCell ref="EDE65:EDM65"/>
    <mergeCell ref="EDO65:EDQ65"/>
    <mergeCell ref="EDR65:EDZ65"/>
    <mergeCell ref="DZO65:DZQ65"/>
    <mergeCell ref="DZR65:DZZ65"/>
    <mergeCell ref="EAB65:EAD65"/>
    <mergeCell ref="EAE65:EAM65"/>
    <mergeCell ref="EAO65:EAQ65"/>
    <mergeCell ref="EAR65:EAZ65"/>
    <mergeCell ref="EBB65:EBD65"/>
    <mergeCell ref="EBE65:EBM65"/>
    <mergeCell ref="EBO65:EBQ65"/>
    <mergeCell ref="DXE65:DXM65"/>
    <mergeCell ref="DXO65:DXQ65"/>
    <mergeCell ref="DXR65:DXZ65"/>
    <mergeCell ref="DYB65:DYD65"/>
    <mergeCell ref="DYE65:DYM65"/>
    <mergeCell ref="DYO65:DYQ65"/>
    <mergeCell ref="DYR65:DYZ65"/>
    <mergeCell ref="DZB65:DZD65"/>
    <mergeCell ref="DZE65:DZM65"/>
    <mergeCell ref="DVB65:DVD65"/>
    <mergeCell ref="DVE65:DVM65"/>
    <mergeCell ref="DVO65:DVQ65"/>
    <mergeCell ref="DVR65:DVZ65"/>
    <mergeCell ref="DWB65:DWD65"/>
    <mergeCell ref="DWE65:DWM65"/>
    <mergeCell ref="DWO65:DWQ65"/>
    <mergeCell ref="DWR65:DWZ65"/>
    <mergeCell ref="DXB65:DXD65"/>
    <mergeCell ref="DSR65:DSZ65"/>
    <mergeCell ref="DTB65:DTD65"/>
    <mergeCell ref="DTE65:DTM65"/>
    <mergeCell ref="DTO65:DTQ65"/>
    <mergeCell ref="DTR65:DTZ65"/>
    <mergeCell ref="DUB65:DUD65"/>
    <mergeCell ref="DUE65:DUM65"/>
    <mergeCell ref="DUO65:DUQ65"/>
    <mergeCell ref="DUR65:DUZ65"/>
    <mergeCell ref="DQO65:DQQ65"/>
    <mergeCell ref="DQR65:DQZ65"/>
    <mergeCell ref="DRB65:DRD65"/>
    <mergeCell ref="DRE65:DRM65"/>
    <mergeCell ref="DRO65:DRQ65"/>
    <mergeCell ref="DRR65:DRZ65"/>
    <mergeCell ref="DSB65:DSD65"/>
    <mergeCell ref="DSE65:DSM65"/>
    <mergeCell ref="DSO65:DSQ65"/>
    <mergeCell ref="DOE65:DOM65"/>
    <mergeCell ref="DOO65:DOQ65"/>
    <mergeCell ref="DOR65:DOZ65"/>
    <mergeCell ref="DPB65:DPD65"/>
    <mergeCell ref="DPE65:DPM65"/>
    <mergeCell ref="DPO65:DPQ65"/>
    <mergeCell ref="DPR65:DPZ65"/>
    <mergeCell ref="DQB65:DQD65"/>
    <mergeCell ref="DQE65:DQM65"/>
    <mergeCell ref="DMB65:DMD65"/>
    <mergeCell ref="DME65:DMM65"/>
    <mergeCell ref="DMO65:DMQ65"/>
    <mergeCell ref="DMR65:DMZ65"/>
    <mergeCell ref="DNB65:DND65"/>
    <mergeCell ref="DNE65:DNM65"/>
    <mergeCell ref="DNO65:DNQ65"/>
    <mergeCell ref="DNR65:DNZ65"/>
    <mergeCell ref="DOB65:DOD65"/>
    <mergeCell ref="DJR65:DJZ65"/>
    <mergeCell ref="DKB65:DKD65"/>
    <mergeCell ref="DKE65:DKM65"/>
    <mergeCell ref="DKO65:DKQ65"/>
    <mergeCell ref="DKR65:DKZ65"/>
    <mergeCell ref="DLB65:DLD65"/>
    <mergeCell ref="DLE65:DLM65"/>
    <mergeCell ref="DLO65:DLQ65"/>
    <mergeCell ref="DLR65:DLZ65"/>
    <mergeCell ref="DHO65:DHQ65"/>
    <mergeCell ref="DHR65:DHZ65"/>
    <mergeCell ref="DIB65:DID65"/>
    <mergeCell ref="DIE65:DIM65"/>
    <mergeCell ref="DIO65:DIQ65"/>
    <mergeCell ref="DIR65:DIZ65"/>
    <mergeCell ref="DJB65:DJD65"/>
    <mergeCell ref="DJE65:DJM65"/>
    <mergeCell ref="DJO65:DJQ65"/>
    <mergeCell ref="DFE65:DFM65"/>
    <mergeCell ref="DFO65:DFQ65"/>
    <mergeCell ref="DFR65:DFZ65"/>
    <mergeCell ref="DGB65:DGD65"/>
    <mergeCell ref="DGE65:DGM65"/>
    <mergeCell ref="DGO65:DGQ65"/>
    <mergeCell ref="DGR65:DGZ65"/>
    <mergeCell ref="DHB65:DHD65"/>
    <mergeCell ref="DHE65:DHM65"/>
    <mergeCell ref="DDB65:DDD65"/>
    <mergeCell ref="DDE65:DDM65"/>
    <mergeCell ref="DDO65:DDQ65"/>
    <mergeCell ref="DDR65:DDZ65"/>
    <mergeCell ref="DEB65:DED65"/>
    <mergeCell ref="DEE65:DEM65"/>
    <mergeCell ref="DEO65:DEQ65"/>
    <mergeCell ref="DER65:DEZ65"/>
    <mergeCell ref="DFB65:DFD65"/>
    <mergeCell ref="DAR65:DAZ65"/>
    <mergeCell ref="DBB65:DBD65"/>
    <mergeCell ref="DBE65:DBM65"/>
    <mergeCell ref="DBO65:DBQ65"/>
    <mergeCell ref="DBR65:DBZ65"/>
    <mergeCell ref="DCB65:DCD65"/>
    <mergeCell ref="DCE65:DCM65"/>
    <mergeCell ref="DCO65:DCQ65"/>
    <mergeCell ref="DCR65:DCZ65"/>
    <mergeCell ref="CYO65:CYQ65"/>
    <mergeCell ref="CYR65:CYZ65"/>
    <mergeCell ref="CZB65:CZD65"/>
    <mergeCell ref="CZE65:CZM65"/>
    <mergeCell ref="CZO65:CZQ65"/>
    <mergeCell ref="CZR65:CZZ65"/>
    <mergeCell ref="DAB65:DAD65"/>
    <mergeCell ref="DAE65:DAM65"/>
    <mergeCell ref="DAO65:DAQ65"/>
    <mergeCell ref="CWE65:CWM65"/>
    <mergeCell ref="CWO65:CWQ65"/>
    <mergeCell ref="CWR65:CWZ65"/>
    <mergeCell ref="CXB65:CXD65"/>
    <mergeCell ref="CXE65:CXM65"/>
    <mergeCell ref="CXO65:CXQ65"/>
    <mergeCell ref="CXR65:CXZ65"/>
    <mergeCell ref="CYB65:CYD65"/>
    <mergeCell ref="CYE65:CYM65"/>
    <mergeCell ref="CUB65:CUD65"/>
    <mergeCell ref="CUE65:CUM65"/>
    <mergeCell ref="CUO65:CUQ65"/>
    <mergeCell ref="CUR65:CUZ65"/>
    <mergeCell ref="CVB65:CVD65"/>
    <mergeCell ref="CVE65:CVM65"/>
    <mergeCell ref="CVO65:CVQ65"/>
    <mergeCell ref="CVR65:CVZ65"/>
    <mergeCell ref="CWB65:CWD65"/>
    <mergeCell ref="CRR65:CRZ65"/>
    <mergeCell ref="CSB65:CSD65"/>
    <mergeCell ref="CSE65:CSM65"/>
    <mergeCell ref="CSO65:CSQ65"/>
    <mergeCell ref="CSR65:CSZ65"/>
    <mergeCell ref="CTB65:CTD65"/>
    <mergeCell ref="CTE65:CTM65"/>
    <mergeCell ref="CTO65:CTQ65"/>
    <mergeCell ref="CTR65:CTZ65"/>
    <mergeCell ref="CPO65:CPQ65"/>
    <mergeCell ref="CPR65:CPZ65"/>
    <mergeCell ref="CQB65:CQD65"/>
    <mergeCell ref="CQE65:CQM65"/>
    <mergeCell ref="CQO65:CQQ65"/>
    <mergeCell ref="CQR65:CQZ65"/>
    <mergeCell ref="CRB65:CRD65"/>
    <mergeCell ref="CRE65:CRM65"/>
    <mergeCell ref="CRO65:CRQ65"/>
    <mergeCell ref="CNE65:CNM65"/>
    <mergeCell ref="CNO65:CNQ65"/>
    <mergeCell ref="CNR65:CNZ65"/>
    <mergeCell ref="COB65:COD65"/>
    <mergeCell ref="COE65:COM65"/>
    <mergeCell ref="COO65:COQ65"/>
    <mergeCell ref="COR65:COZ65"/>
    <mergeCell ref="CPB65:CPD65"/>
    <mergeCell ref="CPE65:CPM65"/>
    <mergeCell ref="CLB65:CLD65"/>
    <mergeCell ref="CLE65:CLM65"/>
    <mergeCell ref="CLO65:CLQ65"/>
    <mergeCell ref="CLR65:CLZ65"/>
    <mergeCell ref="CMB65:CMD65"/>
    <mergeCell ref="CME65:CMM65"/>
    <mergeCell ref="CMO65:CMQ65"/>
    <mergeCell ref="CMR65:CMZ65"/>
    <mergeCell ref="CNB65:CND65"/>
    <mergeCell ref="CIR65:CIZ65"/>
    <mergeCell ref="CJB65:CJD65"/>
    <mergeCell ref="CJE65:CJM65"/>
    <mergeCell ref="CJO65:CJQ65"/>
    <mergeCell ref="CJR65:CJZ65"/>
    <mergeCell ref="CKB65:CKD65"/>
    <mergeCell ref="CKE65:CKM65"/>
    <mergeCell ref="CKO65:CKQ65"/>
    <mergeCell ref="CKR65:CKZ65"/>
    <mergeCell ref="CGO65:CGQ65"/>
    <mergeCell ref="CGR65:CGZ65"/>
    <mergeCell ref="CHB65:CHD65"/>
    <mergeCell ref="CHE65:CHM65"/>
    <mergeCell ref="CHO65:CHQ65"/>
    <mergeCell ref="CHR65:CHZ65"/>
    <mergeCell ref="CIB65:CID65"/>
    <mergeCell ref="CIE65:CIM65"/>
    <mergeCell ref="CIO65:CIQ65"/>
    <mergeCell ref="CEE65:CEM65"/>
    <mergeCell ref="CEO65:CEQ65"/>
    <mergeCell ref="CER65:CEZ65"/>
    <mergeCell ref="CFB65:CFD65"/>
    <mergeCell ref="CFE65:CFM65"/>
    <mergeCell ref="CFO65:CFQ65"/>
    <mergeCell ref="CFR65:CFZ65"/>
    <mergeCell ref="CGB65:CGD65"/>
    <mergeCell ref="CGE65:CGM65"/>
    <mergeCell ref="CCB65:CCD65"/>
    <mergeCell ref="CCE65:CCM65"/>
    <mergeCell ref="CCO65:CCQ65"/>
    <mergeCell ref="CCR65:CCZ65"/>
    <mergeCell ref="CDB65:CDD65"/>
    <mergeCell ref="CDE65:CDM65"/>
    <mergeCell ref="CDO65:CDQ65"/>
    <mergeCell ref="CDR65:CDZ65"/>
    <mergeCell ref="CEB65:CED65"/>
    <mergeCell ref="BZR65:BZZ65"/>
    <mergeCell ref="CAB65:CAD65"/>
    <mergeCell ref="CAE65:CAM65"/>
    <mergeCell ref="CAO65:CAQ65"/>
    <mergeCell ref="CAR65:CAZ65"/>
    <mergeCell ref="CBB65:CBD65"/>
    <mergeCell ref="CBE65:CBM65"/>
    <mergeCell ref="CBO65:CBQ65"/>
    <mergeCell ref="CBR65:CBZ65"/>
    <mergeCell ref="BXO65:BXQ65"/>
    <mergeCell ref="BXR65:BXZ65"/>
    <mergeCell ref="BYB65:BYD65"/>
    <mergeCell ref="BYE65:BYM65"/>
    <mergeCell ref="BYO65:BYQ65"/>
    <mergeCell ref="BYR65:BYZ65"/>
    <mergeCell ref="BZB65:BZD65"/>
    <mergeCell ref="BZE65:BZM65"/>
    <mergeCell ref="BZO65:BZQ65"/>
    <mergeCell ref="BVE65:BVM65"/>
    <mergeCell ref="BVO65:BVQ65"/>
    <mergeCell ref="BVR65:BVZ65"/>
    <mergeCell ref="BWB65:BWD65"/>
    <mergeCell ref="BWE65:BWM65"/>
    <mergeCell ref="BWO65:BWQ65"/>
    <mergeCell ref="BWR65:BWZ65"/>
    <mergeCell ref="BXB65:BXD65"/>
    <mergeCell ref="BXE65:BXM65"/>
    <mergeCell ref="BTB65:BTD65"/>
    <mergeCell ref="BTE65:BTM65"/>
    <mergeCell ref="BTO65:BTQ65"/>
    <mergeCell ref="BTR65:BTZ65"/>
    <mergeCell ref="BUB65:BUD65"/>
    <mergeCell ref="BUE65:BUM65"/>
    <mergeCell ref="BUO65:BUQ65"/>
    <mergeCell ref="BUR65:BUZ65"/>
    <mergeCell ref="BVB65:BVD65"/>
    <mergeCell ref="BQR65:BQZ65"/>
    <mergeCell ref="BRB65:BRD65"/>
    <mergeCell ref="BRE65:BRM65"/>
    <mergeCell ref="BRO65:BRQ65"/>
    <mergeCell ref="BRR65:BRZ65"/>
    <mergeCell ref="BSB65:BSD65"/>
    <mergeCell ref="BSE65:BSM65"/>
    <mergeCell ref="BSO65:BSQ65"/>
    <mergeCell ref="BSR65:BSZ65"/>
    <mergeCell ref="BOO65:BOQ65"/>
    <mergeCell ref="BOR65:BOZ65"/>
    <mergeCell ref="BPB65:BPD65"/>
    <mergeCell ref="BPE65:BPM65"/>
    <mergeCell ref="BPO65:BPQ65"/>
    <mergeCell ref="BPR65:BPZ65"/>
    <mergeCell ref="BQB65:BQD65"/>
    <mergeCell ref="BQE65:BQM65"/>
    <mergeCell ref="BQO65:BQQ65"/>
    <mergeCell ref="BME65:BMM65"/>
    <mergeCell ref="BMO65:BMQ65"/>
    <mergeCell ref="BMR65:BMZ65"/>
    <mergeCell ref="BNB65:BND65"/>
    <mergeCell ref="BNE65:BNM65"/>
    <mergeCell ref="BNO65:BNQ65"/>
    <mergeCell ref="BNR65:BNZ65"/>
    <mergeCell ref="BOB65:BOD65"/>
    <mergeCell ref="BOE65:BOM65"/>
    <mergeCell ref="BKB65:BKD65"/>
    <mergeCell ref="BKE65:BKM65"/>
    <mergeCell ref="BKO65:BKQ65"/>
    <mergeCell ref="BKR65:BKZ65"/>
    <mergeCell ref="BLB65:BLD65"/>
    <mergeCell ref="BLE65:BLM65"/>
    <mergeCell ref="BLO65:BLQ65"/>
    <mergeCell ref="BLR65:BLZ65"/>
    <mergeCell ref="BMB65:BMD65"/>
    <mergeCell ref="BHR65:BHZ65"/>
    <mergeCell ref="BIB65:BID65"/>
    <mergeCell ref="BIE65:BIM65"/>
    <mergeCell ref="BIO65:BIQ65"/>
    <mergeCell ref="BIR65:BIZ65"/>
    <mergeCell ref="BJB65:BJD65"/>
    <mergeCell ref="BJE65:BJM65"/>
    <mergeCell ref="BJO65:BJQ65"/>
    <mergeCell ref="BJR65:BJZ65"/>
    <mergeCell ref="BFO65:BFQ65"/>
    <mergeCell ref="BFR65:BFZ65"/>
    <mergeCell ref="BGB65:BGD65"/>
    <mergeCell ref="BGE65:BGM65"/>
    <mergeCell ref="BGO65:BGQ65"/>
    <mergeCell ref="BGR65:BGZ65"/>
    <mergeCell ref="BHB65:BHD65"/>
    <mergeCell ref="BHE65:BHM65"/>
    <mergeCell ref="BHO65:BHQ65"/>
    <mergeCell ref="BDE65:BDM65"/>
    <mergeCell ref="BDO65:BDQ65"/>
    <mergeCell ref="BDR65:BDZ65"/>
    <mergeCell ref="BEB65:BED65"/>
    <mergeCell ref="BEE65:BEM65"/>
    <mergeCell ref="BEO65:BEQ65"/>
    <mergeCell ref="BER65:BEZ65"/>
    <mergeCell ref="BFB65:BFD65"/>
    <mergeCell ref="BFE65:BFM65"/>
    <mergeCell ref="BBB65:BBD65"/>
    <mergeCell ref="BBE65:BBM65"/>
    <mergeCell ref="BBO65:BBQ65"/>
    <mergeCell ref="BBR65:BBZ65"/>
    <mergeCell ref="BCB65:BCD65"/>
    <mergeCell ref="BCE65:BCM65"/>
    <mergeCell ref="BCO65:BCQ65"/>
    <mergeCell ref="BCR65:BCZ65"/>
    <mergeCell ref="BDB65:BDD65"/>
    <mergeCell ref="AYR65:AYZ65"/>
    <mergeCell ref="AZB65:AZD65"/>
    <mergeCell ref="AZE65:AZM65"/>
    <mergeCell ref="AZO65:AZQ65"/>
    <mergeCell ref="AZR65:AZZ65"/>
    <mergeCell ref="BAB65:BAD65"/>
    <mergeCell ref="BAE65:BAM65"/>
    <mergeCell ref="BAO65:BAQ65"/>
    <mergeCell ref="BAR65:BAZ65"/>
    <mergeCell ref="AWO65:AWQ65"/>
    <mergeCell ref="AWR65:AWZ65"/>
    <mergeCell ref="AXB65:AXD65"/>
    <mergeCell ref="AXE65:AXM65"/>
    <mergeCell ref="AXO65:AXQ65"/>
    <mergeCell ref="AXR65:AXZ65"/>
    <mergeCell ref="AYB65:AYD65"/>
    <mergeCell ref="AYE65:AYM65"/>
    <mergeCell ref="AYO65:AYQ65"/>
    <mergeCell ref="AUE65:AUM65"/>
    <mergeCell ref="AUO65:AUQ65"/>
    <mergeCell ref="AUR65:AUZ65"/>
    <mergeCell ref="AVB65:AVD65"/>
    <mergeCell ref="AVE65:AVM65"/>
    <mergeCell ref="AVO65:AVQ65"/>
    <mergeCell ref="AVR65:AVZ65"/>
    <mergeCell ref="AWB65:AWD65"/>
    <mergeCell ref="AWE65:AWM65"/>
    <mergeCell ref="ASB65:ASD65"/>
    <mergeCell ref="ASE65:ASM65"/>
    <mergeCell ref="ASO65:ASQ65"/>
    <mergeCell ref="ASR65:ASZ65"/>
    <mergeCell ref="ATB65:ATD65"/>
    <mergeCell ref="ATE65:ATM65"/>
    <mergeCell ref="ATO65:ATQ65"/>
    <mergeCell ref="ATR65:ATZ65"/>
    <mergeCell ref="AUB65:AUD65"/>
    <mergeCell ref="APR65:APZ65"/>
    <mergeCell ref="AQB65:AQD65"/>
    <mergeCell ref="AQE65:AQM65"/>
    <mergeCell ref="AQO65:AQQ65"/>
    <mergeCell ref="AQR65:AQZ65"/>
    <mergeCell ref="ARB65:ARD65"/>
    <mergeCell ref="ARE65:ARM65"/>
    <mergeCell ref="ARO65:ARQ65"/>
    <mergeCell ref="ARR65:ARZ65"/>
    <mergeCell ref="ANO65:ANQ65"/>
    <mergeCell ref="ANR65:ANZ65"/>
    <mergeCell ref="AOB65:AOD65"/>
    <mergeCell ref="AOE65:AOM65"/>
    <mergeCell ref="AOO65:AOQ65"/>
    <mergeCell ref="AOR65:AOZ65"/>
    <mergeCell ref="APB65:APD65"/>
    <mergeCell ref="APE65:APM65"/>
    <mergeCell ref="APO65:APQ65"/>
    <mergeCell ref="ALE65:ALM65"/>
    <mergeCell ref="ALO65:ALQ65"/>
    <mergeCell ref="ALR65:ALZ65"/>
    <mergeCell ref="AMB65:AMD65"/>
    <mergeCell ref="AME65:AMM65"/>
    <mergeCell ref="AMO65:AMQ65"/>
    <mergeCell ref="AMR65:AMZ65"/>
    <mergeCell ref="ANB65:AND65"/>
    <mergeCell ref="ANE65:ANM65"/>
    <mergeCell ref="AJB65:AJD65"/>
    <mergeCell ref="AJE65:AJM65"/>
    <mergeCell ref="AJO65:AJQ65"/>
    <mergeCell ref="AJR65:AJZ65"/>
    <mergeCell ref="AKB65:AKD65"/>
    <mergeCell ref="AKE65:AKM65"/>
    <mergeCell ref="AKO65:AKQ65"/>
    <mergeCell ref="AKR65:AKZ65"/>
    <mergeCell ref="ALB65:ALD65"/>
    <mergeCell ref="AGR65:AGZ65"/>
    <mergeCell ref="AHB65:AHD65"/>
    <mergeCell ref="AHE65:AHM65"/>
    <mergeCell ref="AHO65:AHQ65"/>
    <mergeCell ref="AHR65:AHZ65"/>
    <mergeCell ref="AIB65:AID65"/>
    <mergeCell ref="AIE65:AIM65"/>
    <mergeCell ref="AIO65:AIQ65"/>
    <mergeCell ref="AIR65:AIZ65"/>
    <mergeCell ref="AEO65:AEQ65"/>
    <mergeCell ref="AER65:AEZ65"/>
    <mergeCell ref="AFB65:AFD65"/>
    <mergeCell ref="AFE65:AFM65"/>
    <mergeCell ref="AFO65:AFQ65"/>
    <mergeCell ref="AFR65:AFZ65"/>
    <mergeCell ref="AGB65:AGD65"/>
    <mergeCell ref="AGE65:AGM65"/>
    <mergeCell ref="AGO65:AGQ65"/>
    <mergeCell ref="ACE65:ACM65"/>
    <mergeCell ref="ACO65:ACQ65"/>
    <mergeCell ref="ACR65:ACZ65"/>
    <mergeCell ref="ADB65:ADD65"/>
    <mergeCell ref="ADE65:ADM65"/>
    <mergeCell ref="ADO65:ADQ65"/>
    <mergeCell ref="ADR65:ADZ65"/>
    <mergeCell ref="AEB65:AED65"/>
    <mergeCell ref="AEE65:AEM65"/>
    <mergeCell ref="AAB65:AAD65"/>
    <mergeCell ref="AAE65:AAM65"/>
    <mergeCell ref="AAO65:AAQ65"/>
    <mergeCell ref="AAR65:AAZ65"/>
    <mergeCell ref="ABB65:ABD65"/>
    <mergeCell ref="ABE65:ABM65"/>
    <mergeCell ref="ABO65:ABQ65"/>
    <mergeCell ref="ABR65:ABZ65"/>
    <mergeCell ref="ACB65:ACD65"/>
    <mergeCell ref="XR65:XZ65"/>
    <mergeCell ref="YB65:YD65"/>
    <mergeCell ref="YE65:YM65"/>
    <mergeCell ref="YO65:YQ65"/>
    <mergeCell ref="YR65:YZ65"/>
    <mergeCell ref="ZB65:ZD65"/>
    <mergeCell ref="ZE65:ZM65"/>
    <mergeCell ref="ZO65:ZQ65"/>
    <mergeCell ref="ZR65:ZZ65"/>
    <mergeCell ref="VO65:VQ65"/>
    <mergeCell ref="VR65:VZ65"/>
    <mergeCell ref="WB65:WD65"/>
    <mergeCell ref="WE65:WM65"/>
    <mergeCell ref="WO65:WQ65"/>
    <mergeCell ref="WR65:WZ65"/>
    <mergeCell ref="XB65:XD65"/>
    <mergeCell ref="XE65:XM65"/>
    <mergeCell ref="XO65:XQ65"/>
    <mergeCell ref="TE65:TM65"/>
    <mergeCell ref="TO65:TQ65"/>
    <mergeCell ref="TR65:TZ65"/>
    <mergeCell ref="UB65:UD65"/>
    <mergeCell ref="UE65:UM65"/>
    <mergeCell ref="UO65:UQ65"/>
    <mergeCell ref="UR65:UZ65"/>
    <mergeCell ref="VB65:VD65"/>
    <mergeCell ref="VE65:VM65"/>
    <mergeCell ref="RB65:RD65"/>
    <mergeCell ref="RE65:RM65"/>
    <mergeCell ref="RO65:RQ65"/>
    <mergeCell ref="RR65:RZ65"/>
    <mergeCell ref="SB65:SD65"/>
    <mergeCell ref="SE65:SM65"/>
    <mergeCell ref="SO65:SQ65"/>
    <mergeCell ref="SR65:SZ65"/>
    <mergeCell ref="TB65:TD65"/>
    <mergeCell ref="OR65:OZ65"/>
    <mergeCell ref="PB65:PD65"/>
    <mergeCell ref="PE65:PM65"/>
    <mergeCell ref="PO65:PQ65"/>
    <mergeCell ref="PR65:PZ65"/>
    <mergeCell ref="QB65:QD65"/>
    <mergeCell ref="QE65:QM65"/>
    <mergeCell ref="QO65:QQ65"/>
    <mergeCell ref="QR65:QZ65"/>
    <mergeCell ref="MO65:MQ65"/>
    <mergeCell ref="MR65:MZ65"/>
    <mergeCell ref="NB65:ND65"/>
    <mergeCell ref="NE65:NM65"/>
    <mergeCell ref="NO65:NQ65"/>
    <mergeCell ref="NR65:NZ65"/>
    <mergeCell ref="OB65:OD65"/>
    <mergeCell ref="OE65:OM65"/>
    <mergeCell ref="OO65:OQ65"/>
    <mergeCell ref="KE65:KM65"/>
    <mergeCell ref="KO65:KQ65"/>
    <mergeCell ref="KR65:KZ65"/>
    <mergeCell ref="LB65:LD65"/>
    <mergeCell ref="LE65:LM65"/>
    <mergeCell ref="LO65:LQ65"/>
    <mergeCell ref="LR65:LZ65"/>
    <mergeCell ref="MB65:MD65"/>
    <mergeCell ref="ME65:MM65"/>
    <mergeCell ref="IB65:ID65"/>
    <mergeCell ref="IE65:IM65"/>
    <mergeCell ref="IO65:IQ65"/>
    <mergeCell ref="IR65:IZ65"/>
    <mergeCell ref="JB65:JD65"/>
    <mergeCell ref="JE65:JM65"/>
    <mergeCell ref="JO65:JQ65"/>
    <mergeCell ref="JR65:JZ65"/>
    <mergeCell ref="KB65:KD65"/>
    <mergeCell ref="FR65:FZ65"/>
    <mergeCell ref="GB65:GD65"/>
    <mergeCell ref="GE65:GM65"/>
    <mergeCell ref="GO65:GQ65"/>
    <mergeCell ref="GR65:GZ65"/>
    <mergeCell ref="HB65:HD65"/>
    <mergeCell ref="HE65:HM65"/>
    <mergeCell ref="HO65:HQ65"/>
    <mergeCell ref="HR65:HZ65"/>
    <mergeCell ref="DO65:DQ65"/>
    <mergeCell ref="DR65:DZ65"/>
    <mergeCell ref="EB65:ED65"/>
    <mergeCell ref="EE65:EM65"/>
    <mergeCell ref="EO65:EQ65"/>
    <mergeCell ref="ER65:EZ65"/>
    <mergeCell ref="FB65:FD65"/>
    <mergeCell ref="FE65:FM65"/>
    <mergeCell ref="FO65:FQ65"/>
    <mergeCell ref="BE65:BM65"/>
    <mergeCell ref="BO65:BQ65"/>
    <mergeCell ref="BR65:BZ65"/>
    <mergeCell ref="CB65:CD65"/>
    <mergeCell ref="CE65:CM65"/>
    <mergeCell ref="CO65:CQ65"/>
    <mergeCell ref="CR65:CZ65"/>
    <mergeCell ref="DB65:DD65"/>
    <mergeCell ref="DE65:DM65"/>
    <mergeCell ref="B65:D65"/>
    <mergeCell ref="E65:M65"/>
    <mergeCell ref="O65:Q65"/>
    <mergeCell ref="R65:Z65"/>
    <mergeCell ref="AB65:AD65"/>
    <mergeCell ref="AE65:AM65"/>
    <mergeCell ref="AO65:AQ65"/>
    <mergeCell ref="AR65:AZ65"/>
    <mergeCell ref="BB65:BD65"/>
    <mergeCell ref="E69:M69"/>
    <mergeCell ref="B69:D69"/>
    <mergeCell ref="E67:M67"/>
    <mergeCell ref="E70:M70"/>
    <mergeCell ref="E71:M71"/>
    <mergeCell ref="E72:M72"/>
    <mergeCell ref="B89:E89"/>
    <mergeCell ref="B79:E79"/>
    <mergeCell ref="D80:E80"/>
    <mergeCell ref="B84:E84"/>
    <mergeCell ref="B74:D74"/>
    <mergeCell ref="B75:D75"/>
    <mergeCell ref="B76:D76"/>
    <mergeCell ref="B72:D72"/>
    <mergeCell ref="B73:D73"/>
    <mergeCell ref="D81:E81"/>
    <mergeCell ref="D83:E83"/>
    <mergeCell ref="D82:E82"/>
    <mergeCell ref="E73:M73"/>
    <mergeCell ref="E74:M74"/>
    <mergeCell ref="E75:M75"/>
    <mergeCell ref="E76:M76"/>
    <mergeCell ref="E77:M77"/>
    <mergeCell ref="B70:D70"/>
    <mergeCell ref="B71:D71"/>
    <mergeCell ref="A50:D50"/>
    <mergeCell ref="B54:D54"/>
    <mergeCell ref="B55:D55"/>
    <mergeCell ref="B56:D56"/>
    <mergeCell ref="B58:D58"/>
    <mergeCell ref="B59:D59"/>
    <mergeCell ref="B60:D60"/>
    <mergeCell ref="B61:D61"/>
    <mergeCell ref="B63:D63"/>
    <mergeCell ref="E59:M59"/>
    <mergeCell ref="E60:M60"/>
    <mergeCell ref="E61:M61"/>
    <mergeCell ref="B51:D51"/>
    <mergeCell ref="E66:M66"/>
    <mergeCell ref="B66:D66"/>
    <mergeCell ref="E41:M41"/>
    <mergeCell ref="B52:D52"/>
    <mergeCell ref="E28:M28"/>
    <mergeCell ref="M37:M38"/>
    <mergeCell ref="K39:K40"/>
    <mergeCell ref="M39:M40"/>
    <mergeCell ref="E40:F40"/>
    <mergeCell ref="K33:K34"/>
    <mergeCell ref="B37:D37"/>
    <mergeCell ref="B38:D38"/>
    <mergeCell ref="B39:D39"/>
    <mergeCell ref="B40:D40"/>
    <mergeCell ref="B34:D34"/>
    <mergeCell ref="B35:D35"/>
    <mergeCell ref="B36:D36"/>
    <mergeCell ref="M33:M34"/>
    <mergeCell ref="K35:K36"/>
    <mergeCell ref="M35:M36"/>
    <mergeCell ref="E68:M68"/>
    <mergeCell ref="B64:D64"/>
    <mergeCell ref="B67:D67"/>
    <mergeCell ref="B68:D68"/>
    <mergeCell ref="B41:D41"/>
    <mergeCell ref="A57:D57"/>
    <mergeCell ref="E50:M50"/>
    <mergeCell ref="E51:M51"/>
    <mergeCell ref="E52:M52"/>
    <mergeCell ref="E53:M53"/>
    <mergeCell ref="E54:M54"/>
    <mergeCell ref="E55:M55"/>
    <mergeCell ref="E56:M56"/>
    <mergeCell ref="E57:M57"/>
    <mergeCell ref="E58:M58"/>
    <mergeCell ref="B53:D53"/>
    <mergeCell ref="A33:D33"/>
    <mergeCell ref="E9:M9"/>
    <mergeCell ref="E10:M10"/>
    <mergeCell ref="E11:M11"/>
    <mergeCell ref="E12:M12"/>
    <mergeCell ref="E13:M13"/>
    <mergeCell ref="B29:D29"/>
    <mergeCell ref="B30:D30"/>
    <mergeCell ref="E36:F36"/>
    <mergeCell ref="G36:H36"/>
    <mergeCell ref="I36:J36"/>
    <mergeCell ref="E29:M29"/>
    <mergeCell ref="E20:M20"/>
    <mergeCell ref="E21:M21"/>
    <mergeCell ref="E22:M22"/>
    <mergeCell ref="E23:M23"/>
    <mergeCell ref="E24:M24"/>
    <mergeCell ref="E14:M14"/>
    <mergeCell ref="B28:D28"/>
    <mergeCell ref="E16:M16"/>
    <mergeCell ref="E17:M17"/>
    <mergeCell ref="E18:M18"/>
    <mergeCell ref="E19:M19"/>
    <mergeCell ref="B13:D13"/>
    <mergeCell ref="A17:D17"/>
    <mergeCell ref="B11:D11"/>
    <mergeCell ref="B23:D23"/>
    <mergeCell ref="B24:D24"/>
    <mergeCell ref="B26:D26"/>
    <mergeCell ref="B27:D27"/>
    <mergeCell ref="E26:M26"/>
    <mergeCell ref="E27:M27"/>
    <mergeCell ref="I37:J37"/>
    <mergeCell ref="I38:J38"/>
    <mergeCell ref="I39:J39"/>
    <mergeCell ref="I40:J40"/>
    <mergeCell ref="E62:M62"/>
    <mergeCell ref="E63:M63"/>
    <mergeCell ref="E64:M64"/>
    <mergeCell ref="E8:M8"/>
    <mergeCell ref="B16:D16"/>
    <mergeCell ref="B15:D15"/>
    <mergeCell ref="E15:M15"/>
    <mergeCell ref="B31:D31"/>
    <mergeCell ref="E30:M30"/>
    <mergeCell ref="E31:M31"/>
    <mergeCell ref="E32:M32"/>
    <mergeCell ref="E25:M25"/>
    <mergeCell ref="B62:D62"/>
    <mergeCell ref="A8:D8"/>
    <mergeCell ref="A25:D25"/>
    <mergeCell ref="B32:D32"/>
    <mergeCell ref="B18:D18"/>
    <mergeCell ref="B19:D19"/>
    <mergeCell ref="B20:D20"/>
    <mergeCell ref="B21:D21"/>
    <mergeCell ref="B22:D22"/>
    <mergeCell ref="B12:D12"/>
    <mergeCell ref="B14:D14"/>
    <mergeCell ref="B9:D9"/>
    <mergeCell ref="B10:D10"/>
    <mergeCell ref="K37:K38"/>
  </mergeCells>
  <conditionalFormatting sqref="A9:A16">
    <cfRule type="cellIs" dxfId="320" priority="1" operator="equal">
      <formula>"No"</formula>
    </cfRule>
  </conditionalFormatting>
  <conditionalFormatting sqref="A18:A24">
    <cfRule type="cellIs" dxfId="319" priority="2" operator="equal">
      <formula>"No"</formula>
    </cfRule>
  </conditionalFormatting>
  <conditionalFormatting sqref="A26:A32">
    <cfRule type="cellIs" dxfId="318" priority="5" operator="equal">
      <formula>"No"</formula>
    </cfRule>
  </conditionalFormatting>
  <conditionalFormatting sqref="A34:A42 A51:A56 A58:A76">
    <cfRule type="cellIs" dxfId="317" priority="70" operator="equal">
      <formula>"No"</formula>
    </cfRule>
  </conditionalFormatting>
  <conditionalFormatting sqref="N65 AA65 AN65 BA65 BN65 CA65 CN65 DA65 DN65 EA65 EN65 FA65 FN65 GA65 GN65 HA65 HN65 IA65 IN65 JA65 JN65 KA65 KN65 LA65 LN65 MA65 MN65 NA65 NN65 OA65 ON65 PA65 PN65 QA65 QN65 RA65 RN65 SA65 SN65 TA65 TN65 UA65 UN65 VA65 VN65 WA65 WN65 XA65 XN65 YA65 YN65 ZA65 ZN65 AAA65 AAN65 ABA65 ABN65 ACA65 ACN65 ADA65 ADN65 AEA65 AEN65 AFA65 AFN65 AGA65 AGN65 AHA65 AHN65 AIA65 AIN65 AJA65 AJN65 AKA65 AKN65 ALA65 ALN65 AMA65 AMN65 ANA65 ANN65 AOA65 AON65 APA65 APN65 AQA65 AQN65 ARA65 ARN65 ASA65 ASN65 ATA65 ATN65 AUA65 AUN65 AVA65 AVN65 AWA65 AWN65 AXA65 AXN65 AYA65 AYN65 AZA65 AZN65 BAA65 BAN65 BBA65 BBN65 BCA65 BCN65 BDA65 BDN65 BEA65 BEN65 BFA65 BFN65 BGA65 BGN65 BHA65 BHN65 BIA65 BIN65 BJA65 BJN65 BKA65 BKN65 BLA65 BLN65 BMA65 BMN65 BNA65 BNN65 BOA65 BON65 BPA65 BPN65 BQA65 BQN65 BRA65 BRN65 BSA65 BSN65 BTA65 BTN65 BUA65 BUN65 BVA65 BVN65 BWA65 BWN65 BXA65 BXN65 BYA65 BYN65 BZA65 BZN65 CAA65 CAN65 CBA65 CBN65 CCA65 CCN65 CDA65 CDN65 CEA65 CEN65 CFA65 CFN65 CGA65 CGN65 CHA65 CHN65 CIA65 CIN65 CJA65 CJN65 CKA65 CKN65 CLA65 CLN65 CMA65 CMN65 CNA65 CNN65 COA65 CON65 CPA65 CPN65 CQA65 CQN65 CRA65 CRN65 CSA65 CSN65 CTA65 CTN65 CUA65 CUN65 CVA65 CVN65 CWA65 CWN65 CXA65 CXN65 CYA65 CYN65 CZA65 CZN65 DAA65 DAN65 DBA65 DBN65 DCA65 DCN65 DDA65 DDN65 DEA65 DEN65 DFA65 DFN65 DGA65 DGN65 DHA65 DHN65 DIA65 DIN65 DJA65 DJN65 DKA65 DKN65 DLA65 DLN65 DMA65 DMN65 DNA65 DNN65 DOA65 DON65 DPA65 DPN65 DQA65 DQN65 DRA65 DRN65 DSA65 DSN65 DTA65 DTN65 DUA65 DUN65 DVA65 DVN65 DWA65 DWN65 DXA65 DXN65 DYA65 DYN65 DZA65 DZN65 EAA65 EAN65 EBA65 EBN65 ECA65 ECN65 EDA65 EDN65 EEA65 EEN65 EFA65 EFN65 EGA65 EGN65 EHA65 EHN65 EIA65 EIN65 EJA65 EJN65 EKA65 EKN65 ELA65 ELN65 EMA65 EMN65 ENA65 ENN65 EOA65 EON65 EPA65 EPN65 EQA65 EQN65 ERA65 ERN65 ESA65 ESN65 ETA65 ETN65 EUA65 EUN65 EVA65 EVN65 EWA65 EWN65 EXA65 EXN65 EYA65 EYN65 EZA65 EZN65 FAA65 FAN65 FBA65 FBN65 FCA65 FCN65 FDA65 FDN65 FEA65 FEN65 FFA65 FFN65 FGA65 FGN65 FHA65 FHN65 FIA65 FIN65 FJA65 FJN65 FKA65 FKN65 FLA65 FLN65 FMA65 FMN65 FNA65 FNN65 FOA65 FON65 FPA65 FPN65 FQA65 FQN65 FRA65 FRN65 FSA65 FSN65 FTA65 FTN65 FUA65 FUN65 FVA65 FVN65 FWA65 FWN65 FXA65 FXN65 FYA65 FYN65 FZA65 FZN65 GAA65 GAN65 GBA65 GBN65 GCA65 GCN65 GDA65 GDN65 GEA65 GEN65 GFA65 GFN65 GGA65 GGN65 GHA65 GHN65 GIA65 GIN65 GJA65 GJN65 GKA65 GKN65 GLA65 GLN65 GMA65 GMN65 GNA65 GNN65 GOA65 GON65 GPA65 GPN65 GQA65 GQN65 GRA65 GRN65 GSA65 GSN65 GTA65 GTN65 GUA65 GUN65 GVA65 GVN65 GWA65 GWN65 GXA65 GXN65 GYA65 GYN65 GZA65 GZN65 HAA65 HAN65 HBA65 HBN65 HCA65 HCN65 HDA65 HDN65 HEA65 HEN65 HFA65 HFN65 HGA65 HGN65 HHA65 HHN65 HIA65 HIN65 HJA65 HJN65 HKA65 HKN65 HLA65 HLN65 HMA65 HMN65 HNA65 HNN65 HOA65 HON65 HPA65 HPN65 HQA65 HQN65 HRA65 HRN65 HSA65 HSN65 HTA65 HTN65 HUA65 HUN65 HVA65 HVN65 HWA65 HWN65 HXA65 HXN65 HYA65 HYN65 HZA65 HZN65 IAA65 IAN65 IBA65 IBN65 ICA65 ICN65 IDA65 IDN65 IEA65 IEN65 IFA65 IFN65 IGA65 IGN65 IHA65 IHN65 IIA65 IIN65 IJA65 IJN65 IKA65 IKN65 ILA65 ILN65 IMA65 IMN65 INA65 INN65 IOA65 ION65 IPA65 IPN65 IQA65 IQN65 IRA65 IRN65 ISA65 ISN65 ITA65 ITN65 IUA65 IUN65 IVA65 IVN65 IWA65 IWN65 IXA65 IXN65 IYA65 IYN65 IZA65 IZN65 JAA65 JAN65 JBA65 JBN65 JCA65 JCN65 JDA65 JDN65 JEA65 JEN65 JFA65 JFN65 JGA65 JGN65 JHA65 JHN65 JIA65 JIN65 JJA65 JJN65 JKA65 JKN65 JLA65 JLN65 JMA65 JMN65 JNA65 JNN65 JOA65 JON65 JPA65 JPN65 JQA65 JQN65 JRA65 JRN65 JSA65 JSN65 JTA65 JTN65 JUA65 JUN65 JVA65 JVN65 JWA65 JWN65 JXA65 JXN65 JYA65 JYN65 JZA65 JZN65 KAA65 KAN65 KBA65 KBN65 KCA65 KCN65 KDA65 KDN65 KEA65 KEN65 KFA65 KFN65 KGA65 KGN65 KHA65 KHN65 KIA65 KIN65 KJA65 KJN65 KKA65 KKN65 KLA65 KLN65 KMA65 KMN65 KNA65 KNN65 KOA65 KON65 KPA65 KPN65 KQA65 KQN65 KRA65 KRN65 KSA65 KSN65 KTA65 KTN65 KUA65 KUN65 KVA65 KVN65 KWA65 KWN65 KXA65 KXN65 KYA65 KYN65 KZA65 KZN65 LAA65 LAN65 LBA65 LBN65 LCA65 LCN65 LDA65 LDN65 LEA65 LEN65 LFA65 LFN65 LGA65 LGN65 LHA65 LHN65 LIA65 LIN65 LJA65 LJN65 LKA65 LKN65 LLA65 LLN65 LMA65 LMN65 LNA65 LNN65 LOA65 LON65 LPA65 LPN65 LQA65 LQN65 LRA65 LRN65 LSA65 LSN65 LTA65 LTN65 LUA65 LUN65 LVA65 LVN65 LWA65 LWN65 LXA65 LXN65 LYA65 LYN65 LZA65 LZN65 MAA65 MAN65 MBA65 MBN65 MCA65 MCN65 MDA65 MDN65 MEA65 MEN65 MFA65 MFN65 MGA65 MGN65 MHA65 MHN65 MIA65 MIN65 MJA65 MJN65 MKA65 MKN65 MLA65 MLN65 MMA65 MMN65 MNA65 MNN65 MOA65 MON65 MPA65 MPN65 MQA65 MQN65 MRA65 MRN65 MSA65 MSN65 MTA65 MTN65 MUA65 MUN65 MVA65 MVN65 MWA65 MWN65 MXA65 MXN65 MYA65 MYN65 MZA65 MZN65 NAA65 NAN65 NBA65 NBN65 NCA65 NCN65 NDA65 NDN65 NEA65 NEN65 NFA65 NFN65 NGA65 NGN65 NHA65 NHN65 NIA65 NIN65 NJA65 NJN65 NKA65 NKN65 NLA65 NLN65 NMA65 NMN65 NNA65 NNN65 NOA65 NON65 NPA65 NPN65 NQA65 NQN65 NRA65 NRN65 NSA65 NSN65 NTA65 NTN65 NUA65 NUN65 NVA65 NVN65 NWA65 NWN65 NXA65 NXN65 NYA65 NYN65 NZA65 NZN65 OAA65 OAN65 OBA65 OBN65 OCA65 OCN65 ODA65 ODN65 OEA65 OEN65 OFA65 OFN65 OGA65 OGN65 OHA65 OHN65 OIA65 OIN65 OJA65 OJN65 OKA65 OKN65 OLA65 OLN65 OMA65 OMN65 ONA65 ONN65 OOA65 OON65 OPA65 OPN65 OQA65 OQN65 ORA65 ORN65 OSA65 OSN65 OTA65 OTN65 OUA65 OUN65 OVA65 OVN65 OWA65 OWN65 OXA65 OXN65 OYA65 OYN65 OZA65 OZN65 PAA65 PAN65 PBA65 PBN65 PCA65 PCN65 PDA65 PDN65 PEA65 PEN65 PFA65 PFN65 PGA65 PGN65 PHA65 PHN65 PIA65 PIN65 PJA65 PJN65 PKA65 PKN65 PLA65 PLN65 PMA65 PMN65 PNA65 PNN65 POA65 PON65 PPA65 PPN65 PQA65 PQN65 PRA65 PRN65 PSA65 PSN65 PTA65 PTN65 PUA65 PUN65 PVA65 PVN65 PWA65 PWN65 PXA65 PXN65 PYA65 PYN65 PZA65 PZN65 QAA65 QAN65 QBA65 QBN65 QCA65 QCN65 QDA65 QDN65 QEA65 QEN65 QFA65 QFN65 QGA65 QGN65 QHA65 QHN65 QIA65 QIN65 QJA65 QJN65 QKA65 QKN65 QLA65 QLN65 QMA65 QMN65 QNA65 QNN65 QOA65 QON65 QPA65 QPN65 QQA65 QQN65 QRA65 QRN65 QSA65 QSN65 QTA65 QTN65 QUA65 QUN65 QVA65 QVN65 QWA65 QWN65 QXA65 QXN65 QYA65 QYN65 QZA65 QZN65 RAA65 RAN65 RBA65 RBN65 RCA65 RCN65 RDA65 RDN65 REA65 REN65 RFA65 RFN65 RGA65 RGN65 RHA65 RHN65 RIA65 RIN65 RJA65 RJN65 RKA65 RKN65 RLA65 RLN65 RMA65 RMN65 RNA65 RNN65 ROA65 RON65 RPA65 RPN65 RQA65 RQN65 RRA65 RRN65 RSA65 RSN65 RTA65 RTN65 RUA65 RUN65 RVA65 RVN65 RWA65 RWN65 RXA65 RXN65 RYA65 RYN65 RZA65 RZN65 SAA65 SAN65 SBA65 SBN65 SCA65 SCN65 SDA65 SDN65 SEA65 SEN65 SFA65 SFN65 SGA65 SGN65 SHA65 SHN65 SIA65 SIN65 SJA65 SJN65 SKA65 SKN65 SLA65 SLN65 SMA65 SMN65 SNA65 SNN65 SOA65 SON65 SPA65 SPN65 SQA65 SQN65 SRA65 SRN65 SSA65 SSN65 STA65 STN65 SUA65 SUN65 SVA65 SVN65 SWA65 SWN65 SXA65 SXN65 SYA65 SYN65 SZA65 SZN65 TAA65 TAN65 TBA65 TBN65 TCA65 TCN65 TDA65 TDN65 TEA65 TEN65 TFA65 TFN65 TGA65 TGN65 THA65 THN65 TIA65 TIN65 TJA65 TJN65 TKA65 TKN65 TLA65 TLN65 TMA65 TMN65 TNA65 TNN65 TOA65 TON65 TPA65 TPN65 TQA65 TQN65 TRA65 TRN65 TSA65 TSN65 TTA65 TTN65 TUA65 TUN65 TVA65 TVN65 TWA65 TWN65 TXA65 TXN65 TYA65 TYN65 TZA65 TZN65 UAA65 UAN65 UBA65 UBN65 UCA65 UCN65 UDA65 UDN65 UEA65 UEN65 UFA65 UFN65 UGA65 UGN65 UHA65 UHN65 UIA65 UIN65 UJA65 UJN65 UKA65 UKN65 ULA65 ULN65 UMA65 UMN65 UNA65 UNN65 UOA65 UON65 UPA65 UPN65 UQA65 UQN65 URA65 URN65 USA65 USN65 UTA65 UTN65 UUA65 UUN65 UVA65 UVN65 UWA65 UWN65 UXA65 UXN65 UYA65 UYN65 UZA65 UZN65 VAA65 VAN65 VBA65 VBN65 VCA65 VCN65 VDA65 VDN65 VEA65 VEN65 VFA65 VFN65 VGA65 VGN65 VHA65 VHN65 VIA65 VIN65 VJA65 VJN65 VKA65 VKN65 VLA65 VLN65 VMA65 VMN65 VNA65 VNN65 VOA65 VON65 VPA65 VPN65 VQA65 VQN65 VRA65 VRN65 VSA65 VSN65 VTA65 VTN65 VUA65 VUN65 VVA65 VVN65 VWA65 VWN65 VXA65 VXN65 VYA65 VYN65 VZA65 VZN65 WAA65 WAN65 WBA65 WBN65 WCA65 WCN65 WDA65 WDN65 WEA65 WEN65 WFA65 WFN65 WGA65 WGN65 WHA65 WHN65 WIA65 WIN65 WJA65 WJN65 WKA65 WKN65 WLA65 WLN65 WMA65 WMN65 WNA65 WNN65 WOA65 WON65 WPA65 WPN65 WQA65 WQN65 WRA65 WRN65 WSA65 WSN65 WTA65 WTN65 WUA65 WUN65 WVA65 WVN65 WWA65 WWN65 WXA65 WXN65 WYA65 WYN65 WZA65 WZN65 XAA65 XAN65 XBA65 XBN65 XCA65 XCN65 XDA65 XDN65 XEA65 XEN65 XFA65">
    <cfRule type="cellIs" dxfId="316" priority="66" operator="equal">
      <formula>"No"</formula>
    </cfRule>
  </conditionalFormatting>
  <dataValidations count="1">
    <dataValidation type="list" allowBlank="1" showInputMessage="1" showErrorMessage="1" sqref="A58:A76 A26:A32 A34:A42 A18:A24 A51:A56 A9:A16" xr:uid="{F017B3B5-61DB-480B-BABF-926830A00A52}">
      <formula1>"Yes, No, N/A"</formula1>
    </dataValidation>
  </dataValidations>
  <pageMargins left="0.7" right="0.7" top="0.75" bottom="0.75" header="0.3" footer="0.3"/>
  <pageSetup scale="59" orientation="landscape" r:id="rId1"/>
  <rowBreaks count="1" manualBreakCount="1">
    <brk id="42"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74EB8-919A-4B20-A759-AC50CCF4313E}">
  <sheetPr>
    <tabColor indexed="42"/>
    <pageSetUpPr fitToPage="1"/>
  </sheetPr>
  <dimension ref="A1:AD158"/>
  <sheetViews>
    <sheetView view="pageBreakPreview" zoomScaleNormal="75" zoomScaleSheetLayoutView="100" workbookViewId="0">
      <selection activeCell="D2" sqref="D2"/>
    </sheetView>
  </sheetViews>
  <sheetFormatPr defaultRowHeight="13.8" x14ac:dyDescent="0.3"/>
  <cols>
    <col min="1" max="1" width="13.88671875" style="10" bestFit="1" customWidth="1"/>
    <col min="2" max="2" width="10.44140625" style="62" bestFit="1" customWidth="1"/>
    <col min="3" max="3" width="5.88671875" style="62" bestFit="1" customWidth="1"/>
    <col min="4" max="4" width="14.33203125" style="10" bestFit="1" customWidth="1"/>
    <col min="5" max="6" width="65.6640625" style="62" customWidth="1"/>
    <col min="7" max="7" width="53" style="35" customWidth="1"/>
    <col min="8" max="248" width="9.109375" style="10"/>
    <col min="249" max="249" width="12.33203125" style="10" customWidth="1"/>
    <col min="250" max="250" width="53.5546875" style="10" customWidth="1"/>
    <col min="251" max="251" width="11.44140625" style="10" customWidth="1"/>
    <col min="252" max="252" width="12.109375" style="10" customWidth="1"/>
    <col min="253" max="253" width="21.33203125" style="10" customWidth="1"/>
    <col min="254" max="254" width="11.5546875" style="10" customWidth="1"/>
    <col min="255" max="255" width="9.109375" style="10"/>
    <col min="256" max="256" width="5.109375" style="10" customWidth="1"/>
    <col min="257" max="257" width="12" style="10" customWidth="1"/>
    <col min="258" max="258" width="9.109375" style="10"/>
    <col min="259" max="259" width="1.6640625" style="10" customWidth="1"/>
    <col min="260" max="260" width="14.109375" style="10" customWidth="1"/>
    <col min="261" max="504" width="9.109375" style="10"/>
    <col min="505" max="505" width="12.33203125" style="10" customWidth="1"/>
    <col min="506" max="506" width="53.5546875" style="10" customWidth="1"/>
    <col min="507" max="507" width="11.44140625" style="10" customWidth="1"/>
    <col min="508" max="508" width="12.109375" style="10" customWidth="1"/>
    <col min="509" max="509" width="21.33203125" style="10" customWidth="1"/>
    <col min="510" max="510" width="11.5546875" style="10" customWidth="1"/>
    <col min="511" max="511" width="9.109375" style="10"/>
    <col min="512" max="512" width="5.109375" style="10" customWidth="1"/>
    <col min="513" max="513" width="12" style="10" customWidth="1"/>
    <col min="514" max="514" width="9.109375" style="10"/>
    <col min="515" max="515" width="1.6640625" style="10" customWidth="1"/>
    <col min="516" max="516" width="14.109375" style="10" customWidth="1"/>
    <col min="517" max="760" width="9.109375" style="10"/>
    <col min="761" max="761" width="12.33203125" style="10" customWidth="1"/>
    <col min="762" max="762" width="53.5546875" style="10" customWidth="1"/>
    <col min="763" max="763" width="11.44140625" style="10" customWidth="1"/>
    <col min="764" max="764" width="12.109375" style="10" customWidth="1"/>
    <col min="765" max="765" width="21.33203125" style="10" customWidth="1"/>
    <col min="766" max="766" width="11.5546875" style="10" customWidth="1"/>
    <col min="767" max="767" width="9.109375" style="10"/>
    <col min="768" max="768" width="5.109375" style="10" customWidth="1"/>
    <col min="769" max="769" width="12" style="10" customWidth="1"/>
    <col min="770" max="770" width="9.109375" style="10"/>
    <col min="771" max="771" width="1.6640625" style="10" customWidth="1"/>
    <col min="772" max="772" width="14.109375" style="10" customWidth="1"/>
    <col min="773" max="1016" width="9.109375" style="10"/>
    <col min="1017" max="1017" width="12.33203125" style="10" customWidth="1"/>
    <col min="1018" max="1018" width="53.5546875" style="10" customWidth="1"/>
    <col min="1019" max="1019" width="11.44140625" style="10" customWidth="1"/>
    <col min="1020" max="1020" width="12.109375" style="10" customWidth="1"/>
    <col min="1021" max="1021" width="21.33203125" style="10" customWidth="1"/>
    <col min="1022" max="1022" width="11.5546875" style="10" customWidth="1"/>
    <col min="1023" max="1023" width="9.109375" style="10"/>
    <col min="1024" max="1024" width="5.109375" style="10" customWidth="1"/>
    <col min="1025" max="1025" width="12" style="10" customWidth="1"/>
    <col min="1026" max="1026" width="9.109375" style="10"/>
    <col min="1027" max="1027" width="1.6640625" style="10" customWidth="1"/>
    <col min="1028" max="1028" width="14.109375" style="10" customWidth="1"/>
    <col min="1029" max="1272" width="9.109375" style="10"/>
    <col min="1273" max="1273" width="12.33203125" style="10" customWidth="1"/>
    <col min="1274" max="1274" width="53.5546875" style="10" customWidth="1"/>
    <col min="1275" max="1275" width="11.44140625" style="10" customWidth="1"/>
    <col min="1276" max="1276" width="12.109375" style="10" customWidth="1"/>
    <col min="1277" max="1277" width="21.33203125" style="10" customWidth="1"/>
    <col min="1278" max="1278" width="11.5546875" style="10" customWidth="1"/>
    <col min="1279" max="1279" width="9.109375" style="10"/>
    <col min="1280" max="1280" width="5.109375" style="10" customWidth="1"/>
    <col min="1281" max="1281" width="12" style="10" customWidth="1"/>
    <col min="1282" max="1282" width="9.109375" style="10"/>
    <col min="1283" max="1283" width="1.6640625" style="10" customWidth="1"/>
    <col min="1284" max="1284" width="14.109375" style="10" customWidth="1"/>
    <col min="1285" max="1528" width="9.109375" style="10"/>
    <col min="1529" max="1529" width="12.33203125" style="10" customWidth="1"/>
    <col min="1530" max="1530" width="53.5546875" style="10" customWidth="1"/>
    <col min="1531" max="1531" width="11.44140625" style="10" customWidth="1"/>
    <col min="1532" max="1532" width="12.109375" style="10" customWidth="1"/>
    <col min="1533" max="1533" width="21.33203125" style="10" customWidth="1"/>
    <col min="1534" max="1534" width="11.5546875" style="10" customWidth="1"/>
    <col min="1535" max="1535" width="9.109375" style="10"/>
    <col min="1536" max="1536" width="5.109375" style="10" customWidth="1"/>
    <col min="1537" max="1537" width="12" style="10" customWidth="1"/>
    <col min="1538" max="1538" width="9.109375" style="10"/>
    <col min="1539" max="1539" width="1.6640625" style="10" customWidth="1"/>
    <col min="1540" max="1540" width="14.109375" style="10" customWidth="1"/>
    <col min="1541" max="1784" width="9.109375" style="10"/>
    <col min="1785" max="1785" width="12.33203125" style="10" customWidth="1"/>
    <col min="1786" max="1786" width="53.5546875" style="10" customWidth="1"/>
    <col min="1787" max="1787" width="11.44140625" style="10" customWidth="1"/>
    <col min="1788" max="1788" width="12.109375" style="10" customWidth="1"/>
    <col min="1789" max="1789" width="21.33203125" style="10" customWidth="1"/>
    <col min="1790" max="1790" width="11.5546875" style="10" customWidth="1"/>
    <col min="1791" max="1791" width="9.109375" style="10"/>
    <col min="1792" max="1792" width="5.109375" style="10" customWidth="1"/>
    <col min="1793" max="1793" width="12" style="10" customWidth="1"/>
    <col min="1794" max="1794" width="9.109375" style="10"/>
    <col min="1795" max="1795" width="1.6640625" style="10" customWidth="1"/>
    <col min="1796" max="1796" width="14.109375" style="10" customWidth="1"/>
    <col min="1797" max="2040" width="9.109375" style="10"/>
    <col min="2041" max="2041" width="12.33203125" style="10" customWidth="1"/>
    <col min="2042" max="2042" width="53.5546875" style="10" customWidth="1"/>
    <col min="2043" max="2043" width="11.44140625" style="10" customWidth="1"/>
    <col min="2044" max="2044" width="12.109375" style="10" customWidth="1"/>
    <col min="2045" max="2045" width="21.33203125" style="10" customWidth="1"/>
    <col min="2046" max="2046" width="11.5546875" style="10" customWidth="1"/>
    <col min="2047" max="2047" width="9.109375" style="10"/>
    <col min="2048" max="2048" width="5.109375" style="10" customWidth="1"/>
    <col min="2049" max="2049" width="12" style="10" customWidth="1"/>
    <col min="2050" max="2050" width="9.109375" style="10"/>
    <col min="2051" max="2051" width="1.6640625" style="10" customWidth="1"/>
    <col min="2052" max="2052" width="14.109375" style="10" customWidth="1"/>
    <col min="2053" max="2296" width="9.109375" style="10"/>
    <col min="2297" max="2297" width="12.33203125" style="10" customWidth="1"/>
    <col min="2298" max="2298" width="53.5546875" style="10" customWidth="1"/>
    <col min="2299" max="2299" width="11.44140625" style="10" customWidth="1"/>
    <col min="2300" max="2300" width="12.109375" style="10" customWidth="1"/>
    <col min="2301" max="2301" width="21.33203125" style="10" customWidth="1"/>
    <col min="2302" max="2302" width="11.5546875" style="10" customWidth="1"/>
    <col min="2303" max="2303" width="9.109375" style="10"/>
    <col min="2304" max="2304" width="5.109375" style="10" customWidth="1"/>
    <col min="2305" max="2305" width="12" style="10" customWidth="1"/>
    <col min="2306" max="2306" width="9.109375" style="10"/>
    <col min="2307" max="2307" width="1.6640625" style="10" customWidth="1"/>
    <col min="2308" max="2308" width="14.109375" style="10" customWidth="1"/>
    <col min="2309" max="2552" width="9.109375" style="10"/>
    <col min="2553" max="2553" width="12.33203125" style="10" customWidth="1"/>
    <col min="2554" max="2554" width="53.5546875" style="10" customWidth="1"/>
    <col min="2555" max="2555" width="11.44140625" style="10" customWidth="1"/>
    <col min="2556" max="2556" width="12.109375" style="10" customWidth="1"/>
    <col min="2557" max="2557" width="21.33203125" style="10" customWidth="1"/>
    <col min="2558" max="2558" width="11.5546875" style="10" customWidth="1"/>
    <col min="2559" max="2559" width="9.109375" style="10"/>
    <col min="2560" max="2560" width="5.109375" style="10" customWidth="1"/>
    <col min="2561" max="2561" width="12" style="10" customWidth="1"/>
    <col min="2562" max="2562" width="9.109375" style="10"/>
    <col min="2563" max="2563" width="1.6640625" style="10" customWidth="1"/>
    <col min="2564" max="2564" width="14.109375" style="10" customWidth="1"/>
    <col min="2565" max="2808" width="9.109375" style="10"/>
    <col min="2809" max="2809" width="12.33203125" style="10" customWidth="1"/>
    <col min="2810" max="2810" width="53.5546875" style="10" customWidth="1"/>
    <col min="2811" max="2811" width="11.44140625" style="10" customWidth="1"/>
    <col min="2812" max="2812" width="12.109375" style="10" customWidth="1"/>
    <col min="2813" max="2813" width="21.33203125" style="10" customWidth="1"/>
    <col min="2814" max="2814" width="11.5546875" style="10" customWidth="1"/>
    <col min="2815" max="2815" width="9.109375" style="10"/>
    <col min="2816" max="2816" width="5.109375" style="10" customWidth="1"/>
    <col min="2817" max="2817" width="12" style="10" customWidth="1"/>
    <col min="2818" max="2818" width="9.109375" style="10"/>
    <col min="2819" max="2819" width="1.6640625" style="10" customWidth="1"/>
    <col min="2820" max="2820" width="14.109375" style="10" customWidth="1"/>
    <col min="2821" max="3064" width="9.109375" style="10"/>
    <col min="3065" max="3065" width="12.33203125" style="10" customWidth="1"/>
    <col min="3066" max="3066" width="53.5546875" style="10" customWidth="1"/>
    <col min="3067" max="3067" width="11.44140625" style="10" customWidth="1"/>
    <col min="3068" max="3068" width="12.109375" style="10" customWidth="1"/>
    <col min="3069" max="3069" width="21.33203125" style="10" customWidth="1"/>
    <col min="3070" max="3070" width="11.5546875" style="10" customWidth="1"/>
    <col min="3071" max="3071" width="9.109375" style="10"/>
    <col min="3072" max="3072" width="5.109375" style="10" customWidth="1"/>
    <col min="3073" max="3073" width="12" style="10" customWidth="1"/>
    <col min="3074" max="3074" width="9.109375" style="10"/>
    <col min="3075" max="3075" width="1.6640625" style="10" customWidth="1"/>
    <col min="3076" max="3076" width="14.109375" style="10" customWidth="1"/>
    <col min="3077" max="3320" width="9.109375" style="10"/>
    <col min="3321" max="3321" width="12.33203125" style="10" customWidth="1"/>
    <col min="3322" max="3322" width="53.5546875" style="10" customWidth="1"/>
    <col min="3323" max="3323" width="11.44140625" style="10" customWidth="1"/>
    <col min="3324" max="3324" width="12.109375" style="10" customWidth="1"/>
    <col min="3325" max="3325" width="21.33203125" style="10" customWidth="1"/>
    <col min="3326" max="3326" width="11.5546875" style="10" customWidth="1"/>
    <col min="3327" max="3327" width="9.109375" style="10"/>
    <col min="3328" max="3328" width="5.109375" style="10" customWidth="1"/>
    <col min="3329" max="3329" width="12" style="10" customWidth="1"/>
    <col min="3330" max="3330" width="9.109375" style="10"/>
    <col min="3331" max="3331" width="1.6640625" style="10" customWidth="1"/>
    <col min="3332" max="3332" width="14.109375" style="10" customWidth="1"/>
    <col min="3333" max="3576" width="9.109375" style="10"/>
    <col min="3577" max="3577" width="12.33203125" style="10" customWidth="1"/>
    <col min="3578" max="3578" width="53.5546875" style="10" customWidth="1"/>
    <col min="3579" max="3579" width="11.44140625" style="10" customWidth="1"/>
    <col min="3580" max="3580" width="12.109375" style="10" customWidth="1"/>
    <col min="3581" max="3581" width="21.33203125" style="10" customWidth="1"/>
    <col min="3582" max="3582" width="11.5546875" style="10" customWidth="1"/>
    <col min="3583" max="3583" width="9.109375" style="10"/>
    <col min="3584" max="3584" width="5.109375" style="10" customWidth="1"/>
    <col min="3585" max="3585" width="12" style="10" customWidth="1"/>
    <col min="3586" max="3586" width="9.109375" style="10"/>
    <col min="3587" max="3587" width="1.6640625" style="10" customWidth="1"/>
    <col min="3588" max="3588" width="14.109375" style="10" customWidth="1"/>
    <col min="3589" max="3832" width="9.109375" style="10"/>
    <col min="3833" max="3833" width="12.33203125" style="10" customWidth="1"/>
    <col min="3834" max="3834" width="53.5546875" style="10" customWidth="1"/>
    <col min="3835" max="3835" width="11.44140625" style="10" customWidth="1"/>
    <col min="3836" max="3836" width="12.109375" style="10" customWidth="1"/>
    <col min="3837" max="3837" width="21.33203125" style="10" customWidth="1"/>
    <col min="3838" max="3838" width="11.5546875" style="10" customWidth="1"/>
    <col min="3839" max="3839" width="9.109375" style="10"/>
    <col min="3840" max="3840" width="5.109375" style="10" customWidth="1"/>
    <col min="3841" max="3841" width="12" style="10" customWidth="1"/>
    <col min="3842" max="3842" width="9.109375" style="10"/>
    <col min="3843" max="3843" width="1.6640625" style="10" customWidth="1"/>
    <col min="3844" max="3844" width="14.109375" style="10" customWidth="1"/>
    <col min="3845" max="4088" width="9.109375" style="10"/>
    <col min="4089" max="4089" width="12.33203125" style="10" customWidth="1"/>
    <col min="4090" max="4090" width="53.5546875" style="10" customWidth="1"/>
    <col min="4091" max="4091" width="11.44140625" style="10" customWidth="1"/>
    <col min="4092" max="4092" width="12.109375" style="10" customWidth="1"/>
    <col min="4093" max="4093" width="21.33203125" style="10" customWidth="1"/>
    <col min="4094" max="4094" width="11.5546875" style="10" customWidth="1"/>
    <col min="4095" max="4095" width="9.109375" style="10"/>
    <col min="4096" max="4096" width="5.109375" style="10" customWidth="1"/>
    <col min="4097" max="4097" width="12" style="10" customWidth="1"/>
    <col min="4098" max="4098" width="9.109375" style="10"/>
    <col min="4099" max="4099" width="1.6640625" style="10" customWidth="1"/>
    <col min="4100" max="4100" width="14.109375" style="10" customWidth="1"/>
    <col min="4101" max="4344" width="9.109375" style="10"/>
    <col min="4345" max="4345" width="12.33203125" style="10" customWidth="1"/>
    <col min="4346" max="4346" width="53.5546875" style="10" customWidth="1"/>
    <col min="4347" max="4347" width="11.44140625" style="10" customWidth="1"/>
    <col min="4348" max="4348" width="12.109375" style="10" customWidth="1"/>
    <col min="4349" max="4349" width="21.33203125" style="10" customWidth="1"/>
    <col min="4350" max="4350" width="11.5546875" style="10" customWidth="1"/>
    <col min="4351" max="4351" width="9.109375" style="10"/>
    <col min="4352" max="4352" width="5.109375" style="10" customWidth="1"/>
    <col min="4353" max="4353" width="12" style="10" customWidth="1"/>
    <col min="4354" max="4354" width="9.109375" style="10"/>
    <col min="4355" max="4355" width="1.6640625" style="10" customWidth="1"/>
    <col min="4356" max="4356" width="14.109375" style="10" customWidth="1"/>
    <col min="4357" max="4600" width="9.109375" style="10"/>
    <col min="4601" max="4601" width="12.33203125" style="10" customWidth="1"/>
    <col min="4602" max="4602" width="53.5546875" style="10" customWidth="1"/>
    <col min="4603" max="4603" width="11.44140625" style="10" customWidth="1"/>
    <col min="4604" max="4604" width="12.109375" style="10" customWidth="1"/>
    <col min="4605" max="4605" width="21.33203125" style="10" customWidth="1"/>
    <col min="4606" max="4606" width="11.5546875" style="10" customWidth="1"/>
    <col min="4607" max="4607" width="9.109375" style="10"/>
    <col min="4608" max="4608" width="5.109375" style="10" customWidth="1"/>
    <col min="4609" max="4609" width="12" style="10" customWidth="1"/>
    <col min="4610" max="4610" width="9.109375" style="10"/>
    <col min="4611" max="4611" width="1.6640625" style="10" customWidth="1"/>
    <col min="4612" max="4612" width="14.109375" style="10" customWidth="1"/>
    <col min="4613" max="4856" width="9.109375" style="10"/>
    <col min="4857" max="4857" width="12.33203125" style="10" customWidth="1"/>
    <col min="4858" max="4858" width="53.5546875" style="10" customWidth="1"/>
    <col min="4859" max="4859" width="11.44140625" style="10" customWidth="1"/>
    <col min="4860" max="4860" width="12.109375" style="10" customWidth="1"/>
    <col min="4861" max="4861" width="21.33203125" style="10" customWidth="1"/>
    <col min="4862" max="4862" width="11.5546875" style="10" customWidth="1"/>
    <col min="4863" max="4863" width="9.109375" style="10"/>
    <col min="4864" max="4864" width="5.109375" style="10" customWidth="1"/>
    <col min="4865" max="4865" width="12" style="10" customWidth="1"/>
    <col min="4866" max="4866" width="9.109375" style="10"/>
    <col min="4867" max="4867" width="1.6640625" style="10" customWidth="1"/>
    <col min="4868" max="4868" width="14.109375" style="10" customWidth="1"/>
    <col min="4869" max="5112" width="9.109375" style="10"/>
    <col min="5113" max="5113" width="12.33203125" style="10" customWidth="1"/>
    <col min="5114" max="5114" width="53.5546875" style="10" customWidth="1"/>
    <col min="5115" max="5115" width="11.44140625" style="10" customWidth="1"/>
    <col min="5116" max="5116" width="12.109375" style="10" customWidth="1"/>
    <col min="5117" max="5117" width="21.33203125" style="10" customWidth="1"/>
    <col min="5118" max="5118" width="11.5546875" style="10" customWidth="1"/>
    <col min="5119" max="5119" width="9.109375" style="10"/>
    <col min="5120" max="5120" width="5.109375" style="10" customWidth="1"/>
    <col min="5121" max="5121" width="12" style="10" customWidth="1"/>
    <col min="5122" max="5122" width="9.109375" style="10"/>
    <col min="5123" max="5123" width="1.6640625" style="10" customWidth="1"/>
    <col min="5124" max="5124" width="14.109375" style="10" customWidth="1"/>
    <col min="5125" max="5368" width="9.109375" style="10"/>
    <col min="5369" max="5369" width="12.33203125" style="10" customWidth="1"/>
    <col min="5370" max="5370" width="53.5546875" style="10" customWidth="1"/>
    <col min="5371" max="5371" width="11.44140625" style="10" customWidth="1"/>
    <col min="5372" max="5372" width="12.109375" style="10" customWidth="1"/>
    <col min="5373" max="5373" width="21.33203125" style="10" customWidth="1"/>
    <col min="5374" max="5374" width="11.5546875" style="10" customWidth="1"/>
    <col min="5375" max="5375" width="9.109375" style="10"/>
    <col min="5376" max="5376" width="5.109375" style="10" customWidth="1"/>
    <col min="5377" max="5377" width="12" style="10" customWidth="1"/>
    <col min="5378" max="5378" width="9.109375" style="10"/>
    <col min="5379" max="5379" width="1.6640625" style="10" customWidth="1"/>
    <col min="5380" max="5380" width="14.109375" style="10" customWidth="1"/>
    <col min="5381" max="5624" width="9.109375" style="10"/>
    <col min="5625" max="5625" width="12.33203125" style="10" customWidth="1"/>
    <col min="5626" max="5626" width="53.5546875" style="10" customWidth="1"/>
    <col min="5627" max="5627" width="11.44140625" style="10" customWidth="1"/>
    <col min="5628" max="5628" width="12.109375" style="10" customWidth="1"/>
    <col min="5629" max="5629" width="21.33203125" style="10" customWidth="1"/>
    <col min="5630" max="5630" width="11.5546875" style="10" customWidth="1"/>
    <col min="5631" max="5631" width="9.109375" style="10"/>
    <col min="5632" max="5632" width="5.109375" style="10" customWidth="1"/>
    <col min="5633" max="5633" width="12" style="10" customWidth="1"/>
    <col min="5634" max="5634" width="9.109375" style="10"/>
    <col min="5635" max="5635" width="1.6640625" style="10" customWidth="1"/>
    <col min="5636" max="5636" width="14.109375" style="10" customWidth="1"/>
    <col min="5637" max="5880" width="9.109375" style="10"/>
    <col min="5881" max="5881" width="12.33203125" style="10" customWidth="1"/>
    <col min="5882" max="5882" width="53.5546875" style="10" customWidth="1"/>
    <col min="5883" max="5883" width="11.44140625" style="10" customWidth="1"/>
    <col min="5884" max="5884" width="12.109375" style="10" customWidth="1"/>
    <col min="5885" max="5885" width="21.33203125" style="10" customWidth="1"/>
    <col min="5886" max="5886" width="11.5546875" style="10" customWidth="1"/>
    <col min="5887" max="5887" width="9.109375" style="10"/>
    <col min="5888" max="5888" width="5.109375" style="10" customWidth="1"/>
    <col min="5889" max="5889" width="12" style="10" customWidth="1"/>
    <col min="5890" max="5890" width="9.109375" style="10"/>
    <col min="5891" max="5891" width="1.6640625" style="10" customWidth="1"/>
    <col min="5892" max="5892" width="14.109375" style="10" customWidth="1"/>
    <col min="5893" max="6136" width="9.109375" style="10"/>
    <col min="6137" max="6137" width="12.33203125" style="10" customWidth="1"/>
    <col min="6138" max="6138" width="53.5546875" style="10" customWidth="1"/>
    <col min="6139" max="6139" width="11.44140625" style="10" customWidth="1"/>
    <col min="6140" max="6140" width="12.109375" style="10" customWidth="1"/>
    <col min="6141" max="6141" width="21.33203125" style="10" customWidth="1"/>
    <col min="6142" max="6142" width="11.5546875" style="10" customWidth="1"/>
    <col min="6143" max="6143" width="9.109375" style="10"/>
    <col min="6144" max="6144" width="5.109375" style="10" customWidth="1"/>
    <col min="6145" max="6145" width="12" style="10" customWidth="1"/>
    <col min="6146" max="6146" width="9.109375" style="10"/>
    <col min="6147" max="6147" width="1.6640625" style="10" customWidth="1"/>
    <col min="6148" max="6148" width="14.109375" style="10" customWidth="1"/>
    <col min="6149" max="6392" width="9.109375" style="10"/>
    <col min="6393" max="6393" width="12.33203125" style="10" customWidth="1"/>
    <col min="6394" max="6394" width="53.5546875" style="10" customWidth="1"/>
    <col min="6395" max="6395" width="11.44140625" style="10" customWidth="1"/>
    <col min="6396" max="6396" width="12.109375" style="10" customWidth="1"/>
    <col min="6397" max="6397" width="21.33203125" style="10" customWidth="1"/>
    <col min="6398" max="6398" width="11.5546875" style="10" customWidth="1"/>
    <col min="6399" max="6399" width="9.109375" style="10"/>
    <col min="6400" max="6400" width="5.109375" style="10" customWidth="1"/>
    <col min="6401" max="6401" width="12" style="10" customWidth="1"/>
    <col min="6402" max="6402" width="9.109375" style="10"/>
    <col min="6403" max="6403" width="1.6640625" style="10" customWidth="1"/>
    <col min="6404" max="6404" width="14.109375" style="10" customWidth="1"/>
    <col min="6405" max="6648" width="9.109375" style="10"/>
    <col min="6649" max="6649" width="12.33203125" style="10" customWidth="1"/>
    <col min="6650" max="6650" width="53.5546875" style="10" customWidth="1"/>
    <col min="6651" max="6651" width="11.44140625" style="10" customWidth="1"/>
    <col min="6652" max="6652" width="12.109375" style="10" customWidth="1"/>
    <col min="6653" max="6653" width="21.33203125" style="10" customWidth="1"/>
    <col min="6654" max="6654" width="11.5546875" style="10" customWidth="1"/>
    <col min="6655" max="6655" width="9.109375" style="10"/>
    <col min="6656" max="6656" width="5.109375" style="10" customWidth="1"/>
    <col min="6657" max="6657" width="12" style="10" customWidth="1"/>
    <col min="6658" max="6658" width="9.109375" style="10"/>
    <col min="6659" max="6659" width="1.6640625" style="10" customWidth="1"/>
    <col min="6660" max="6660" width="14.109375" style="10" customWidth="1"/>
    <col min="6661" max="6904" width="9.109375" style="10"/>
    <col min="6905" max="6905" width="12.33203125" style="10" customWidth="1"/>
    <col min="6906" max="6906" width="53.5546875" style="10" customWidth="1"/>
    <col min="6907" max="6907" width="11.44140625" style="10" customWidth="1"/>
    <col min="6908" max="6908" width="12.109375" style="10" customWidth="1"/>
    <col min="6909" max="6909" width="21.33203125" style="10" customWidth="1"/>
    <col min="6910" max="6910" width="11.5546875" style="10" customWidth="1"/>
    <col min="6911" max="6911" width="9.109375" style="10"/>
    <col min="6912" max="6912" width="5.109375" style="10" customWidth="1"/>
    <col min="6913" max="6913" width="12" style="10" customWidth="1"/>
    <col min="6914" max="6914" width="9.109375" style="10"/>
    <col min="6915" max="6915" width="1.6640625" style="10" customWidth="1"/>
    <col min="6916" max="6916" width="14.109375" style="10" customWidth="1"/>
    <col min="6917" max="7160" width="9.109375" style="10"/>
    <col min="7161" max="7161" width="12.33203125" style="10" customWidth="1"/>
    <col min="7162" max="7162" width="53.5546875" style="10" customWidth="1"/>
    <col min="7163" max="7163" width="11.44140625" style="10" customWidth="1"/>
    <col min="7164" max="7164" width="12.109375" style="10" customWidth="1"/>
    <col min="7165" max="7165" width="21.33203125" style="10" customWidth="1"/>
    <col min="7166" max="7166" width="11.5546875" style="10" customWidth="1"/>
    <col min="7167" max="7167" width="9.109375" style="10"/>
    <col min="7168" max="7168" width="5.109375" style="10" customWidth="1"/>
    <col min="7169" max="7169" width="12" style="10" customWidth="1"/>
    <col min="7170" max="7170" width="9.109375" style="10"/>
    <col min="7171" max="7171" width="1.6640625" style="10" customWidth="1"/>
    <col min="7172" max="7172" width="14.109375" style="10" customWidth="1"/>
    <col min="7173" max="7416" width="9.109375" style="10"/>
    <col min="7417" max="7417" width="12.33203125" style="10" customWidth="1"/>
    <col min="7418" max="7418" width="53.5546875" style="10" customWidth="1"/>
    <col min="7419" max="7419" width="11.44140625" style="10" customWidth="1"/>
    <col min="7420" max="7420" width="12.109375" style="10" customWidth="1"/>
    <col min="7421" max="7421" width="21.33203125" style="10" customWidth="1"/>
    <col min="7422" max="7422" width="11.5546875" style="10" customWidth="1"/>
    <col min="7423" max="7423" width="9.109375" style="10"/>
    <col min="7424" max="7424" width="5.109375" style="10" customWidth="1"/>
    <col min="7425" max="7425" width="12" style="10" customWidth="1"/>
    <col min="7426" max="7426" width="9.109375" style="10"/>
    <col min="7427" max="7427" width="1.6640625" style="10" customWidth="1"/>
    <col min="7428" max="7428" width="14.109375" style="10" customWidth="1"/>
    <col min="7429" max="7672" width="9.109375" style="10"/>
    <col min="7673" max="7673" width="12.33203125" style="10" customWidth="1"/>
    <col min="7674" max="7674" width="53.5546875" style="10" customWidth="1"/>
    <col min="7675" max="7675" width="11.44140625" style="10" customWidth="1"/>
    <col min="7676" max="7676" width="12.109375" style="10" customWidth="1"/>
    <col min="7677" max="7677" width="21.33203125" style="10" customWidth="1"/>
    <col min="7678" max="7678" width="11.5546875" style="10" customWidth="1"/>
    <col min="7679" max="7679" width="9.109375" style="10"/>
    <col min="7680" max="7680" width="5.109375" style="10" customWidth="1"/>
    <col min="7681" max="7681" width="12" style="10" customWidth="1"/>
    <col min="7682" max="7682" width="9.109375" style="10"/>
    <col min="7683" max="7683" width="1.6640625" style="10" customWidth="1"/>
    <col min="7684" max="7684" width="14.109375" style="10" customWidth="1"/>
    <col min="7685" max="7928" width="9.109375" style="10"/>
    <col min="7929" max="7929" width="12.33203125" style="10" customWidth="1"/>
    <col min="7930" max="7930" width="53.5546875" style="10" customWidth="1"/>
    <col min="7931" max="7931" width="11.44140625" style="10" customWidth="1"/>
    <col min="7932" max="7932" width="12.109375" style="10" customWidth="1"/>
    <col min="7933" max="7933" width="21.33203125" style="10" customWidth="1"/>
    <col min="7934" max="7934" width="11.5546875" style="10" customWidth="1"/>
    <col min="7935" max="7935" width="9.109375" style="10"/>
    <col min="7936" max="7936" width="5.109375" style="10" customWidth="1"/>
    <col min="7937" max="7937" width="12" style="10" customWidth="1"/>
    <col min="7938" max="7938" width="9.109375" style="10"/>
    <col min="7939" max="7939" width="1.6640625" style="10" customWidth="1"/>
    <col min="7940" max="7940" width="14.109375" style="10" customWidth="1"/>
    <col min="7941" max="8184" width="9.109375" style="10"/>
    <col min="8185" max="8185" width="12.33203125" style="10" customWidth="1"/>
    <col min="8186" max="8186" width="53.5546875" style="10" customWidth="1"/>
    <col min="8187" max="8187" width="11.44140625" style="10" customWidth="1"/>
    <col min="8188" max="8188" width="12.109375" style="10" customWidth="1"/>
    <col min="8189" max="8189" width="21.33203125" style="10" customWidth="1"/>
    <col min="8190" max="8190" width="11.5546875" style="10" customWidth="1"/>
    <col min="8191" max="8191" width="9.109375" style="10"/>
    <col min="8192" max="8192" width="5.109375" style="10" customWidth="1"/>
    <col min="8193" max="8193" width="12" style="10" customWidth="1"/>
    <col min="8194" max="8194" width="9.109375" style="10"/>
    <col min="8195" max="8195" width="1.6640625" style="10" customWidth="1"/>
    <col min="8196" max="8196" width="14.109375" style="10" customWidth="1"/>
    <col min="8197" max="8440" width="9.109375" style="10"/>
    <col min="8441" max="8441" width="12.33203125" style="10" customWidth="1"/>
    <col min="8442" max="8442" width="53.5546875" style="10" customWidth="1"/>
    <col min="8443" max="8443" width="11.44140625" style="10" customWidth="1"/>
    <col min="8444" max="8444" width="12.109375" style="10" customWidth="1"/>
    <col min="8445" max="8445" width="21.33203125" style="10" customWidth="1"/>
    <col min="8446" max="8446" width="11.5546875" style="10" customWidth="1"/>
    <col min="8447" max="8447" width="9.109375" style="10"/>
    <col min="8448" max="8448" width="5.109375" style="10" customWidth="1"/>
    <col min="8449" max="8449" width="12" style="10" customWidth="1"/>
    <col min="8450" max="8450" width="9.109375" style="10"/>
    <col min="8451" max="8451" width="1.6640625" style="10" customWidth="1"/>
    <col min="8452" max="8452" width="14.109375" style="10" customWidth="1"/>
    <col min="8453" max="8696" width="9.109375" style="10"/>
    <col min="8697" max="8697" width="12.33203125" style="10" customWidth="1"/>
    <col min="8698" max="8698" width="53.5546875" style="10" customWidth="1"/>
    <col min="8699" max="8699" width="11.44140625" style="10" customWidth="1"/>
    <col min="8700" max="8700" width="12.109375" style="10" customWidth="1"/>
    <col min="8701" max="8701" width="21.33203125" style="10" customWidth="1"/>
    <col min="8702" max="8702" width="11.5546875" style="10" customWidth="1"/>
    <col min="8703" max="8703" width="9.109375" style="10"/>
    <col min="8704" max="8704" width="5.109375" style="10" customWidth="1"/>
    <col min="8705" max="8705" width="12" style="10" customWidth="1"/>
    <col min="8706" max="8706" width="9.109375" style="10"/>
    <col min="8707" max="8707" width="1.6640625" style="10" customWidth="1"/>
    <col min="8708" max="8708" width="14.109375" style="10" customWidth="1"/>
    <col min="8709" max="8952" width="9.109375" style="10"/>
    <col min="8953" max="8953" width="12.33203125" style="10" customWidth="1"/>
    <col min="8954" max="8954" width="53.5546875" style="10" customWidth="1"/>
    <col min="8955" max="8955" width="11.44140625" style="10" customWidth="1"/>
    <col min="8956" max="8956" width="12.109375" style="10" customWidth="1"/>
    <col min="8957" max="8957" width="21.33203125" style="10" customWidth="1"/>
    <col min="8958" max="8958" width="11.5546875" style="10" customWidth="1"/>
    <col min="8959" max="8959" width="9.109375" style="10"/>
    <col min="8960" max="8960" width="5.109375" style="10" customWidth="1"/>
    <col min="8961" max="8961" width="12" style="10" customWidth="1"/>
    <col min="8962" max="8962" width="9.109375" style="10"/>
    <col min="8963" max="8963" width="1.6640625" style="10" customWidth="1"/>
    <col min="8964" max="8964" width="14.109375" style="10" customWidth="1"/>
    <col min="8965" max="9208" width="9.109375" style="10"/>
    <col min="9209" max="9209" width="12.33203125" style="10" customWidth="1"/>
    <col min="9210" max="9210" width="53.5546875" style="10" customWidth="1"/>
    <col min="9211" max="9211" width="11.44140625" style="10" customWidth="1"/>
    <col min="9212" max="9212" width="12.109375" style="10" customWidth="1"/>
    <col min="9213" max="9213" width="21.33203125" style="10" customWidth="1"/>
    <col min="9214" max="9214" width="11.5546875" style="10" customWidth="1"/>
    <col min="9215" max="9215" width="9.109375" style="10"/>
    <col min="9216" max="9216" width="5.109375" style="10" customWidth="1"/>
    <col min="9217" max="9217" width="12" style="10" customWidth="1"/>
    <col min="9218" max="9218" width="9.109375" style="10"/>
    <col min="9219" max="9219" width="1.6640625" style="10" customWidth="1"/>
    <col min="9220" max="9220" width="14.109375" style="10" customWidth="1"/>
    <col min="9221" max="9464" width="9.109375" style="10"/>
    <col min="9465" max="9465" width="12.33203125" style="10" customWidth="1"/>
    <col min="9466" max="9466" width="53.5546875" style="10" customWidth="1"/>
    <col min="9467" max="9467" width="11.44140625" style="10" customWidth="1"/>
    <col min="9468" max="9468" width="12.109375" style="10" customWidth="1"/>
    <col min="9469" max="9469" width="21.33203125" style="10" customWidth="1"/>
    <col min="9470" max="9470" width="11.5546875" style="10" customWidth="1"/>
    <col min="9471" max="9471" width="9.109375" style="10"/>
    <col min="9472" max="9472" width="5.109375" style="10" customWidth="1"/>
    <col min="9473" max="9473" width="12" style="10" customWidth="1"/>
    <col min="9474" max="9474" width="9.109375" style="10"/>
    <col min="9475" max="9475" width="1.6640625" style="10" customWidth="1"/>
    <col min="9476" max="9476" width="14.109375" style="10" customWidth="1"/>
    <col min="9477" max="9720" width="9.109375" style="10"/>
    <col min="9721" max="9721" width="12.33203125" style="10" customWidth="1"/>
    <col min="9722" max="9722" width="53.5546875" style="10" customWidth="1"/>
    <col min="9723" max="9723" width="11.44140625" style="10" customWidth="1"/>
    <col min="9724" max="9724" width="12.109375" style="10" customWidth="1"/>
    <col min="9725" max="9725" width="21.33203125" style="10" customWidth="1"/>
    <col min="9726" max="9726" width="11.5546875" style="10" customWidth="1"/>
    <col min="9727" max="9727" width="9.109375" style="10"/>
    <col min="9728" max="9728" width="5.109375" style="10" customWidth="1"/>
    <col min="9729" max="9729" width="12" style="10" customWidth="1"/>
    <col min="9730" max="9730" width="9.109375" style="10"/>
    <col min="9731" max="9731" width="1.6640625" style="10" customWidth="1"/>
    <col min="9732" max="9732" width="14.109375" style="10" customWidth="1"/>
    <col min="9733" max="9976" width="9.109375" style="10"/>
    <col min="9977" max="9977" width="12.33203125" style="10" customWidth="1"/>
    <col min="9978" max="9978" width="53.5546875" style="10" customWidth="1"/>
    <col min="9979" max="9979" width="11.44140625" style="10" customWidth="1"/>
    <col min="9980" max="9980" width="12.109375" style="10" customWidth="1"/>
    <col min="9981" max="9981" width="21.33203125" style="10" customWidth="1"/>
    <col min="9982" max="9982" width="11.5546875" style="10" customWidth="1"/>
    <col min="9983" max="9983" width="9.109375" style="10"/>
    <col min="9984" max="9984" width="5.109375" style="10" customWidth="1"/>
    <col min="9985" max="9985" width="12" style="10" customWidth="1"/>
    <col min="9986" max="9986" width="9.109375" style="10"/>
    <col min="9987" max="9987" width="1.6640625" style="10" customWidth="1"/>
    <col min="9988" max="9988" width="14.109375" style="10" customWidth="1"/>
    <col min="9989" max="10232" width="9.109375" style="10"/>
    <col min="10233" max="10233" width="12.33203125" style="10" customWidth="1"/>
    <col min="10234" max="10234" width="53.5546875" style="10" customWidth="1"/>
    <col min="10235" max="10235" width="11.44140625" style="10" customWidth="1"/>
    <col min="10236" max="10236" width="12.109375" style="10" customWidth="1"/>
    <col min="10237" max="10237" width="21.33203125" style="10" customWidth="1"/>
    <col min="10238" max="10238" width="11.5546875" style="10" customWidth="1"/>
    <col min="10239" max="10239" width="9.109375" style="10"/>
    <col min="10240" max="10240" width="5.109375" style="10" customWidth="1"/>
    <col min="10241" max="10241" width="12" style="10" customWidth="1"/>
    <col min="10242" max="10242" width="9.109375" style="10"/>
    <col min="10243" max="10243" width="1.6640625" style="10" customWidth="1"/>
    <col min="10244" max="10244" width="14.109375" style="10" customWidth="1"/>
    <col min="10245" max="10488" width="9.109375" style="10"/>
    <col min="10489" max="10489" width="12.33203125" style="10" customWidth="1"/>
    <col min="10490" max="10490" width="53.5546875" style="10" customWidth="1"/>
    <col min="10491" max="10491" width="11.44140625" style="10" customWidth="1"/>
    <col min="10492" max="10492" width="12.109375" style="10" customWidth="1"/>
    <col min="10493" max="10493" width="21.33203125" style="10" customWidth="1"/>
    <col min="10494" max="10494" width="11.5546875" style="10" customWidth="1"/>
    <col min="10495" max="10495" width="9.109375" style="10"/>
    <col min="10496" max="10496" width="5.109375" style="10" customWidth="1"/>
    <col min="10497" max="10497" width="12" style="10" customWidth="1"/>
    <col min="10498" max="10498" width="9.109375" style="10"/>
    <col min="10499" max="10499" width="1.6640625" style="10" customWidth="1"/>
    <col min="10500" max="10500" width="14.109375" style="10" customWidth="1"/>
    <col min="10501" max="10744" width="9.109375" style="10"/>
    <col min="10745" max="10745" width="12.33203125" style="10" customWidth="1"/>
    <col min="10746" max="10746" width="53.5546875" style="10" customWidth="1"/>
    <col min="10747" max="10747" width="11.44140625" style="10" customWidth="1"/>
    <col min="10748" max="10748" width="12.109375" style="10" customWidth="1"/>
    <col min="10749" max="10749" width="21.33203125" style="10" customWidth="1"/>
    <col min="10750" max="10750" width="11.5546875" style="10" customWidth="1"/>
    <col min="10751" max="10751" width="9.109375" style="10"/>
    <col min="10752" max="10752" width="5.109375" style="10" customWidth="1"/>
    <col min="10753" max="10753" width="12" style="10" customWidth="1"/>
    <col min="10754" max="10754" width="9.109375" style="10"/>
    <col min="10755" max="10755" width="1.6640625" style="10" customWidth="1"/>
    <col min="10756" max="10756" width="14.109375" style="10" customWidth="1"/>
    <col min="10757" max="11000" width="9.109375" style="10"/>
    <col min="11001" max="11001" width="12.33203125" style="10" customWidth="1"/>
    <col min="11002" max="11002" width="53.5546875" style="10" customWidth="1"/>
    <col min="11003" max="11003" width="11.44140625" style="10" customWidth="1"/>
    <col min="11004" max="11004" width="12.109375" style="10" customWidth="1"/>
    <col min="11005" max="11005" width="21.33203125" style="10" customWidth="1"/>
    <col min="11006" max="11006" width="11.5546875" style="10" customWidth="1"/>
    <col min="11007" max="11007" width="9.109375" style="10"/>
    <col min="11008" max="11008" width="5.109375" style="10" customWidth="1"/>
    <col min="11009" max="11009" width="12" style="10" customWidth="1"/>
    <col min="11010" max="11010" width="9.109375" style="10"/>
    <col min="11011" max="11011" width="1.6640625" style="10" customWidth="1"/>
    <col min="11012" max="11012" width="14.109375" style="10" customWidth="1"/>
    <col min="11013" max="11256" width="9.109375" style="10"/>
    <col min="11257" max="11257" width="12.33203125" style="10" customWidth="1"/>
    <col min="11258" max="11258" width="53.5546875" style="10" customWidth="1"/>
    <col min="11259" max="11259" width="11.44140625" style="10" customWidth="1"/>
    <col min="11260" max="11260" width="12.109375" style="10" customWidth="1"/>
    <col min="11261" max="11261" width="21.33203125" style="10" customWidth="1"/>
    <col min="11262" max="11262" width="11.5546875" style="10" customWidth="1"/>
    <col min="11263" max="11263" width="9.109375" style="10"/>
    <col min="11264" max="11264" width="5.109375" style="10" customWidth="1"/>
    <col min="11265" max="11265" width="12" style="10" customWidth="1"/>
    <col min="11266" max="11266" width="9.109375" style="10"/>
    <col min="11267" max="11267" width="1.6640625" style="10" customWidth="1"/>
    <col min="11268" max="11268" width="14.109375" style="10" customWidth="1"/>
    <col min="11269" max="11512" width="9.109375" style="10"/>
    <col min="11513" max="11513" width="12.33203125" style="10" customWidth="1"/>
    <col min="11514" max="11514" width="53.5546875" style="10" customWidth="1"/>
    <col min="11515" max="11515" width="11.44140625" style="10" customWidth="1"/>
    <col min="11516" max="11516" width="12.109375" style="10" customWidth="1"/>
    <col min="11517" max="11517" width="21.33203125" style="10" customWidth="1"/>
    <col min="11518" max="11518" width="11.5546875" style="10" customWidth="1"/>
    <col min="11519" max="11519" width="9.109375" style="10"/>
    <col min="11520" max="11520" width="5.109375" style="10" customWidth="1"/>
    <col min="11521" max="11521" width="12" style="10" customWidth="1"/>
    <col min="11522" max="11522" width="9.109375" style="10"/>
    <col min="11523" max="11523" width="1.6640625" style="10" customWidth="1"/>
    <col min="11524" max="11524" width="14.109375" style="10" customWidth="1"/>
    <col min="11525" max="11768" width="9.109375" style="10"/>
    <col min="11769" max="11769" width="12.33203125" style="10" customWidth="1"/>
    <col min="11770" max="11770" width="53.5546875" style="10" customWidth="1"/>
    <col min="11771" max="11771" width="11.44140625" style="10" customWidth="1"/>
    <col min="11772" max="11772" width="12.109375" style="10" customWidth="1"/>
    <col min="11773" max="11773" width="21.33203125" style="10" customWidth="1"/>
    <col min="11774" max="11774" width="11.5546875" style="10" customWidth="1"/>
    <col min="11775" max="11775" width="9.109375" style="10"/>
    <col min="11776" max="11776" width="5.109375" style="10" customWidth="1"/>
    <col min="11777" max="11777" width="12" style="10" customWidth="1"/>
    <col min="11778" max="11778" width="9.109375" style="10"/>
    <col min="11779" max="11779" width="1.6640625" style="10" customWidth="1"/>
    <col min="11780" max="11780" width="14.109375" style="10" customWidth="1"/>
    <col min="11781" max="12024" width="9.109375" style="10"/>
    <col min="12025" max="12025" width="12.33203125" style="10" customWidth="1"/>
    <col min="12026" max="12026" width="53.5546875" style="10" customWidth="1"/>
    <col min="12027" max="12027" width="11.44140625" style="10" customWidth="1"/>
    <col min="12028" max="12028" width="12.109375" style="10" customWidth="1"/>
    <col min="12029" max="12029" width="21.33203125" style="10" customWidth="1"/>
    <col min="12030" max="12030" width="11.5546875" style="10" customWidth="1"/>
    <col min="12031" max="12031" width="9.109375" style="10"/>
    <col min="12032" max="12032" width="5.109375" style="10" customWidth="1"/>
    <col min="12033" max="12033" width="12" style="10" customWidth="1"/>
    <col min="12034" max="12034" width="9.109375" style="10"/>
    <col min="12035" max="12035" width="1.6640625" style="10" customWidth="1"/>
    <col min="12036" max="12036" width="14.109375" style="10" customWidth="1"/>
    <col min="12037" max="12280" width="9.109375" style="10"/>
    <col min="12281" max="12281" width="12.33203125" style="10" customWidth="1"/>
    <col min="12282" max="12282" width="53.5546875" style="10" customWidth="1"/>
    <col min="12283" max="12283" width="11.44140625" style="10" customWidth="1"/>
    <col min="12284" max="12284" width="12.109375" style="10" customWidth="1"/>
    <col min="12285" max="12285" width="21.33203125" style="10" customWidth="1"/>
    <col min="12286" max="12286" width="11.5546875" style="10" customWidth="1"/>
    <col min="12287" max="12287" width="9.109375" style="10"/>
    <col min="12288" max="12288" width="5.109375" style="10" customWidth="1"/>
    <col min="12289" max="12289" width="12" style="10" customWidth="1"/>
    <col min="12290" max="12290" width="9.109375" style="10"/>
    <col min="12291" max="12291" width="1.6640625" style="10" customWidth="1"/>
    <col min="12292" max="12292" width="14.109375" style="10" customWidth="1"/>
    <col min="12293" max="12536" width="9.109375" style="10"/>
    <col min="12537" max="12537" width="12.33203125" style="10" customWidth="1"/>
    <col min="12538" max="12538" width="53.5546875" style="10" customWidth="1"/>
    <col min="12539" max="12539" width="11.44140625" style="10" customWidth="1"/>
    <col min="12540" max="12540" width="12.109375" style="10" customWidth="1"/>
    <col min="12541" max="12541" width="21.33203125" style="10" customWidth="1"/>
    <col min="12542" max="12542" width="11.5546875" style="10" customWidth="1"/>
    <col min="12543" max="12543" width="9.109375" style="10"/>
    <col min="12544" max="12544" width="5.109375" style="10" customWidth="1"/>
    <col min="12545" max="12545" width="12" style="10" customWidth="1"/>
    <col min="12546" max="12546" width="9.109375" style="10"/>
    <col min="12547" max="12547" width="1.6640625" style="10" customWidth="1"/>
    <col min="12548" max="12548" width="14.109375" style="10" customWidth="1"/>
    <col min="12549" max="12792" width="9.109375" style="10"/>
    <col min="12793" max="12793" width="12.33203125" style="10" customWidth="1"/>
    <col min="12794" max="12794" width="53.5546875" style="10" customWidth="1"/>
    <col min="12795" max="12795" width="11.44140625" style="10" customWidth="1"/>
    <col min="12796" max="12796" width="12.109375" style="10" customWidth="1"/>
    <col min="12797" max="12797" width="21.33203125" style="10" customWidth="1"/>
    <col min="12798" max="12798" width="11.5546875" style="10" customWidth="1"/>
    <col min="12799" max="12799" width="9.109375" style="10"/>
    <col min="12800" max="12800" width="5.109375" style="10" customWidth="1"/>
    <col min="12801" max="12801" width="12" style="10" customWidth="1"/>
    <col min="12802" max="12802" width="9.109375" style="10"/>
    <col min="12803" max="12803" width="1.6640625" style="10" customWidth="1"/>
    <col min="12804" max="12804" width="14.109375" style="10" customWidth="1"/>
    <col min="12805" max="13048" width="9.109375" style="10"/>
    <col min="13049" max="13049" width="12.33203125" style="10" customWidth="1"/>
    <col min="13050" max="13050" width="53.5546875" style="10" customWidth="1"/>
    <col min="13051" max="13051" width="11.44140625" style="10" customWidth="1"/>
    <col min="13052" max="13052" width="12.109375" style="10" customWidth="1"/>
    <col min="13053" max="13053" width="21.33203125" style="10" customWidth="1"/>
    <col min="13054" max="13054" width="11.5546875" style="10" customWidth="1"/>
    <col min="13055" max="13055" width="9.109375" style="10"/>
    <col min="13056" max="13056" width="5.109375" style="10" customWidth="1"/>
    <col min="13057" max="13057" width="12" style="10" customWidth="1"/>
    <col min="13058" max="13058" width="9.109375" style="10"/>
    <col min="13059" max="13059" width="1.6640625" style="10" customWidth="1"/>
    <col min="13060" max="13060" width="14.109375" style="10" customWidth="1"/>
    <col min="13061" max="13304" width="9.109375" style="10"/>
    <col min="13305" max="13305" width="12.33203125" style="10" customWidth="1"/>
    <col min="13306" max="13306" width="53.5546875" style="10" customWidth="1"/>
    <col min="13307" max="13307" width="11.44140625" style="10" customWidth="1"/>
    <col min="13308" max="13308" width="12.109375" style="10" customWidth="1"/>
    <col min="13309" max="13309" width="21.33203125" style="10" customWidth="1"/>
    <col min="13310" max="13310" width="11.5546875" style="10" customWidth="1"/>
    <col min="13311" max="13311" width="9.109375" style="10"/>
    <col min="13312" max="13312" width="5.109375" style="10" customWidth="1"/>
    <col min="13313" max="13313" width="12" style="10" customWidth="1"/>
    <col min="13314" max="13314" width="9.109375" style="10"/>
    <col min="13315" max="13315" width="1.6640625" style="10" customWidth="1"/>
    <col min="13316" max="13316" width="14.109375" style="10" customWidth="1"/>
    <col min="13317" max="13560" width="9.109375" style="10"/>
    <col min="13561" max="13561" width="12.33203125" style="10" customWidth="1"/>
    <col min="13562" max="13562" width="53.5546875" style="10" customWidth="1"/>
    <col min="13563" max="13563" width="11.44140625" style="10" customWidth="1"/>
    <col min="13564" max="13564" width="12.109375" style="10" customWidth="1"/>
    <col min="13565" max="13565" width="21.33203125" style="10" customWidth="1"/>
    <col min="13566" max="13566" width="11.5546875" style="10" customWidth="1"/>
    <col min="13567" max="13567" width="9.109375" style="10"/>
    <col min="13568" max="13568" width="5.109375" style="10" customWidth="1"/>
    <col min="13569" max="13569" width="12" style="10" customWidth="1"/>
    <col min="13570" max="13570" width="9.109375" style="10"/>
    <col min="13571" max="13571" width="1.6640625" style="10" customWidth="1"/>
    <col min="13572" max="13572" width="14.109375" style="10" customWidth="1"/>
    <col min="13573" max="13816" width="9.109375" style="10"/>
    <col min="13817" max="13817" width="12.33203125" style="10" customWidth="1"/>
    <col min="13818" max="13818" width="53.5546875" style="10" customWidth="1"/>
    <col min="13819" max="13819" width="11.44140625" style="10" customWidth="1"/>
    <col min="13820" max="13820" width="12.109375" style="10" customWidth="1"/>
    <col min="13821" max="13821" width="21.33203125" style="10" customWidth="1"/>
    <col min="13822" max="13822" width="11.5546875" style="10" customWidth="1"/>
    <col min="13823" max="13823" width="9.109375" style="10"/>
    <col min="13824" max="13824" width="5.109375" style="10" customWidth="1"/>
    <col min="13825" max="13825" width="12" style="10" customWidth="1"/>
    <col min="13826" max="13826" width="9.109375" style="10"/>
    <col min="13827" max="13827" width="1.6640625" style="10" customWidth="1"/>
    <col min="13828" max="13828" width="14.109375" style="10" customWidth="1"/>
    <col min="13829" max="14072" width="9.109375" style="10"/>
    <col min="14073" max="14073" width="12.33203125" style="10" customWidth="1"/>
    <col min="14074" max="14074" width="53.5546875" style="10" customWidth="1"/>
    <col min="14075" max="14075" width="11.44140625" style="10" customWidth="1"/>
    <col min="14076" max="14076" width="12.109375" style="10" customWidth="1"/>
    <col min="14077" max="14077" width="21.33203125" style="10" customWidth="1"/>
    <col min="14078" max="14078" width="11.5546875" style="10" customWidth="1"/>
    <col min="14079" max="14079" width="9.109375" style="10"/>
    <col min="14080" max="14080" width="5.109375" style="10" customWidth="1"/>
    <col min="14081" max="14081" width="12" style="10" customWidth="1"/>
    <col min="14082" max="14082" width="9.109375" style="10"/>
    <col min="14083" max="14083" width="1.6640625" style="10" customWidth="1"/>
    <col min="14084" max="14084" width="14.109375" style="10" customWidth="1"/>
    <col min="14085" max="14328" width="9.109375" style="10"/>
    <col min="14329" max="14329" width="12.33203125" style="10" customWidth="1"/>
    <col min="14330" max="14330" width="53.5546875" style="10" customWidth="1"/>
    <col min="14331" max="14331" width="11.44140625" style="10" customWidth="1"/>
    <col min="14332" max="14332" width="12.109375" style="10" customWidth="1"/>
    <col min="14333" max="14333" width="21.33203125" style="10" customWidth="1"/>
    <col min="14334" max="14334" width="11.5546875" style="10" customWidth="1"/>
    <col min="14335" max="14335" width="9.109375" style="10"/>
    <col min="14336" max="14336" width="5.109375" style="10" customWidth="1"/>
    <col min="14337" max="14337" width="12" style="10" customWidth="1"/>
    <col min="14338" max="14338" width="9.109375" style="10"/>
    <col min="14339" max="14339" width="1.6640625" style="10" customWidth="1"/>
    <col min="14340" max="14340" width="14.109375" style="10" customWidth="1"/>
    <col min="14341" max="14584" width="9.109375" style="10"/>
    <col min="14585" max="14585" width="12.33203125" style="10" customWidth="1"/>
    <col min="14586" max="14586" width="53.5546875" style="10" customWidth="1"/>
    <col min="14587" max="14587" width="11.44140625" style="10" customWidth="1"/>
    <col min="14588" max="14588" width="12.109375" style="10" customWidth="1"/>
    <col min="14589" max="14589" width="21.33203125" style="10" customWidth="1"/>
    <col min="14590" max="14590" width="11.5546875" style="10" customWidth="1"/>
    <col min="14591" max="14591" width="9.109375" style="10"/>
    <col min="14592" max="14592" width="5.109375" style="10" customWidth="1"/>
    <col min="14593" max="14593" width="12" style="10" customWidth="1"/>
    <col min="14594" max="14594" width="9.109375" style="10"/>
    <col min="14595" max="14595" width="1.6640625" style="10" customWidth="1"/>
    <col min="14596" max="14596" width="14.109375" style="10" customWidth="1"/>
    <col min="14597" max="14840" width="9.109375" style="10"/>
    <col min="14841" max="14841" width="12.33203125" style="10" customWidth="1"/>
    <col min="14842" max="14842" width="53.5546875" style="10" customWidth="1"/>
    <col min="14843" max="14843" width="11.44140625" style="10" customWidth="1"/>
    <col min="14844" max="14844" width="12.109375" style="10" customWidth="1"/>
    <col min="14845" max="14845" width="21.33203125" style="10" customWidth="1"/>
    <col min="14846" max="14846" width="11.5546875" style="10" customWidth="1"/>
    <col min="14847" max="14847" width="9.109375" style="10"/>
    <col min="14848" max="14848" width="5.109375" style="10" customWidth="1"/>
    <col min="14849" max="14849" width="12" style="10" customWidth="1"/>
    <col min="14850" max="14850" width="9.109375" style="10"/>
    <col min="14851" max="14851" width="1.6640625" style="10" customWidth="1"/>
    <col min="14852" max="14852" width="14.109375" style="10" customWidth="1"/>
    <col min="14853" max="15096" width="9.109375" style="10"/>
    <col min="15097" max="15097" width="12.33203125" style="10" customWidth="1"/>
    <col min="15098" max="15098" width="53.5546875" style="10" customWidth="1"/>
    <col min="15099" max="15099" width="11.44140625" style="10" customWidth="1"/>
    <col min="15100" max="15100" width="12.109375" style="10" customWidth="1"/>
    <col min="15101" max="15101" width="21.33203125" style="10" customWidth="1"/>
    <col min="15102" max="15102" width="11.5546875" style="10" customWidth="1"/>
    <col min="15103" max="15103" width="9.109375" style="10"/>
    <col min="15104" max="15104" width="5.109375" style="10" customWidth="1"/>
    <col min="15105" max="15105" width="12" style="10" customWidth="1"/>
    <col min="15106" max="15106" width="9.109375" style="10"/>
    <col min="15107" max="15107" width="1.6640625" style="10" customWidth="1"/>
    <col min="15108" max="15108" width="14.109375" style="10" customWidth="1"/>
    <col min="15109" max="15352" width="9.109375" style="10"/>
    <col min="15353" max="15353" width="12.33203125" style="10" customWidth="1"/>
    <col min="15354" max="15354" width="53.5546875" style="10" customWidth="1"/>
    <col min="15355" max="15355" width="11.44140625" style="10" customWidth="1"/>
    <col min="15356" max="15356" width="12.109375" style="10" customWidth="1"/>
    <col min="15357" max="15357" width="21.33203125" style="10" customWidth="1"/>
    <col min="15358" max="15358" width="11.5546875" style="10" customWidth="1"/>
    <col min="15359" max="15359" width="9.109375" style="10"/>
    <col min="15360" max="15360" width="5.109375" style="10" customWidth="1"/>
    <col min="15361" max="15361" width="12" style="10" customWidth="1"/>
    <col min="15362" max="15362" width="9.109375" style="10"/>
    <col min="15363" max="15363" width="1.6640625" style="10" customWidth="1"/>
    <col min="15364" max="15364" width="14.109375" style="10" customWidth="1"/>
    <col min="15365" max="15608" width="9.109375" style="10"/>
    <col min="15609" max="15609" width="12.33203125" style="10" customWidth="1"/>
    <col min="15610" max="15610" width="53.5546875" style="10" customWidth="1"/>
    <col min="15611" max="15611" width="11.44140625" style="10" customWidth="1"/>
    <col min="15612" max="15612" width="12.109375" style="10" customWidth="1"/>
    <col min="15613" max="15613" width="21.33203125" style="10" customWidth="1"/>
    <col min="15614" max="15614" width="11.5546875" style="10" customWidth="1"/>
    <col min="15615" max="15615" width="9.109375" style="10"/>
    <col min="15616" max="15616" width="5.109375" style="10" customWidth="1"/>
    <col min="15617" max="15617" width="12" style="10" customWidth="1"/>
    <col min="15618" max="15618" width="9.109375" style="10"/>
    <col min="15619" max="15619" width="1.6640625" style="10" customWidth="1"/>
    <col min="15620" max="15620" width="14.109375" style="10" customWidth="1"/>
    <col min="15621" max="15864" width="9.109375" style="10"/>
    <col min="15865" max="15865" width="12.33203125" style="10" customWidth="1"/>
    <col min="15866" max="15866" width="53.5546875" style="10" customWidth="1"/>
    <col min="15867" max="15867" width="11.44140625" style="10" customWidth="1"/>
    <col min="15868" max="15868" width="12.109375" style="10" customWidth="1"/>
    <col min="15869" max="15869" width="21.33203125" style="10" customWidth="1"/>
    <col min="15870" max="15870" width="11.5546875" style="10" customWidth="1"/>
    <col min="15871" max="15871" width="9.109375" style="10"/>
    <col min="15872" max="15872" width="5.109375" style="10" customWidth="1"/>
    <col min="15873" max="15873" width="12" style="10" customWidth="1"/>
    <col min="15874" max="15874" width="9.109375" style="10"/>
    <col min="15875" max="15875" width="1.6640625" style="10" customWidth="1"/>
    <col min="15876" max="15876" width="14.109375" style="10" customWidth="1"/>
    <col min="15877" max="16120" width="9.109375" style="10"/>
    <col min="16121" max="16121" width="12.33203125" style="10" customWidth="1"/>
    <col min="16122" max="16122" width="53.5546875" style="10" customWidth="1"/>
    <col min="16123" max="16123" width="11.44140625" style="10" customWidth="1"/>
    <col min="16124" max="16124" width="12.109375" style="10" customWidth="1"/>
    <col min="16125" max="16125" width="21.33203125" style="10" customWidth="1"/>
    <col min="16126" max="16126" width="11.5546875" style="10" customWidth="1"/>
    <col min="16127" max="16127" width="9.109375" style="10"/>
    <col min="16128" max="16128" width="5.109375" style="10" customWidth="1"/>
    <col min="16129" max="16129" width="12" style="10" customWidth="1"/>
    <col min="16130" max="16130" width="9.109375" style="10"/>
    <col min="16131" max="16131" width="1.6640625" style="10" customWidth="1"/>
    <col min="16132" max="16132" width="14.109375" style="10" customWidth="1"/>
    <col min="16133" max="16384" width="9.109375" style="10"/>
  </cols>
  <sheetData>
    <row r="1" spans="1:7" ht="23.4" x14ac:dyDescent="0.3">
      <c r="A1" s="292" t="s">
        <v>114</v>
      </c>
      <c r="B1" s="292"/>
      <c r="C1" s="292"/>
      <c r="D1" s="292"/>
      <c r="E1" s="292"/>
      <c r="F1" s="292"/>
      <c r="G1" s="292"/>
    </row>
    <row r="2" spans="1:7" ht="15" customHeight="1" x14ac:dyDescent="0.3"/>
    <row r="3" spans="1:7" x14ac:dyDescent="0.3">
      <c r="A3" s="5" t="s">
        <v>0</v>
      </c>
      <c r="B3" s="293" t="str">
        <f>'Validator Notes'!B4</f>
        <v>EQ - Utah Technical Center</v>
      </c>
      <c r="C3" s="293"/>
      <c r="D3" s="5" t="s">
        <v>2</v>
      </c>
      <c r="E3" s="168" t="str">
        <f>'Validator Notes'!B6</f>
        <v>Aengstrom</v>
      </c>
    </row>
    <row r="4" spans="1:7" x14ac:dyDescent="0.3">
      <c r="A4" s="5" t="s">
        <v>1</v>
      </c>
      <c r="B4" s="293" t="str">
        <f>'Validator Notes'!B5</f>
        <v>Month 2025</v>
      </c>
      <c r="C4" s="293"/>
    </row>
    <row r="5" spans="1:7" ht="15" customHeight="1" thickBot="1" x14ac:dyDescent="0.35"/>
    <row r="6" spans="1:7" ht="14.4" thickBot="1" x14ac:dyDescent="0.35">
      <c r="A6" s="140" t="s">
        <v>99</v>
      </c>
      <c r="B6" s="297" t="s">
        <v>106</v>
      </c>
      <c r="C6" s="298"/>
      <c r="D6" s="141" t="s">
        <v>104</v>
      </c>
      <c r="E6" s="164" t="s">
        <v>102</v>
      </c>
      <c r="F6" s="164" t="s">
        <v>103</v>
      </c>
      <c r="G6" s="165" t="s">
        <v>105</v>
      </c>
    </row>
    <row r="7" spans="1:7" x14ac:dyDescent="0.3">
      <c r="A7" s="294" t="s">
        <v>63</v>
      </c>
      <c r="B7" s="110"/>
      <c r="C7" s="111"/>
      <c r="D7" s="119"/>
      <c r="E7" s="155"/>
      <c r="F7" s="161"/>
      <c r="G7" s="166"/>
    </row>
    <row r="8" spans="1:7" x14ac:dyDescent="0.3">
      <c r="A8" s="295"/>
      <c r="B8" s="112"/>
      <c r="C8" s="113"/>
      <c r="D8" s="149"/>
      <c r="E8" s="158"/>
      <c r="F8" s="161"/>
      <c r="G8" s="166"/>
    </row>
    <row r="9" spans="1:7" x14ac:dyDescent="0.3">
      <c r="A9" s="295"/>
      <c r="B9" s="112"/>
      <c r="C9" s="113"/>
      <c r="D9" s="150"/>
      <c r="E9" s="158"/>
      <c r="F9" s="161"/>
      <c r="G9" s="166"/>
    </row>
    <row r="10" spans="1:7" x14ac:dyDescent="0.3">
      <c r="A10" s="295"/>
      <c r="B10" s="112"/>
      <c r="C10" s="113"/>
      <c r="D10" s="117"/>
      <c r="E10" s="158"/>
      <c r="F10" s="161"/>
      <c r="G10" s="139"/>
    </row>
    <row r="11" spans="1:7" x14ac:dyDescent="0.3">
      <c r="A11" s="295"/>
      <c r="B11" s="112"/>
      <c r="C11" s="113"/>
      <c r="D11" s="120"/>
      <c r="E11" s="153"/>
      <c r="F11" s="161"/>
      <c r="G11" s="139"/>
    </row>
    <row r="12" spans="1:7" x14ac:dyDescent="0.3">
      <c r="A12" s="295"/>
      <c r="B12" s="112"/>
      <c r="C12" s="113"/>
      <c r="D12" s="120"/>
      <c r="E12" s="153"/>
      <c r="F12" s="161"/>
      <c r="G12" s="139"/>
    </row>
    <row r="13" spans="1:7" x14ac:dyDescent="0.3">
      <c r="A13" s="295"/>
      <c r="B13" s="112"/>
      <c r="C13" s="113"/>
      <c r="D13" s="120"/>
      <c r="E13" s="156"/>
      <c r="F13" s="162"/>
      <c r="G13" s="57"/>
    </row>
    <row r="14" spans="1:7" ht="15.75" customHeight="1" thickBot="1" x14ac:dyDescent="0.35">
      <c r="A14" s="296"/>
      <c r="B14" s="94"/>
      <c r="C14" s="65"/>
      <c r="D14" s="121"/>
      <c r="E14" s="157"/>
      <c r="F14" s="163"/>
      <c r="G14" s="95"/>
    </row>
    <row r="15" spans="1:7" x14ac:dyDescent="0.3">
      <c r="A15" s="289" t="s">
        <v>62</v>
      </c>
      <c r="B15" s="60"/>
      <c r="C15" s="63"/>
      <c r="D15" s="119"/>
      <c r="E15" s="158"/>
      <c r="F15" s="154"/>
      <c r="G15" s="166"/>
    </row>
    <row r="16" spans="1:7" x14ac:dyDescent="0.3">
      <c r="A16" s="290"/>
      <c r="B16" s="96"/>
      <c r="C16" s="64"/>
      <c r="D16" s="122"/>
      <c r="E16" s="158"/>
      <c r="F16" s="154"/>
      <c r="G16" s="59"/>
    </row>
    <row r="17" spans="1:7" x14ac:dyDescent="0.3">
      <c r="A17" s="290"/>
      <c r="B17" s="96"/>
      <c r="C17" s="64"/>
      <c r="D17" s="122"/>
      <c r="E17" s="158"/>
      <c r="F17" s="154"/>
      <c r="G17" s="59"/>
    </row>
    <row r="18" spans="1:7" x14ac:dyDescent="0.3">
      <c r="A18" s="290"/>
      <c r="B18" s="96"/>
      <c r="C18" s="64"/>
      <c r="D18" s="117"/>
      <c r="E18" s="153"/>
      <c r="F18" s="154"/>
      <c r="G18" s="59"/>
    </row>
    <row r="19" spans="1:7" x14ac:dyDescent="0.3">
      <c r="A19" s="290"/>
      <c r="B19" s="96"/>
      <c r="C19" s="64"/>
      <c r="D19" s="117"/>
      <c r="E19" s="153"/>
      <c r="F19" s="154"/>
      <c r="G19" s="59"/>
    </row>
    <row r="20" spans="1:7" x14ac:dyDescent="0.3">
      <c r="A20" s="290"/>
      <c r="B20" s="61"/>
      <c r="C20" s="93"/>
      <c r="D20" s="122"/>
      <c r="E20" s="158"/>
      <c r="F20" s="154"/>
      <c r="G20" s="59"/>
    </row>
    <row r="21" spans="1:7" ht="15.75" customHeight="1" thickBot="1" x14ac:dyDescent="0.35">
      <c r="A21" s="291"/>
      <c r="B21" s="123"/>
      <c r="C21" s="65"/>
      <c r="D21" s="58"/>
      <c r="E21" s="159"/>
      <c r="F21" s="163"/>
      <c r="G21" s="58"/>
    </row>
    <row r="22" spans="1:7" x14ac:dyDescent="0.3">
      <c r="A22" s="294" t="s">
        <v>60</v>
      </c>
      <c r="B22" s="61"/>
      <c r="C22" s="63"/>
      <c r="D22" s="119"/>
      <c r="E22" s="155"/>
      <c r="F22" s="154"/>
      <c r="G22" s="167"/>
    </row>
    <row r="23" spans="1:7" x14ac:dyDescent="0.3">
      <c r="A23" s="295"/>
      <c r="B23" s="61"/>
      <c r="C23" s="93"/>
      <c r="D23" s="117"/>
      <c r="E23" s="155"/>
      <c r="F23" s="154"/>
      <c r="G23" s="166"/>
    </row>
    <row r="24" spans="1:7" x14ac:dyDescent="0.3">
      <c r="A24" s="295"/>
      <c r="B24" s="61"/>
      <c r="C24" s="93"/>
      <c r="D24" s="59"/>
      <c r="E24" s="155"/>
      <c r="F24" s="154"/>
      <c r="G24" s="166"/>
    </row>
    <row r="25" spans="1:7" x14ac:dyDescent="0.3">
      <c r="A25" s="295"/>
      <c r="B25" s="61"/>
      <c r="C25" s="93"/>
      <c r="D25" s="59"/>
      <c r="E25" s="155"/>
      <c r="F25" s="154"/>
      <c r="G25" s="166"/>
    </row>
    <row r="26" spans="1:7" x14ac:dyDescent="0.3">
      <c r="A26" s="295"/>
      <c r="B26" s="61"/>
      <c r="C26" s="93"/>
      <c r="D26" s="117"/>
      <c r="E26" s="155"/>
      <c r="F26" s="154"/>
      <c r="G26" s="166"/>
    </row>
    <row r="27" spans="1:7" x14ac:dyDescent="0.3">
      <c r="A27" s="295"/>
      <c r="B27" s="61"/>
      <c r="C27" s="93"/>
      <c r="D27" s="117"/>
      <c r="E27" s="155"/>
      <c r="F27" s="154"/>
      <c r="G27" s="166"/>
    </row>
    <row r="28" spans="1:7" x14ac:dyDescent="0.3">
      <c r="A28" s="295"/>
      <c r="B28" s="61"/>
      <c r="C28" s="93"/>
      <c r="D28" s="117"/>
      <c r="E28" s="155"/>
      <c r="F28" s="154"/>
      <c r="G28" s="166"/>
    </row>
    <row r="29" spans="1:7" x14ac:dyDescent="0.3">
      <c r="A29" s="295"/>
      <c r="B29" s="61"/>
      <c r="C29" s="93"/>
      <c r="D29" s="117"/>
      <c r="E29" s="155"/>
      <c r="F29" s="154"/>
      <c r="G29" s="166"/>
    </row>
    <row r="30" spans="1:7" x14ac:dyDescent="0.3">
      <c r="A30" s="295"/>
      <c r="B30" s="61"/>
      <c r="C30" s="93"/>
      <c r="D30" s="117"/>
      <c r="E30" s="155"/>
      <c r="F30" s="154"/>
      <c r="G30" s="166"/>
    </row>
    <row r="31" spans="1:7" x14ac:dyDescent="0.3">
      <c r="A31" s="295"/>
      <c r="B31" s="61"/>
      <c r="C31" s="93"/>
      <c r="D31" s="117"/>
      <c r="E31" s="155"/>
      <c r="F31" s="154"/>
      <c r="G31" s="166"/>
    </row>
    <row r="32" spans="1:7" x14ac:dyDescent="0.3">
      <c r="A32" s="295"/>
      <c r="B32" s="61"/>
      <c r="C32" s="93"/>
      <c r="D32" s="117"/>
      <c r="E32" s="155"/>
      <c r="F32" s="154"/>
      <c r="G32" s="166"/>
    </row>
    <row r="33" spans="1:7" x14ac:dyDescent="0.3">
      <c r="A33" s="295"/>
      <c r="B33" s="61"/>
      <c r="C33" s="93"/>
      <c r="D33" s="117"/>
      <c r="E33" s="155"/>
      <c r="F33" s="154"/>
      <c r="G33" s="166"/>
    </row>
    <row r="34" spans="1:7" x14ac:dyDescent="0.3">
      <c r="A34" s="295"/>
      <c r="B34" s="61"/>
      <c r="C34" s="93"/>
      <c r="D34" s="117"/>
      <c r="E34" s="155"/>
      <c r="F34" s="154"/>
      <c r="G34" s="166"/>
    </row>
    <row r="35" spans="1:7" x14ac:dyDescent="0.3">
      <c r="A35" s="295"/>
      <c r="B35" s="61"/>
      <c r="C35" s="93"/>
      <c r="D35" s="117"/>
      <c r="E35" s="155"/>
      <c r="F35" s="154"/>
      <c r="G35" s="166"/>
    </row>
    <row r="36" spans="1:7" x14ac:dyDescent="0.3">
      <c r="A36" s="295"/>
      <c r="B36" s="61"/>
      <c r="C36" s="93"/>
      <c r="D36" s="117"/>
      <c r="E36" s="155"/>
      <c r="F36" s="154"/>
      <c r="G36" s="166"/>
    </row>
    <row r="37" spans="1:7" x14ac:dyDescent="0.3">
      <c r="A37" s="295"/>
      <c r="B37" s="61"/>
      <c r="C37" s="93"/>
      <c r="D37" s="117"/>
      <c r="E37" s="155"/>
      <c r="F37" s="154"/>
      <c r="G37" s="57"/>
    </row>
    <row r="38" spans="1:7" x14ac:dyDescent="0.3">
      <c r="A38" s="295"/>
      <c r="B38" s="61"/>
      <c r="C38" s="93"/>
      <c r="D38" s="117"/>
      <c r="E38" s="155"/>
      <c r="F38" s="154"/>
      <c r="G38" s="57"/>
    </row>
    <row r="39" spans="1:7" x14ac:dyDescent="0.3">
      <c r="A39" s="295"/>
      <c r="B39" s="61"/>
      <c r="C39" s="93"/>
      <c r="D39" s="117"/>
      <c r="E39" s="155"/>
      <c r="F39" s="154"/>
      <c r="G39" s="57"/>
    </row>
    <row r="40" spans="1:7" x14ac:dyDescent="0.3">
      <c r="A40" s="295"/>
      <c r="B40" s="61"/>
      <c r="C40" s="93"/>
      <c r="D40" s="117"/>
      <c r="E40" s="155"/>
      <c r="F40" s="154"/>
      <c r="G40" s="57"/>
    </row>
    <row r="41" spans="1:7" x14ac:dyDescent="0.3">
      <c r="A41" s="295"/>
      <c r="B41" s="61"/>
      <c r="C41" s="93"/>
      <c r="D41" s="117"/>
      <c r="E41" s="155"/>
      <c r="F41" s="154"/>
      <c r="G41" s="57"/>
    </row>
    <row r="42" spans="1:7" x14ac:dyDescent="0.3">
      <c r="A42" s="295"/>
      <c r="B42" s="61"/>
      <c r="C42" s="93"/>
      <c r="D42" s="117"/>
      <c r="E42" s="155"/>
      <c r="F42" s="154"/>
      <c r="G42" s="166"/>
    </row>
    <row r="43" spans="1:7" x14ac:dyDescent="0.3">
      <c r="A43" s="295"/>
      <c r="B43" s="61"/>
      <c r="C43" s="93"/>
      <c r="D43" s="117"/>
      <c r="E43" s="155"/>
      <c r="F43" s="154"/>
      <c r="G43" s="166"/>
    </row>
    <row r="44" spans="1:7" x14ac:dyDescent="0.3">
      <c r="A44" s="295"/>
      <c r="B44" s="61"/>
      <c r="C44" s="93"/>
      <c r="D44" s="117"/>
      <c r="E44" s="155"/>
      <c r="F44" s="154"/>
      <c r="G44" s="166"/>
    </row>
    <row r="45" spans="1:7" x14ac:dyDescent="0.3">
      <c r="A45" s="295"/>
      <c r="B45" s="61"/>
      <c r="C45" s="93"/>
      <c r="D45" s="117"/>
      <c r="E45" s="155"/>
      <c r="F45" s="154"/>
      <c r="G45" s="166"/>
    </row>
    <row r="46" spans="1:7" x14ac:dyDescent="0.3">
      <c r="A46" s="295"/>
      <c r="B46" s="61"/>
      <c r="C46" s="93"/>
      <c r="D46" s="117"/>
      <c r="E46" s="155"/>
      <c r="F46" s="154"/>
      <c r="G46" s="166"/>
    </row>
    <row r="47" spans="1:7" x14ac:dyDescent="0.3">
      <c r="A47" s="295"/>
      <c r="B47" s="61"/>
      <c r="C47" s="93"/>
      <c r="D47" s="117"/>
      <c r="E47" s="155"/>
      <c r="F47" s="154"/>
      <c r="G47" s="166"/>
    </row>
    <row r="48" spans="1:7" x14ac:dyDescent="0.3">
      <c r="A48" s="295"/>
      <c r="B48" s="61"/>
      <c r="C48" s="93"/>
      <c r="D48" s="117"/>
      <c r="E48" s="155"/>
      <c r="F48" s="154"/>
      <c r="G48" s="57"/>
    </row>
    <row r="49" spans="1:7" x14ac:dyDescent="0.3">
      <c r="A49" s="295"/>
      <c r="B49" s="61"/>
      <c r="C49" s="93"/>
      <c r="D49" s="117"/>
      <c r="E49" s="155"/>
      <c r="F49" s="154"/>
      <c r="G49" s="57"/>
    </row>
    <row r="50" spans="1:7" x14ac:dyDescent="0.3">
      <c r="A50" s="295"/>
      <c r="B50" s="61"/>
      <c r="C50" s="93"/>
      <c r="D50" s="117"/>
      <c r="E50" s="155"/>
      <c r="F50" s="154"/>
      <c r="G50" s="57"/>
    </row>
    <row r="51" spans="1:7" x14ac:dyDescent="0.3">
      <c r="A51" s="295"/>
      <c r="B51" s="61"/>
      <c r="C51" s="93"/>
      <c r="D51" s="117"/>
      <c r="E51" s="155"/>
      <c r="F51" s="154"/>
      <c r="G51" s="57"/>
    </row>
    <row r="52" spans="1:7" x14ac:dyDescent="0.3">
      <c r="A52" s="295"/>
      <c r="B52" s="61"/>
      <c r="C52" s="93"/>
      <c r="D52" s="117"/>
      <c r="E52" s="155"/>
      <c r="F52" s="155"/>
      <c r="G52" s="166"/>
    </row>
    <row r="53" spans="1:7" x14ac:dyDescent="0.3">
      <c r="A53" s="295"/>
      <c r="B53" s="61"/>
      <c r="C53" s="93"/>
      <c r="D53" s="117"/>
      <c r="E53" s="155"/>
      <c r="F53" s="155"/>
      <c r="G53" s="166"/>
    </row>
    <row r="54" spans="1:7" x14ac:dyDescent="0.3">
      <c r="A54" s="295"/>
      <c r="B54" s="61"/>
      <c r="C54" s="93"/>
      <c r="D54" s="122"/>
      <c r="E54" s="155"/>
      <c r="F54" s="154"/>
      <c r="G54" s="57"/>
    </row>
    <row r="55" spans="1:7" x14ac:dyDescent="0.3">
      <c r="A55" s="295"/>
      <c r="B55" s="61"/>
      <c r="C55" s="93"/>
      <c r="D55" s="117"/>
      <c r="E55" s="155"/>
      <c r="F55" s="154"/>
      <c r="G55" s="57"/>
    </row>
    <row r="56" spans="1:7" x14ac:dyDescent="0.3">
      <c r="A56" s="295"/>
      <c r="B56" s="61"/>
      <c r="C56" s="93"/>
      <c r="D56" s="122"/>
      <c r="E56" s="155"/>
      <c r="F56" s="154"/>
      <c r="G56" s="57"/>
    </row>
    <row r="57" spans="1:7" x14ac:dyDescent="0.3">
      <c r="A57" s="295"/>
      <c r="B57" s="61"/>
      <c r="C57" s="93"/>
      <c r="D57" s="122"/>
      <c r="E57" s="155"/>
      <c r="F57" s="154"/>
      <c r="G57" s="57"/>
    </row>
    <row r="58" spans="1:7" x14ac:dyDescent="0.3">
      <c r="A58" s="295"/>
      <c r="B58" s="61"/>
      <c r="C58" s="93"/>
      <c r="D58" s="122"/>
      <c r="E58" s="155"/>
      <c r="F58" s="154"/>
      <c r="G58" s="57"/>
    </row>
    <row r="59" spans="1:7" x14ac:dyDescent="0.3">
      <c r="A59" s="295"/>
      <c r="B59" s="61"/>
      <c r="C59" s="93"/>
      <c r="D59" s="122"/>
      <c r="E59" s="155"/>
      <c r="F59" s="154"/>
      <c r="G59" s="57"/>
    </row>
    <row r="60" spans="1:7" x14ac:dyDescent="0.3">
      <c r="A60" s="295"/>
      <c r="B60" s="61"/>
      <c r="C60" s="93"/>
      <c r="D60" s="117"/>
      <c r="E60" s="155"/>
      <c r="F60" s="154"/>
      <c r="G60" s="57"/>
    </row>
    <row r="61" spans="1:7" ht="14.4" thickBot="1" x14ac:dyDescent="0.35">
      <c r="A61" s="295"/>
      <c r="B61" s="118"/>
      <c r="C61" s="65"/>
      <c r="D61" s="58"/>
      <c r="E61" s="160"/>
      <c r="F61" s="163"/>
      <c r="G61" s="58"/>
    </row>
    <row r="62" spans="1:7" x14ac:dyDescent="0.3">
      <c r="A62" s="294" t="s">
        <v>100</v>
      </c>
      <c r="B62" s="61"/>
      <c r="C62" s="93"/>
      <c r="D62" s="56"/>
      <c r="E62" s="155"/>
      <c r="F62" s="154"/>
      <c r="G62" s="166"/>
    </row>
    <row r="63" spans="1:7" x14ac:dyDescent="0.3">
      <c r="A63" s="295"/>
      <c r="B63" s="61"/>
      <c r="C63" s="93"/>
      <c r="D63" s="59"/>
      <c r="E63" s="155"/>
      <c r="F63" s="154"/>
      <c r="G63" s="166"/>
    </row>
    <row r="64" spans="1:7" x14ac:dyDescent="0.3">
      <c r="A64" s="295"/>
      <c r="B64" s="61"/>
      <c r="C64" s="93"/>
      <c r="D64" s="59"/>
      <c r="E64" s="155"/>
      <c r="F64" s="154"/>
      <c r="G64" s="166"/>
    </row>
    <row r="65" spans="1:7" x14ac:dyDescent="0.3">
      <c r="A65" s="295"/>
      <c r="B65" s="61"/>
      <c r="C65" s="93"/>
      <c r="D65" s="59"/>
      <c r="E65" s="155"/>
      <c r="F65" s="154"/>
      <c r="G65" s="166"/>
    </row>
    <row r="66" spans="1:7" x14ac:dyDescent="0.3">
      <c r="A66" s="295"/>
      <c r="B66" s="61"/>
      <c r="C66" s="93"/>
      <c r="D66" s="117"/>
      <c r="E66" s="155"/>
      <c r="F66" s="154"/>
      <c r="G66" s="57"/>
    </row>
    <row r="67" spans="1:7" x14ac:dyDescent="0.3">
      <c r="A67" s="295"/>
      <c r="B67" s="61"/>
      <c r="C67" s="93"/>
      <c r="D67" s="117"/>
      <c r="E67" s="155"/>
      <c r="F67" s="154"/>
      <c r="G67" s="57"/>
    </row>
    <row r="68" spans="1:7" x14ac:dyDescent="0.3">
      <c r="A68" s="295"/>
      <c r="B68" s="61"/>
      <c r="C68" s="93"/>
      <c r="D68" s="117"/>
      <c r="E68" s="155"/>
      <c r="F68" s="154"/>
      <c r="G68" s="57"/>
    </row>
    <row r="69" spans="1:7" x14ac:dyDescent="0.3">
      <c r="A69" s="295"/>
      <c r="B69" s="61"/>
      <c r="C69" s="93"/>
      <c r="D69" s="122"/>
      <c r="E69" s="155"/>
      <c r="F69" s="154"/>
      <c r="G69" s="57"/>
    </row>
    <row r="70" spans="1:7" x14ac:dyDescent="0.3">
      <c r="A70" s="295"/>
      <c r="B70" s="61"/>
      <c r="C70" s="93"/>
      <c r="D70" s="57"/>
      <c r="E70" s="155"/>
      <c r="F70" s="154"/>
      <c r="G70" s="57"/>
    </row>
    <row r="71" spans="1:7" ht="14.4" thickBot="1" x14ac:dyDescent="0.35">
      <c r="A71" s="296"/>
      <c r="B71" s="118"/>
      <c r="C71" s="65"/>
      <c r="D71" s="58"/>
      <c r="E71" s="160"/>
      <c r="F71" s="163"/>
      <c r="G71" s="58"/>
    </row>
    <row r="72" spans="1:7" ht="19.5" customHeight="1" thickBot="1" x14ac:dyDescent="0.35">
      <c r="A72" s="142" t="s">
        <v>101</v>
      </c>
      <c r="B72" s="144"/>
      <c r="C72" s="145"/>
      <c r="D72" s="58"/>
      <c r="E72" s="160"/>
      <c r="F72" s="163"/>
      <c r="G72" s="92"/>
    </row>
    <row r="73" spans="1:7" x14ac:dyDescent="0.3">
      <c r="A73" s="299" t="s">
        <v>61</v>
      </c>
      <c r="B73" s="146"/>
      <c r="C73" s="63"/>
      <c r="D73" s="59"/>
      <c r="E73" s="155"/>
      <c r="F73" s="154"/>
      <c r="G73" s="167"/>
    </row>
    <row r="74" spans="1:7" x14ac:dyDescent="0.3">
      <c r="A74" s="300"/>
      <c r="B74" s="151"/>
      <c r="C74" s="64"/>
      <c r="D74" s="152"/>
      <c r="E74" s="153"/>
      <c r="F74" s="154"/>
      <c r="G74" s="166"/>
    </row>
    <row r="75" spans="1:7" x14ac:dyDescent="0.3">
      <c r="A75" s="300"/>
      <c r="B75" s="151"/>
      <c r="C75" s="64"/>
      <c r="D75" s="152"/>
      <c r="E75" s="153"/>
      <c r="F75" s="154"/>
      <c r="G75" s="166"/>
    </row>
    <row r="76" spans="1:7" x14ac:dyDescent="0.3">
      <c r="A76" s="300"/>
      <c r="B76" s="151"/>
      <c r="C76" s="64"/>
      <c r="D76" s="152"/>
      <c r="E76" s="153"/>
      <c r="F76" s="154"/>
      <c r="G76" s="166"/>
    </row>
    <row r="77" spans="1:7" x14ac:dyDescent="0.3">
      <c r="A77" s="300"/>
      <c r="B77" s="151"/>
      <c r="C77" s="64"/>
      <c r="D77" s="152"/>
      <c r="E77" s="153"/>
      <c r="F77" s="154"/>
      <c r="G77" s="166"/>
    </row>
    <row r="78" spans="1:7" x14ac:dyDescent="0.3">
      <c r="A78" s="301"/>
      <c r="B78" s="151"/>
      <c r="C78" s="64"/>
      <c r="D78" s="149"/>
      <c r="E78" s="153"/>
      <c r="F78" s="154"/>
      <c r="G78" s="166"/>
    </row>
    <row r="79" spans="1:7" x14ac:dyDescent="0.3">
      <c r="A79" s="301"/>
      <c r="B79" s="147"/>
      <c r="C79" s="93"/>
      <c r="D79" s="149"/>
      <c r="E79" s="153"/>
      <c r="F79" s="154"/>
      <c r="G79" s="166"/>
    </row>
    <row r="80" spans="1:7" x14ac:dyDescent="0.3">
      <c r="A80" s="301"/>
      <c r="B80" s="147"/>
      <c r="C80" s="93"/>
      <c r="D80" s="149"/>
      <c r="E80" s="153"/>
      <c r="F80" s="154"/>
      <c r="G80" s="166"/>
    </row>
    <row r="81" spans="1:7" x14ac:dyDescent="0.3">
      <c r="A81" s="301"/>
      <c r="B81" s="147"/>
      <c r="C81" s="93"/>
      <c r="D81" s="149"/>
      <c r="E81" s="153"/>
      <c r="F81" s="154"/>
      <c r="G81" s="166"/>
    </row>
    <row r="82" spans="1:7" x14ac:dyDescent="0.3">
      <c r="A82" s="301"/>
      <c r="B82" s="147"/>
      <c r="C82" s="93"/>
      <c r="D82" s="149"/>
      <c r="E82" s="153"/>
      <c r="F82" s="154"/>
      <c r="G82" s="166"/>
    </row>
    <row r="83" spans="1:7" x14ac:dyDescent="0.3">
      <c r="A83" s="301"/>
      <c r="B83" s="147"/>
      <c r="C83" s="93"/>
      <c r="D83" s="149"/>
      <c r="E83" s="153"/>
      <c r="F83" s="154"/>
      <c r="G83" s="166"/>
    </row>
    <row r="84" spans="1:7" x14ac:dyDescent="0.3">
      <c r="A84" s="301"/>
      <c r="B84" s="147"/>
      <c r="C84" s="93"/>
      <c r="D84" s="149"/>
      <c r="E84" s="153"/>
      <c r="F84" s="154"/>
      <c r="G84" s="166"/>
    </row>
    <row r="85" spans="1:7" x14ac:dyDescent="0.3">
      <c r="A85" s="301"/>
      <c r="B85" s="147"/>
      <c r="C85" s="93"/>
      <c r="D85" s="150"/>
      <c r="E85" s="153"/>
      <c r="F85" s="154"/>
      <c r="G85" s="166"/>
    </row>
    <row r="86" spans="1:7" x14ac:dyDescent="0.3">
      <c r="A86" s="301"/>
      <c r="B86" s="147"/>
      <c r="C86" s="93"/>
      <c r="D86" s="149"/>
      <c r="E86" s="153"/>
      <c r="F86" s="154"/>
      <c r="G86" s="166"/>
    </row>
    <row r="87" spans="1:7" x14ac:dyDescent="0.3">
      <c r="A87" s="301"/>
      <c r="B87" s="147"/>
      <c r="C87" s="93"/>
      <c r="D87" s="149"/>
      <c r="E87" s="153"/>
      <c r="F87" s="154"/>
      <c r="G87" s="166"/>
    </row>
    <row r="88" spans="1:7" x14ac:dyDescent="0.3">
      <c r="A88" s="301"/>
      <c r="B88" s="147"/>
      <c r="C88" s="93"/>
      <c r="D88" s="149"/>
      <c r="E88" s="153"/>
      <c r="F88" s="154"/>
      <c r="G88" s="166"/>
    </row>
    <row r="89" spans="1:7" x14ac:dyDescent="0.3">
      <c r="A89" s="301"/>
      <c r="B89" s="147"/>
      <c r="C89" s="93"/>
      <c r="D89" s="149"/>
      <c r="E89" s="153"/>
      <c r="F89" s="154"/>
      <c r="G89" s="166"/>
    </row>
    <row r="90" spans="1:7" x14ac:dyDescent="0.3">
      <c r="A90" s="301"/>
      <c r="B90" s="147"/>
      <c r="C90" s="93"/>
      <c r="D90" s="149"/>
      <c r="E90" s="153"/>
      <c r="F90" s="154"/>
      <c r="G90" s="166"/>
    </row>
    <row r="91" spans="1:7" x14ac:dyDescent="0.3">
      <c r="A91" s="301"/>
      <c r="B91" s="147"/>
      <c r="C91" s="93"/>
      <c r="D91" s="149"/>
      <c r="E91" s="153"/>
      <c r="F91" s="154"/>
      <c r="G91" s="166"/>
    </row>
    <row r="92" spans="1:7" x14ac:dyDescent="0.3">
      <c r="A92" s="301"/>
      <c r="B92" s="147"/>
      <c r="C92" s="93"/>
      <c r="D92" s="149"/>
      <c r="E92" s="153"/>
      <c r="F92" s="154"/>
      <c r="G92" s="166"/>
    </row>
    <row r="93" spans="1:7" x14ac:dyDescent="0.3">
      <c r="A93" s="301"/>
      <c r="B93" s="147"/>
      <c r="C93" s="93"/>
      <c r="D93" s="149"/>
      <c r="E93" s="153"/>
      <c r="F93" s="154"/>
      <c r="G93" s="166"/>
    </row>
    <row r="94" spans="1:7" x14ac:dyDescent="0.3">
      <c r="A94" s="301"/>
      <c r="B94" s="147"/>
      <c r="C94" s="93"/>
      <c r="D94" s="149"/>
      <c r="E94" s="153"/>
      <c r="F94" s="154"/>
      <c r="G94" s="166"/>
    </row>
    <row r="95" spans="1:7" x14ac:dyDescent="0.3">
      <c r="A95" s="301"/>
      <c r="B95" s="147"/>
      <c r="C95" s="93"/>
      <c r="D95" s="149"/>
      <c r="E95" s="153"/>
      <c r="F95" s="154"/>
      <c r="G95" s="166"/>
    </row>
    <row r="96" spans="1:7" x14ac:dyDescent="0.3">
      <c r="A96" s="301"/>
      <c r="B96" s="147"/>
      <c r="C96" s="93"/>
      <c r="D96" s="149"/>
      <c r="E96" s="153"/>
      <c r="F96" s="154"/>
      <c r="G96" s="166"/>
    </row>
    <row r="97" spans="1:7" x14ac:dyDescent="0.3">
      <c r="A97" s="301"/>
      <c r="B97" s="147"/>
      <c r="C97" s="93"/>
      <c r="D97" s="149"/>
      <c r="E97" s="153"/>
      <c r="F97" s="154"/>
      <c r="G97" s="166"/>
    </row>
    <row r="98" spans="1:7" x14ac:dyDescent="0.3">
      <c r="A98" s="301"/>
      <c r="B98" s="147"/>
      <c r="C98" s="93"/>
      <c r="D98" s="149"/>
      <c r="E98" s="153"/>
      <c r="F98" s="154"/>
      <c r="G98" s="166"/>
    </row>
    <row r="99" spans="1:7" x14ac:dyDescent="0.3">
      <c r="A99" s="301"/>
      <c r="B99" s="147"/>
      <c r="C99" s="93"/>
      <c r="D99" s="149"/>
      <c r="E99" s="153"/>
      <c r="F99" s="154"/>
      <c r="G99" s="166"/>
    </row>
    <row r="100" spans="1:7" x14ac:dyDescent="0.3">
      <c r="A100" s="301"/>
      <c r="B100" s="147"/>
      <c r="C100" s="93"/>
      <c r="D100" s="149"/>
      <c r="E100" s="153"/>
      <c r="F100" s="154"/>
      <c r="G100" s="166"/>
    </row>
    <row r="101" spans="1:7" x14ac:dyDescent="0.3">
      <c r="A101" s="301"/>
      <c r="B101" s="147"/>
      <c r="C101" s="93"/>
      <c r="D101" s="149"/>
      <c r="E101" s="153"/>
      <c r="F101" s="154"/>
      <c r="G101" s="166"/>
    </row>
    <row r="102" spans="1:7" x14ac:dyDescent="0.3">
      <c r="A102" s="301"/>
      <c r="B102" s="147"/>
      <c r="C102" s="93"/>
      <c r="D102" s="149"/>
      <c r="E102" s="153"/>
      <c r="F102" s="154"/>
      <c r="G102" s="166"/>
    </row>
    <row r="103" spans="1:7" x14ac:dyDescent="0.3">
      <c r="A103" s="301"/>
      <c r="B103" s="147"/>
      <c r="C103" s="93"/>
      <c r="D103" s="149"/>
      <c r="E103" s="153"/>
      <c r="F103" s="154"/>
      <c r="G103" s="57"/>
    </row>
    <row r="104" spans="1:7" x14ac:dyDescent="0.3">
      <c r="A104" s="301"/>
      <c r="B104" s="147"/>
      <c r="C104" s="93"/>
      <c r="D104" s="149"/>
      <c r="E104" s="153"/>
      <c r="F104" s="154"/>
      <c r="G104" s="166"/>
    </row>
    <row r="105" spans="1:7" x14ac:dyDescent="0.3">
      <c r="A105" s="301"/>
      <c r="B105" s="147"/>
      <c r="C105" s="93"/>
      <c r="D105" s="149"/>
      <c r="E105" s="153"/>
      <c r="F105" s="154"/>
      <c r="G105" s="166"/>
    </row>
    <row r="106" spans="1:7" x14ac:dyDescent="0.3">
      <c r="A106" s="301"/>
      <c r="B106" s="147"/>
      <c r="C106" s="93"/>
      <c r="D106" s="149"/>
      <c r="E106" s="153"/>
      <c r="F106" s="154"/>
      <c r="G106" s="166"/>
    </row>
    <row r="107" spans="1:7" x14ac:dyDescent="0.3">
      <c r="A107" s="301"/>
      <c r="B107" s="147"/>
      <c r="C107" s="93"/>
      <c r="D107" s="149"/>
      <c r="E107" s="153"/>
      <c r="F107" s="154"/>
      <c r="G107" s="166"/>
    </row>
    <row r="108" spans="1:7" x14ac:dyDescent="0.3">
      <c r="A108" s="301"/>
      <c r="B108" s="147"/>
      <c r="C108" s="93"/>
      <c r="D108" s="149"/>
      <c r="E108" s="153"/>
      <c r="F108" s="154"/>
      <c r="G108" s="57"/>
    </row>
    <row r="109" spans="1:7" x14ac:dyDescent="0.3">
      <c r="A109" s="301"/>
      <c r="B109" s="147"/>
      <c r="C109" s="93"/>
      <c r="D109" s="149"/>
      <c r="E109" s="153"/>
      <c r="F109" s="154"/>
      <c r="G109" s="57"/>
    </row>
    <row r="110" spans="1:7" ht="14.4" thickBot="1" x14ac:dyDescent="0.35">
      <c r="A110" s="302"/>
      <c r="B110" s="148"/>
      <c r="C110" s="65"/>
      <c r="D110" s="121"/>
      <c r="E110" s="157"/>
      <c r="F110" s="163"/>
      <c r="G110" s="58"/>
    </row>
    <row r="111" spans="1:7" x14ac:dyDescent="0.3">
      <c r="A111" s="289" t="s">
        <v>143</v>
      </c>
      <c r="B111" s="60"/>
      <c r="C111" s="63"/>
      <c r="D111" s="56"/>
      <c r="E111" s="155"/>
      <c r="F111" s="154"/>
      <c r="G111" s="166"/>
    </row>
    <row r="112" spans="1:7" x14ac:dyDescent="0.3">
      <c r="A112" s="290"/>
      <c r="B112" s="61"/>
      <c r="C112" s="93"/>
      <c r="D112" s="57"/>
      <c r="E112" s="155"/>
      <c r="F112" s="154"/>
      <c r="G112" s="166"/>
    </row>
    <row r="113" spans="1:7" x14ac:dyDescent="0.3">
      <c r="A113" s="290"/>
      <c r="B113" s="61"/>
      <c r="C113" s="93"/>
      <c r="D113" s="57"/>
      <c r="E113" s="155"/>
      <c r="F113" s="154"/>
      <c r="G113" s="57"/>
    </row>
    <row r="114" spans="1:7" x14ac:dyDescent="0.3">
      <c r="A114" s="290"/>
      <c r="B114" s="61"/>
      <c r="C114" s="93"/>
      <c r="D114" s="57"/>
      <c r="E114" s="155"/>
      <c r="F114" s="154"/>
      <c r="G114" s="57"/>
    </row>
    <row r="115" spans="1:7" x14ac:dyDescent="0.3">
      <c r="A115" s="290"/>
      <c r="B115" s="61"/>
      <c r="C115" s="93"/>
      <c r="D115" s="57"/>
      <c r="E115" s="155"/>
      <c r="F115" s="154"/>
      <c r="G115" s="57"/>
    </row>
    <row r="116" spans="1:7" x14ac:dyDescent="0.3">
      <c r="A116" s="290"/>
      <c r="B116" s="61"/>
      <c r="C116" s="93"/>
      <c r="D116" s="57"/>
      <c r="E116" s="155"/>
      <c r="F116" s="154"/>
      <c r="G116" s="57"/>
    </row>
    <row r="117" spans="1:7" x14ac:dyDescent="0.3">
      <c r="A117" s="290"/>
      <c r="B117" s="61"/>
      <c r="C117" s="93"/>
      <c r="D117" s="57"/>
      <c r="E117" s="155"/>
      <c r="F117" s="154"/>
      <c r="G117" s="57"/>
    </row>
    <row r="118" spans="1:7" x14ac:dyDescent="0.3">
      <c r="A118" s="290"/>
      <c r="B118" s="61"/>
      <c r="C118" s="93"/>
      <c r="D118" s="57"/>
      <c r="E118" s="155"/>
      <c r="F118" s="154"/>
      <c r="G118" s="57"/>
    </row>
    <row r="119" spans="1:7" ht="14.4" thickBot="1" x14ac:dyDescent="0.35">
      <c r="A119" s="291"/>
      <c r="B119" s="94"/>
      <c r="C119" s="65"/>
      <c r="D119" s="58"/>
      <c r="E119" s="160"/>
      <c r="F119" s="163"/>
      <c r="G119" s="58"/>
    </row>
    <row r="158" spans="2:30" x14ac:dyDescent="0.3">
      <c r="B158" s="10"/>
      <c r="C158" s="10"/>
      <c r="AD158" s="10" t="s">
        <v>107</v>
      </c>
    </row>
  </sheetData>
  <sortState xmlns:xlrd2="http://schemas.microsoft.com/office/spreadsheetml/2017/richdata2" ref="B22:C58">
    <sortCondition ref="B22:B58"/>
    <sortCondition ref="C22:C58"/>
  </sortState>
  <mergeCells count="10">
    <mergeCell ref="A111:A119"/>
    <mergeCell ref="A1:G1"/>
    <mergeCell ref="B3:C3"/>
    <mergeCell ref="B4:C4"/>
    <mergeCell ref="A22:A61"/>
    <mergeCell ref="A62:A71"/>
    <mergeCell ref="B6:C6"/>
    <mergeCell ref="A7:A14"/>
    <mergeCell ref="A15:A21"/>
    <mergeCell ref="A73:A110"/>
  </mergeCells>
  <pageMargins left="0.61" right="0.37" top="0.62" bottom="0.79" header="0.27" footer="0.39"/>
  <pageSetup scale="56" fitToHeight="0" orientation="landscape" horizontalDpi="360" verticalDpi="360" r:id="rId1"/>
  <headerFooter alignWithMargins="0"/>
  <rowBreaks count="1" manualBreakCount="1">
    <brk id="61"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AEE8-4AE9-406C-AEC8-ECE4F11E09E2}">
  <sheetPr>
    <tabColor indexed="42"/>
    <pageSetUpPr fitToPage="1"/>
  </sheetPr>
  <dimension ref="A1:AC89"/>
  <sheetViews>
    <sheetView view="pageBreakPreview" zoomScale="80" zoomScaleNormal="75" zoomScaleSheetLayoutView="80" workbookViewId="0">
      <selection activeCell="A9" sqref="A9"/>
    </sheetView>
  </sheetViews>
  <sheetFormatPr defaultRowHeight="13.8" x14ac:dyDescent="0.3"/>
  <cols>
    <col min="1" max="1" width="13.88671875" style="10" bestFit="1" customWidth="1"/>
    <col min="2" max="2" width="53.5546875" style="10" customWidth="1"/>
    <col min="3" max="3" width="36.44140625" style="10" customWidth="1"/>
    <col min="4" max="4" width="38" style="10" customWidth="1"/>
    <col min="5" max="5" width="21.33203125" style="10" customWidth="1"/>
    <col min="6" max="6" width="11.5546875" style="10" customWidth="1"/>
    <col min="7" max="7" width="9.109375" style="10"/>
    <col min="8" max="8" width="5.109375" style="10" customWidth="1"/>
    <col min="9" max="9" width="12" style="10" customWidth="1"/>
    <col min="10" max="10" width="9.109375" style="10"/>
    <col min="11" max="11" width="1.6640625" style="10" customWidth="1"/>
    <col min="12" max="12" width="14.109375" style="10" customWidth="1"/>
    <col min="13" max="15" width="9.109375" style="10"/>
    <col min="16" max="16" width="10" style="10" bestFit="1" customWidth="1"/>
    <col min="17" max="255" width="9.109375" style="10"/>
    <col min="256" max="256" width="12.33203125" style="10" customWidth="1"/>
    <col min="257" max="257" width="53.5546875" style="10" customWidth="1"/>
    <col min="258" max="258" width="11.44140625" style="10" customWidth="1"/>
    <col min="259" max="259" width="12.109375" style="10" customWidth="1"/>
    <col min="260" max="260" width="21.33203125" style="10" customWidth="1"/>
    <col min="261" max="261" width="11.5546875" style="10" customWidth="1"/>
    <col min="262" max="262" width="9.109375" style="10"/>
    <col min="263" max="263" width="5.109375" style="10" customWidth="1"/>
    <col min="264" max="264" width="12" style="10" customWidth="1"/>
    <col min="265" max="265" width="9.109375" style="10"/>
    <col min="266" max="266" width="1.6640625" style="10" customWidth="1"/>
    <col min="267" max="267" width="14.109375" style="10" customWidth="1"/>
    <col min="268" max="511" width="9.109375" style="10"/>
    <col min="512" max="512" width="12.33203125" style="10" customWidth="1"/>
    <col min="513" max="513" width="53.5546875" style="10" customWidth="1"/>
    <col min="514" max="514" width="11.44140625" style="10" customWidth="1"/>
    <col min="515" max="515" width="12.109375" style="10" customWidth="1"/>
    <col min="516" max="516" width="21.33203125" style="10" customWidth="1"/>
    <col min="517" max="517" width="11.5546875" style="10" customWidth="1"/>
    <col min="518" max="518" width="9.109375" style="10"/>
    <col min="519" max="519" width="5.109375" style="10" customWidth="1"/>
    <col min="520" max="520" width="12" style="10" customWidth="1"/>
    <col min="521" max="521" width="9.109375" style="10"/>
    <col min="522" max="522" width="1.6640625" style="10" customWidth="1"/>
    <col min="523" max="523" width="14.109375" style="10" customWidth="1"/>
    <col min="524" max="767" width="9.109375" style="10"/>
    <col min="768" max="768" width="12.33203125" style="10" customWidth="1"/>
    <col min="769" max="769" width="53.5546875" style="10" customWidth="1"/>
    <col min="770" max="770" width="11.44140625" style="10" customWidth="1"/>
    <col min="771" max="771" width="12.109375" style="10" customWidth="1"/>
    <col min="772" max="772" width="21.33203125" style="10" customWidth="1"/>
    <col min="773" max="773" width="11.5546875" style="10" customWidth="1"/>
    <col min="774" max="774" width="9.109375" style="10"/>
    <col min="775" max="775" width="5.109375" style="10" customWidth="1"/>
    <col min="776" max="776" width="12" style="10" customWidth="1"/>
    <col min="777" max="777" width="9.109375" style="10"/>
    <col min="778" max="778" width="1.6640625" style="10" customWidth="1"/>
    <col min="779" max="779" width="14.109375" style="10" customWidth="1"/>
    <col min="780" max="1023" width="9.109375" style="10"/>
    <col min="1024" max="1024" width="12.33203125" style="10" customWidth="1"/>
    <col min="1025" max="1025" width="53.5546875" style="10" customWidth="1"/>
    <col min="1026" max="1026" width="11.44140625" style="10" customWidth="1"/>
    <col min="1027" max="1027" width="12.109375" style="10" customWidth="1"/>
    <col min="1028" max="1028" width="21.33203125" style="10" customWidth="1"/>
    <col min="1029" max="1029" width="11.5546875" style="10" customWidth="1"/>
    <col min="1030" max="1030" width="9.109375" style="10"/>
    <col min="1031" max="1031" width="5.109375" style="10" customWidth="1"/>
    <col min="1032" max="1032" width="12" style="10" customWidth="1"/>
    <col min="1033" max="1033" width="9.109375" style="10"/>
    <col min="1034" max="1034" width="1.6640625" style="10" customWidth="1"/>
    <col min="1035" max="1035" width="14.109375" style="10" customWidth="1"/>
    <col min="1036" max="1279" width="9.109375" style="10"/>
    <col min="1280" max="1280" width="12.33203125" style="10" customWidth="1"/>
    <col min="1281" max="1281" width="53.5546875" style="10" customWidth="1"/>
    <col min="1282" max="1282" width="11.44140625" style="10" customWidth="1"/>
    <col min="1283" max="1283" width="12.109375" style="10" customWidth="1"/>
    <col min="1284" max="1284" width="21.33203125" style="10" customWidth="1"/>
    <col min="1285" max="1285" width="11.5546875" style="10" customWidth="1"/>
    <col min="1286" max="1286" width="9.109375" style="10"/>
    <col min="1287" max="1287" width="5.109375" style="10" customWidth="1"/>
    <col min="1288" max="1288" width="12" style="10" customWidth="1"/>
    <col min="1289" max="1289" width="9.109375" style="10"/>
    <col min="1290" max="1290" width="1.6640625" style="10" customWidth="1"/>
    <col min="1291" max="1291" width="14.109375" style="10" customWidth="1"/>
    <col min="1292" max="1535" width="9.109375" style="10"/>
    <col min="1536" max="1536" width="12.33203125" style="10" customWidth="1"/>
    <col min="1537" max="1537" width="53.5546875" style="10" customWidth="1"/>
    <col min="1538" max="1538" width="11.44140625" style="10" customWidth="1"/>
    <col min="1539" max="1539" width="12.109375" style="10" customWidth="1"/>
    <col min="1540" max="1540" width="21.33203125" style="10" customWidth="1"/>
    <col min="1541" max="1541" width="11.5546875" style="10" customWidth="1"/>
    <col min="1542" max="1542" width="9.109375" style="10"/>
    <col min="1543" max="1543" width="5.109375" style="10" customWidth="1"/>
    <col min="1544" max="1544" width="12" style="10" customWidth="1"/>
    <col min="1545" max="1545" width="9.109375" style="10"/>
    <col min="1546" max="1546" width="1.6640625" style="10" customWidth="1"/>
    <col min="1547" max="1547" width="14.109375" style="10" customWidth="1"/>
    <col min="1548" max="1791" width="9.109375" style="10"/>
    <col min="1792" max="1792" width="12.33203125" style="10" customWidth="1"/>
    <col min="1793" max="1793" width="53.5546875" style="10" customWidth="1"/>
    <col min="1794" max="1794" width="11.44140625" style="10" customWidth="1"/>
    <col min="1795" max="1795" width="12.109375" style="10" customWidth="1"/>
    <col min="1796" max="1796" width="21.33203125" style="10" customWidth="1"/>
    <col min="1797" max="1797" width="11.5546875" style="10" customWidth="1"/>
    <col min="1798" max="1798" width="9.109375" style="10"/>
    <col min="1799" max="1799" width="5.109375" style="10" customWidth="1"/>
    <col min="1800" max="1800" width="12" style="10" customWidth="1"/>
    <col min="1801" max="1801" width="9.109375" style="10"/>
    <col min="1802" max="1802" width="1.6640625" style="10" customWidth="1"/>
    <col min="1803" max="1803" width="14.109375" style="10" customWidth="1"/>
    <col min="1804" max="2047" width="9.109375" style="10"/>
    <col min="2048" max="2048" width="12.33203125" style="10" customWidth="1"/>
    <col min="2049" max="2049" width="53.5546875" style="10" customWidth="1"/>
    <col min="2050" max="2050" width="11.44140625" style="10" customWidth="1"/>
    <col min="2051" max="2051" width="12.109375" style="10" customWidth="1"/>
    <col min="2052" max="2052" width="21.33203125" style="10" customWidth="1"/>
    <col min="2053" max="2053" width="11.5546875" style="10" customWidth="1"/>
    <col min="2054" max="2054" width="9.109375" style="10"/>
    <col min="2055" max="2055" width="5.109375" style="10" customWidth="1"/>
    <col min="2056" max="2056" width="12" style="10" customWidth="1"/>
    <col min="2057" max="2057" width="9.109375" style="10"/>
    <col min="2058" max="2058" width="1.6640625" style="10" customWidth="1"/>
    <col min="2059" max="2059" width="14.109375" style="10" customWidth="1"/>
    <col min="2060" max="2303" width="9.109375" style="10"/>
    <col min="2304" max="2304" width="12.33203125" style="10" customWidth="1"/>
    <col min="2305" max="2305" width="53.5546875" style="10" customWidth="1"/>
    <col min="2306" max="2306" width="11.44140625" style="10" customWidth="1"/>
    <col min="2307" max="2307" width="12.109375" style="10" customWidth="1"/>
    <col min="2308" max="2308" width="21.33203125" style="10" customWidth="1"/>
    <col min="2309" max="2309" width="11.5546875" style="10" customWidth="1"/>
    <col min="2310" max="2310" width="9.109375" style="10"/>
    <col min="2311" max="2311" width="5.109375" style="10" customWidth="1"/>
    <col min="2312" max="2312" width="12" style="10" customWidth="1"/>
    <col min="2313" max="2313" width="9.109375" style="10"/>
    <col min="2314" max="2314" width="1.6640625" style="10" customWidth="1"/>
    <col min="2315" max="2315" width="14.109375" style="10" customWidth="1"/>
    <col min="2316" max="2559" width="9.109375" style="10"/>
    <col min="2560" max="2560" width="12.33203125" style="10" customWidth="1"/>
    <col min="2561" max="2561" width="53.5546875" style="10" customWidth="1"/>
    <col min="2562" max="2562" width="11.44140625" style="10" customWidth="1"/>
    <col min="2563" max="2563" width="12.109375" style="10" customWidth="1"/>
    <col min="2564" max="2564" width="21.33203125" style="10" customWidth="1"/>
    <col min="2565" max="2565" width="11.5546875" style="10" customWidth="1"/>
    <col min="2566" max="2566" width="9.109375" style="10"/>
    <col min="2567" max="2567" width="5.109375" style="10" customWidth="1"/>
    <col min="2568" max="2568" width="12" style="10" customWidth="1"/>
    <col min="2569" max="2569" width="9.109375" style="10"/>
    <col min="2570" max="2570" width="1.6640625" style="10" customWidth="1"/>
    <col min="2571" max="2571" width="14.109375" style="10" customWidth="1"/>
    <col min="2572" max="2815" width="9.109375" style="10"/>
    <col min="2816" max="2816" width="12.33203125" style="10" customWidth="1"/>
    <col min="2817" max="2817" width="53.5546875" style="10" customWidth="1"/>
    <col min="2818" max="2818" width="11.44140625" style="10" customWidth="1"/>
    <col min="2819" max="2819" width="12.109375" style="10" customWidth="1"/>
    <col min="2820" max="2820" width="21.33203125" style="10" customWidth="1"/>
    <col min="2821" max="2821" width="11.5546875" style="10" customWidth="1"/>
    <col min="2822" max="2822" width="9.109375" style="10"/>
    <col min="2823" max="2823" width="5.109375" style="10" customWidth="1"/>
    <col min="2824" max="2824" width="12" style="10" customWidth="1"/>
    <col min="2825" max="2825" width="9.109375" style="10"/>
    <col min="2826" max="2826" width="1.6640625" style="10" customWidth="1"/>
    <col min="2827" max="2827" width="14.109375" style="10" customWidth="1"/>
    <col min="2828" max="3071" width="9.109375" style="10"/>
    <col min="3072" max="3072" width="12.33203125" style="10" customWidth="1"/>
    <col min="3073" max="3073" width="53.5546875" style="10" customWidth="1"/>
    <col min="3074" max="3074" width="11.44140625" style="10" customWidth="1"/>
    <col min="3075" max="3075" width="12.109375" style="10" customWidth="1"/>
    <col min="3076" max="3076" width="21.33203125" style="10" customWidth="1"/>
    <col min="3077" max="3077" width="11.5546875" style="10" customWidth="1"/>
    <col min="3078" max="3078" width="9.109375" style="10"/>
    <col min="3079" max="3079" width="5.109375" style="10" customWidth="1"/>
    <col min="3080" max="3080" width="12" style="10" customWidth="1"/>
    <col min="3081" max="3081" width="9.109375" style="10"/>
    <col min="3082" max="3082" width="1.6640625" style="10" customWidth="1"/>
    <col min="3083" max="3083" width="14.109375" style="10" customWidth="1"/>
    <col min="3084" max="3327" width="9.109375" style="10"/>
    <col min="3328" max="3328" width="12.33203125" style="10" customWidth="1"/>
    <col min="3329" max="3329" width="53.5546875" style="10" customWidth="1"/>
    <col min="3330" max="3330" width="11.44140625" style="10" customWidth="1"/>
    <col min="3331" max="3331" width="12.109375" style="10" customWidth="1"/>
    <col min="3332" max="3332" width="21.33203125" style="10" customWidth="1"/>
    <col min="3333" max="3333" width="11.5546875" style="10" customWidth="1"/>
    <col min="3334" max="3334" width="9.109375" style="10"/>
    <col min="3335" max="3335" width="5.109375" style="10" customWidth="1"/>
    <col min="3336" max="3336" width="12" style="10" customWidth="1"/>
    <col min="3337" max="3337" width="9.109375" style="10"/>
    <col min="3338" max="3338" width="1.6640625" style="10" customWidth="1"/>
    <col min="3339" max="3339" width="14.109375" style="10" customWidth="1"/>
    <col min="3340" max="3583" width="9.109375" style="10"/>
    <col min="3584" max="3584" width="12.33203125" style="10" customWidth="1"/>
    <col min="3585" max="3585" width="53.5546875" style="10" customWidth="1"/>
    <col min="3586" max="3586" width="11.44140625" style="10" customWidth="1"/>
    <col min="3587" max="3587" width="12.109375" style="10" customWidth="1"/>
    <col min="3588" max="3588" width="21.33203125" style="10" customWidth="1"/>
    <col min="3589" max="3589" width="11.5546875" style="10" customWidth="1"/>
    <col min="3590" max="3590" width="9.109375" style="10"/>
    <col min="3591" max="3591" width="5.109375" style="10" customWidth="1"/>
    <col min="3592" max="3592" width="12" style="10" customWidth="1"/>
    <col min="3593" max="3593" width="9.109375" style="10"/>
    <col min="3594" max="3594" width="1.6640625" style="10" customWidth="1"/>
    <col min="3595" max="3595" width="14.109375" style="10" customWidth="1"/>
    <col min="3596" max="3839" width="9.109375" style="10"/>
    <col min="3840" max="3840" width="12.33203125" style="10" customWidth="1"/>
    <col min="3841" max="3841" width="53.5546875" style="10" customWidth="1"/>
    <col min="3842" max="3842" width="11.44140625" style="10" customWidth="1"/>
    <col min="3843" max="3843" width="12.109375" style="10" customWidth="1"/>
    <col min="3844" max="3844" width="21.33203125" style="10" customWidth="1"/>
    <col min="3845" max="3845" width="11.5546875" style="10" customWidth="1"/>
    <col min="3846" max="3846" width="9.109375" style="10"/>
    <col min="3847" max="3847" width="5.109375" style="10" customWidth="1"/>
    <col min="3848" max="3848" width="12" style="10" customWidth="1"/>
    <col min="3849" max="3849" width="9.109375" style="10"/>
    <col min="3850" max="3850" width="1.6640625" style="10" customWidth="1"/>
    <col min="3851" max="3851" width="14.109375" style="10" customWidth="1"/>
    <col min="3852" max="4095" width="9.109375" style="10"/>
    <col min="4096" max="4096" width="12.33203125" style="10" customWidth="1"/>
    <col min="4097" max="4097" width="53.5546875" style="10" customWidth="1"/>
    <col min="4098" max="4098" width="11.44140625" style="10" customWidth="1"/>
    <col min="4099" max="4099" width="12.109375" style="10" customWidth="1"/>
    <col min="4100" max="4100" width="21.33203125" style="10" customWidth="1"/>
    <col min="4101" max="4101" width="11.5546875" style="10" customWidth="1"/>
    <col min="4102" max="4102" width="9.109375" style="10"/>
    <col min="4103" max="4103" width="5.109375" style="10" customWidth="1"/>
    <col min="4104" max="4104" width="12" style="10" customWidth="1"/>
    <col min="4105" max="4105" width="9.109375" style="10"/>
    <col min="4106" max="4106" width="1.6640625" style="10" customWidth="1"/>
    <col min="4107" max="4107" width="14.109375" style="10" customWidth="1"/>
    <col min="4108" max="4351" width="9.109375" style="10"/>
    <col min="4352" max="4352" width="12.33203125" style="10" customWidth="1"/>
    <col min="4353" max="4353" width="53.5546875" style="10" customWidth="1"/>
    <col min="4354" max="4354" width="11.44140625" style="10" customWidth="1"/>
    <col min="4355" max="4355" width="12.109375" style="10" customWidth="1"/>
    <col min="4356" max="4356" width="21.33203125" style="10" customWidth="1"/>
    <col min="4357" max="4357" width="11.5546875" style="10" customWidth="1"/>
    <col min="4358" max="4358" width="9.109375" style="10"/>
    <col min="4359" max="4359" width="5.109375" style="10" customWidth="1"/>
    <col min="4360" max="4360" width="12" style="10" customWidth="1"/>
    <col min="4361" max="4361" width="9.109375" style="10"/>
    <col min="4362" max="4362" width="1.6640625" style="10" customWidth="1"/>
    <col min="4363" max="4363" width="14.109375" style="10" customWidth="1"/>
    <col min="4364" max="4607" width="9.109375" style="10"/>
    <col min="4608" max="4608" width="12.33203125" style="10" customWidth="1"/>
    <col min="4609" max="4609" width="53.5546875" style="10" customWidth="1"/>
    <col min="4610" max="4610" width="11.44140625" style="10" customWidth="1"/>
    <col min="4611" max="4611" width="12.109375" style="10" customWidth="1"/>
    <col min="4612" max="4612" width="21.33203125" style="10" customWidth="1"/>
    <col min="4613" max="4613" width="11.5546875" style="10" customWidth="1"/>
    <col min="4614" max="4614" width="9.109375" style="10"/>
    <col min="4615" max="4615" width="5.109375" style="10" customWidth="1"/>
    <col min="4616" max="4616" width="12" style="10" customWidth="1"/>
    <col min="4617" max="4617" width="9.109375" style="10"/>
    <col min="4618" max="4618" width="1.6640625" style="10" customWidth="1"/>
    <col min="4619" max="4619" width="14.109375" style="10" customWidth="1"/>
    <col min="4620" max="4863" width="9.109375" style="10"/>
    <col min="4864" max="4864" width="12.33203125" style="10" customWidth="1"/>
    <col min="4865" max="4865" width="53.5546875" style="10" customWidth="1"/>
    <col min="4866" max="4866" width="11.44140625" style="10" customWidth="1"/>
    <col min="4867" max="4867" width="12.109375" style="10" customWidth="1"/>
    <col min="4868" max="4868" width="21.33203125" style="10" customWidth="1"/>
    <col min="4869" max="4869" width="11.5546875" style="10" customWidth="1"/>
    <col min="4870" max="4870" width="9.109375" style="10"/>
    <col min="4871" max="4871" width="5.109375" style="10" customWidth="1"/>
    <col min="4872" max="4872" width="12" style="10" customWidth="1"/>
    <col min="4873" max="4873" width="9.109375" style="10"/>
    <col min="4874" max="4874" width="1.6640625" style="10" customWidth="1"/>
    <col min="4875" max="4875" width="14.109375" style="10" customWidth="1"/>
    <col min="4876" max="5119" width="9.109375" style="10"/>
    <col min="5120" max="5120" width="12.33203125" style="10" customWidth="1"/>
    <col min="5121" max="5121" width="53.5546875" style="10" customWidth="1"/>
    <col min="5122" max="5122" width="11.44140625" style="10" customWidth="1"/>
    <col min="5123" max="5123" width="12.109375" style="10" customWidth="1"/>
    <col min="5124" max="5124" width="21.33203125" style="10" customWidth="1"/>
    <col min="5125" max="5125" width="11.5546875" style="10" customWidth="1"/>
    <col min="5126" max="5126" width="9.109375" style="10"/>
    <col min="5127" max="5127" width="5.109375" style="10" customWidth="1"/>
    <col min="5128" max="5128" width="12" style="10" customWidth="1"/>
    <col min="5129" max="5129" width="9.109375" style="10"/>
    <col min="5130" max="5130" width="1.6640625" style="10" customWidth="1"/>
    <col min="5131" max="5131" width="14.109375" style="10" customWidth="1"/>
    <col min="5132" max="5375" width="9.109375" style="10"/>
    <col min="5376" max="5376" width="12.33203125" style="10" customWidth="1"/>
    <col min="5377" max="5377" width="53.5546875" style="10" customWidth="1"/>
    <col min="5378" max="5378" width="11.44140625" style="10" customWidth="1"/>
    <col min="5379" max="5379" width="12.109375" style="10" customWidth="1"/>
    <col min="5380" max="5380" width="21.33203125" style="10" customWidth="1"/>
    <col min="5381" max="5381" width="11.5546875" style="10" customWidth="1"/>
    <col min="5382" max="5382" width="9.109375" style="10"/>
    <col min="5383" max="5383" width="5.109375" style="10" customWidth="1"/>
    <col min="5384" max="5384" width="12" style="10" customWidth="1"/>
    <col min="5385" max="5385" width="9.109375" style="10"/>
    <col min="5386" max="5386" width="1.6640625" style="10" customWidth="1"/>
    <col min="5387" max="5387" width="14.109375" style="10" customWidth="1"/>
    <col min="5388" max="5631" width="9.109375" style="10"/>
    <col min="5632" max="5632" width="12.33203125" style="10" customWidth="1"/>
    <col min="5633" max="5633" width="53.5546875" style="10" customWidth="1"/>
    <col min="5634" max="5634" width="11.44140625" style="10" customWidth="1"/>
    <col min="5635" max="5635" width="12.109375" style="10" customWidth="1"/>
    <col min="5636" max="5636" width="21.33203125" style="10" customWidth="1"/>
    <col min="5637" max="5637" width="11.5546875" style="10" customWidth="1"/>
    <col min="5638" max="5638" width="9.109375" style="10"/>
    <col min="5639" max="5639" width="5.109375" style="10" customWidth="1"/>
    <col min="5640" max="5640" width="12" style="10" customWidth="1"/>
    <col min="5641" max="5641" width="9.109375" style="10"/>
    <col min="5642" max="5642" width="1.6640625" style="10" customWidth="1"/>
    <col min="5643" max="5643" width="14.109375" style="10" customWidth="1"/>
    <col min="5644" max="5887" width="9.109375" style="10"/>
    <col min="5888" max="5888" width="12.33203125" style="10" customWidth="1"/>
    <col min="5889" max="5889" width="53.5546875" style="10" customWidth="1"/>
    <col min="5890" max="5890" width="11.44140625" style="10" customWidth="1"/>
    <col min="5891" max="5891" width="12.109375" style="10" customWidth="1"/>
    <col min="5892" max="5892" width="21.33203125" style="10" customWidth="1"/>
    <col min="5893" max="5893" width="11.5546875" style="10" customWidth="1"/>
    <col min="5894" max="5894" width="9.109375" style="10"/>
    <col min="5895" max="5895" width="5.109375" style="10" customWidth="1"/>
    <col min="5896" max="5896" width="12" style="10" customWidth="1"/>
    <col min="5897" max="5897" width="9.109375" style="10"/>
    <col min="5898" max="5898" width="1.6640625" style="10" customWidth="1"/>
    <col min="5899" max="5899" width="14.109375" style="10" customWidth="1"/>
    <col min="5900" max="6143" width="9.109375" style="10"/>
    <col min="6144" max="6144" width="12.33203125" style="10" customWidth="1"/>
    <col min="6145" max="6145" width="53.5546875" style="10" customWidth="1"/>
    <col min="6146" max="6146" width="11.44140625" style="10" customWidth="1"/>
    <col min="6147" max="6147" width="12.109375" style="10" customWidth="1"/>
    <col min="6148" max="6148" width="21.33203125" style="10" customWidth="1"/>
    <col min="6149" max="6149" width="11.5546875" style="10" customWidth="1"/>
    <col min="6150" max="6150" width="9.109375" style="10"/>
    <col min="6151" max="6151" width="5.109375" style="10" customWidth="1"/>
    <col min="6152" max="6152" width="12" style="10" customWidth="1"/>
    <col min="6153" max="6153" width="9.109375" style="10"/>
    <col min="6154" max="6154" width="1.6640625" style="10" customWidth="1"/>
    <col min="6155" max="6155" width="14.109375" style="10" customWidth="1"/>
    <col min="6156" max="6399" width="9.109375" style="10"/>
    <col min="6400" max="6400" width="12.33203125" style="10" customWidth="1"/>
    <col min="6401" max="6401" width="53.5546875" style="10" customWidth="1"/>
    <col min="6402" max="6402" width="11.44140625" style="10" customWidth="1"/>
    <col min="6403" max="6403" width="12.109375" style="10" customWidth="1"/>
    <col min="6404" max="6404" width="21.33203125" style="10" customWidth="1"/>
    <col min="6405" max="6405" width="11.5546875" style="10" customWidth="1"/>
    <col min="6406" max="6406" width="9.109375" style="10"/>
    <col min="6407" max="6407" width="5.109375" style="10" customWidth="1"/>
    <col min="6408" max="6408" width="12" style="10" customWidth="1"/>
    <col min="6409" max="6409" width="9.109375" style="10"/>
    <col min="6410" max="6410" width="1.6640625" style="10" customWidth="1"/>
    <col min="6411" max="6411" width="14.109375" style="10" customWidth="1"/>
    <col min="6412" max="6655" width="9.109375" style="10"/>
    <col min="6656" max="6656" width="12.33203125" style="10" customWidth="1"/>
    <col min="6657" max="6657" width="53.5546875" style="10" customWidth="1"/>
    <col min="6658" max="6658" width="11.44140625" style="10" customWidth="1"/>
    <col min="6659" max="6659" width="12.109375" style="10" customWidth="1"/>
    <col min="6660" max="6660" width="21.33203125" style="10" customWidth="1"/>
    <col min="6661" max="6661" width="11.5546875" style="10" customWidth="1"/>
    <col min="6662" max="6662" width="9.109375" style="10"/>
    <col min="6663" max="6663" width="5.109375" style="10" customWidth="1"/>
    <col min="6664" max="6664" width="12" style="10" customWidth="1"/>
    <col min="6665" max="6665" width="9.109375" style="10"/>
    <col min="6666" max="6666" width="1.6640625" style="10" customWidth="1"/>
    <col min="6667" max="6667" width="14.109375" style="10" customWidth="1"/>
    <col min="6668" max="6911" width="9.109375" style="10"/>
    <col min="6912" max="6912" width="12.33203125" style="10" customWidth="1"/>
    <col min="6913" max="6913" width="53.5546875" style="10" customWidth="1"/>
    <col min="6914" max="6914" width="11.44140625" style="10" customWidth="1"/>
    <col min="6915" max="6915" width="12.109375" style="10" customWidth="1"/>
    <col min="6916" max="6916" width="21.33203125" style="10" customWidth="1"/>
    <col min="6917" max="6917" width="11.5546875" style="10" customWidth="1"/>
    <col min="6918" max="6918" width="9.109375" style="10"/>
    <col min="6919" max="6919" width="5.109375" style="10" customWidth="1"/>
    <col min="6920" max="6920" width="12" style="10" customWidth="1"/>
    <col min="6921" max="6921" width="9.109375" style="10"/>
    <col min="6922" max="6922" width="1.6640625" style="10" customWidth="1"/>
    <col min="6923" max="6923" width="14.109375" style="10" customWidth="1"/>
    <col min="6924" max="7167" width="9.109375" style="10"/>
    <col min="7168" max="7168" width="12.33203125" style="10" customWidth="1"/>
    <col min="7169" max="7169" width="53.5546875" style="10" customWidth="1"/>
    <col min="7170" max="7170" width="11.44140625" style="10" customWidth="1"/>
    <col min="7171" max="7171" width="12.109375" style="10" customWidth="1"/>
    <col min="7172" max="7172" width="21.33203125" style="10" customWidth="1"/>
    <col min="7173" max="7173" width="11.5546875" style="10" customWidth="1"/>
    <col min="7174" max="7174" width="9.109375" style="10"/>
    <col min="7175" max="7175" width="5.109375" style="10" customWidth="1"/>
    <col min="7176" max="7176" width="12" style="10" customWidth="1"/>
    <col min="7177" max="7177" width="9.109375" style="10"/>
    <col min="7178" max="7178" width="1.6640625" style="10" customWidth="1"/>
    <col min="7179" max="7179" width="14.109375" style="10" customWidth="1"/>
    <col min="7180" max="7423" width="9.109375" style="10"/>
    <col min="7424" max="7424" width="12.33203125" style="10" customWidth="1"/>
    <col min="7425" max="7425" width="53.5546875" style="10" customWidth="1"/>
    <col min="7426" max="7426" width="11.44140625" style="10" customWidth="1"/>
    <col min="7427" max="7427" width="12.109375" style="10" customWidth="1"/>
    <col min="7428" max="7428" width="21.33203125" style="10" customWidth="1"/>
    <col min="7429" max="7429" width="11.5546875" style="10" customWidth="1"/>
    <col min="7430" max="7430" width="9.109375" style="10"/>
    <col min="7431" max="7431" width="5.109375" style="10" customWidth="1"/>
    <col min="7432" max="7432" width="12" style="10" customWidth="1"/>
    <col min="7433" max="7433" width="9.109375" style="10"/>
    <col min="7434" max="7434" width="1.6640625" style="10" customWidth="1"/>
    <col min="7435" max="7435" width="14.109375" style="10" customWidth="1"/>
    <col min="7436" max="7679" width="9.109375" style="10"/>
    <col min="7680" max="7680" width="12.33203125" style="10" customWidth="1"/>
    <col min="7681" max="7681" width="53.5546875" style="10" customWidth="1"/>
    <col min="7682" max="7682" width="11.44140625" style="10" customWidth="1"/>
    <col min="7683" max="7683" width="12.109375" style="10" customWidth="1"/>
    <col min="7684" max="7684" width="21.33203125" style="10" customWidth="1"/>
    <col min="7685" max="7685" width="11.5546875" style="10" customWidth="1"/>
    <col min="7686" max="7686" width="9.109375" style="10"/>
    <col min="7687" max="7687" width="5.109375" style="10" customWidth="1"/>
    <col min="7688" max="7688" width="12" style="10" customWidth="1"/>
    <col min="7689" max="7689" width="9.109375" style="10"/>
    <col min="7690" max="7690" width="1.6640625" style="10" customWidth="1"/>
    <col min="7691" max="7691" width="14.109375" style="10" customWidth="1"/>
    <col min="7692" max="7935" width="9.109375" style="10"/>
    <col min="7936" max="7936" width="12.33203125" style="10" customWidth="1"/>
    <col min="7937" max="7937" width="53.5546875" style="10" customWidth="1"/>
    <col min="7938" max="7938" width="11.44140625" style="10" customWidth="1"/>
    <col min="7939" max="7939" width="12.109375" style="10" customWidth="1"/>
    <col min="7940" max="7940" width="21.33203125" style="10" customWidth="1"/>
    <col min="7941" max="7941" width="11.5546875" style="10" customWidth="1"/>
    <col min="7942" max="7942" width="9.109375" style="10"/>
    <col min="7943" max="7943" width="5.109375" style="10" customWidth="1"/>
    <col min="7944" max="7944" width="12" style="10" customWidth="1"/>
    <col min="7945" max="7945" width="9.109375" style="10"/>
    <col min="7946" max="7946" width="1.6640625" style="10" customWidth="1"/>
    <col min="7947" max="7947" width="14.109375" style="10" customWidth="1"/>
    <col min="7948" max="8191" width="9.109375" style="10"/>
    <col min="8192" max="8192" width="12.33203125" style="10" customWidth="1"/>
    <col min="8193" max="8193" width="53.5546875" style="10" customWidth="1"/>
    <col min="8194" max="8194" width="11.44140625" style="10" customWidth="1"/>
    <col min="8195" max="8195" width="12.109375" style="10" customWidth="1"/>
    <col min="8196" max="8196" width="21.33203125" style="10" customWidth="1"/>
    <col min="8197" max="8197" width="11.5546875" style="10" customWidth="1"/>
    <col min="8198" max="8198" width="9.109375" style="10"/>
    <col min="8199" max="8199" width="5.109375" style="10" customWidth="1"/>
    <col min="8200" max="8200" width="12" style="10" customWidth="1"/>
    <col min="8201" max="8201" width="9.109375" style="10"/>
    <col min="8202" max="8202" width="1.6640625" style="10" customWidth="1"/>
    <col min="8203" max="8203" width="14.109375" style="10" customWidth="1"/>
    <col min="8204" max="8447" width="9.109375" style="10"/>
    <col min="8448" max="8448" width="12.33203125" style="10" customWidth="1"/>
    <col min="8449" max="8449" width="53.5546875" style="10" customWidth="1"/>
    <col min="8450" max="8450" width="11.44140625" style="10" customWidth="1"/>
    <col min="8451" max="8451" width="12.109375" style="10" customWidth="1"/>
    <col min="8452" max="8452" width="21.33203125" style="10" customWidth="1"/>
    <col min="8453" max="8453" width="11.5546875" style="10" customWidth="1"/>
    <col min="8454" max="8454" width="9.109375" style="10"/>
    <col min="8455" max="8455" width="5.109375" style="10" customWidth="1"/>
    <col min="8456" max="8456" width="12" style="10" customWidth="1"/>
    <col min="8457" max="8457" width="9.109375" style="10"/>
    <col min="8458" max="8458" width="1.6640625" style="10" customWidth="1"/>
    <col min="8459" max="8459" width="14.109375" style="10" customWidth="1"/>
    <col min="8460" max="8703" width="9.109375" style="10"/>
    <col min="8704" max="8704" width="12.33203125" style="10" customWidth="1"/>
    <col min="8705" max="8705" width="53.5546875" style="10" customWidth="1"/>
    <col min="8706" max="8706" width="11.44140625" style="10" customWidth="1"/>
    <col min="8707" max="8707" width="12.109375" style="10" customWidth="1"/>
    <col min="8708" max="8708" width="21.33203125" style="10" customWidth="1"/>
    <col min="8709" max="8709" width="11.5546875" style="10" customWidth="1"/>
    <col min="8710" max="8710" width="9.109375" style="10"/>
    <col min="8711" max="8711" width="5.109375" style="10" customWidth="1"/>
    <col min="8712" max="8712" width="12" style="10" customWidth="1"/>
    <col min="8713" max="8713" width="9.109375" style="10"/>
    <col min="8714" max="8714" width="1.6640625" style="10" customWidth="1"/>
    <col min="8715" max="8715" width="14.109375" style="10" customWidth="1"/>
    <col min="8716" max="8959" width="9.109375" style="10"/>
    <col min="8960" max="8960" width="12.33203125" style="10" customWidth="1"/>
    <col min="8961" max="8961" width="53.5546875" style="10" customWidth="1"/>
    <col min="8962" max="8962" width="11.44140625" style="10" customWidth="1"/>
    <col min="8963" max="8963" width="12.109375" style="10" customWidth="1"/>
    <col min="8964" max="8964" width="21.33203125" style="10" customWidth="1"/>
    <col min="8965" max="8965" width="11.5546875" style="10" customWidth="1"/>
    <col min="8966" max="8966" width="9.109375" style="10"/>
    <col min="8967" max="8967" width="5.109375" style="10" customWidth="1"/>
    <col min="8968" max="8968" width="12" style="10" customWidth="1"/>
    <col min="8969" max="8969" width="9.109375" style="10"/>
    <col min="8970" max="8970" width="1.6640625" style="10" customWidth="1"/>
    <col min="8971" max="8971" width="14.109375" style="10" customWidth="1"/>
    <col min="8972" max="9215" width="9.109375" style="10"/>
    <col min="9216" max="9216" width="12.33203125" style="10" customWidth="1"/>
    <col min="9217" max="9217" width="53.5546875" style="10" customWidth="1"/>
    <col min="9218" max="9218" width="11.44140625" style="10" customWidth="1"/>
    <col min="9219" max="9219" width="12.109375" style="10" customWidth="1"/>
    <col min="9220" max="9220" width="21.33203125" style="10" customWidth="1"/>
    <col min="9221" max="9221" width="11.5546875" style="10" customWidth="1"/>
    <col min="9222" max="9222" width="9.109375" style="10"/>
    <col min="9223" max="9223" width="5.109375" style="10" customWidth="1"/>
    <col min="9224" max="9224" width="12" style="10" customWidth="1"/>
    <col min="9225" max="9225" width="9.109375" style="10"/>
    <col min="9226" max="9226" width="1.6640625" style="10" customWidth="1"/>
    <col min="9227" max="9227" width="14.109375" style="10" customWidth="1"/>
    <col min="9228" max="9471" width="9.109375" style="10"/>
    <col min="9472" max="9472" width="12.33203125" style="10" customWidth="1"/>
    <col min="9473" max="9473" width="53.5546875" style="10" customWidth="1"/>
    <col min="9474" max="9474" width="11.44140625" style="10" customWidth="1"/>
    <col min="9475" max="9475" width="12.109375" style="10" customWidth="1"/>
    <col min="9476" max="9476" width="21.33203125" style="10" customWidth="1"/>
    <col min="9477" max="9477" width="11.5546875" style="10" customWidth="1"/>
    <col min="9478" max="9478" width="9.109375" style="10"/>
    <col min="9479" max="9479" width="5.109375" style="10" customWidth="1"/>
    <col min="9480" max="9480" width="12" style="10" customWidth="1"/>
    <col min="9481" max="9481" width="9.109375" style="10"/>
    <col min="9482" max="9482" width="1.6640625" style="10" customWidth="1"/>
    <col min="9483" max="9483" width="14.109375" style="10" customWidth="1"/>
    <col min="9484" max="9727" width="9.109375" style="10"/>
    <col min="9728" max="9728" width="12.33203125" style="10" customWidth="1"/>
    <col min="9729" max="9729" width="53.5546875" style="10" customWidth="1"/>
    <col min="9730" max="9730" width="11.44140625" style="10" customWidth="1"/>
    <col min="9731" max="9731" width="12.109375" style="10" customWidth="1"/>
    <col min="9732" max="9732" width="21.33203125" style="10" customWidth="1"/>
    <col min="9733" max="9733" width="11.5546875" style="10" customWidth="1"/>
    <col min="9734" max="9734" width="9.109375" style="10"/>
    <col min="9735" max="9735" width="5.109375" style="10" customWidth="1"/>
    <col min="9736" max="9736" width="12" style="10" customWidth="1"/>
    <col min="9737" max="9737" width="9.109375" style="10"/>
    <col min="9738" max="9738" width="1.6640625" style="10" customWidth="1"/>
    <col min="9739" max="9739" width="14.109375" style="10" customWidth="1"/>
    <col min="9740" max="9983" width="9.109375" style="10"/>
    <col min="9984" max="9984" width="12.33203125" style="10" customWidth="1"/>
    <col min="9985" max="9985" width="53.5546875" style="10" customWidth="1"/>
    <col min="9986" max="9986" width="11.44140625" style="10" customWidth="1"/>
    <col min="9987" max="9987" width="12.109375" style="10" customWidth="1"/>
    <col min="9988" max="9988" width="21.33203125" style="10" customWidth="1"/>
    <col min="9989" max="9989" width="11.5546875" style="10" customWidth="1"/>
    <col min="9990" max="9990" width="9.109375" style="10"/>
    <col min="9991" max="9991" width="5.109375" style="10" customWidth="1"/>
    <col min="9992" max="9992" width="12" style="10" customWidth="1"/>
    <col min="9993" max="9993" width="9.109375" style="10"/>
    <col min="9994" max="9994" width="1.6640625" style="10" customWidth="1"/>
    <col min="9995" max="9995" width="14.109375" style="10" customWidth="1"/>
    <col min="9996" max="10239" width="9.109375" style="10"/>
    <col min="10240" max="10240" width="12.33203125" style="10" customWidth="1"/>
    <col min="10241" max="10241" width="53.5546875" style="10" customWidth="1"/>
    <col min="10242" max="10242" width="11.44140625" style="10" customWidth="1"/>
    <col min="10243" max="10243" width="12.109375" style="10" customWidth="1"/>
    <col min="10244" max="10244" width="21.33203125" style="10" customWidth="1"/>
    <col min="10245" max="10245" width="11.5546875" style="10" customWidth="1"/>
    <col min="10246" max="10246" width="9.109375" style="10"/>
    <col min="10247" max="10247" width="5.109375" style="10" customWidth="1"/>
    <col min="10248" max="10248" width="12" style="10" customWidth="1"/>
    <col min="10249" max="10249" width="9.109375" style="10"/>
    <col min="10250" max="10250" width="1.6640625" style="10" customWidth="1"/>
    <col min="10251" max="10251" width="14.109375" style="10" customWidth="1"/>
    <col min="10252" max="10495" width="9.109375" style="10"/>
    <col min="10496" max="10496" width="12.33203125" style="10" customWidth="1"/>
    <col min="10497" max="10497" width="53.5546875" style="10" customWidth="1"/>
    <col min="10498" max="10498" width="11.44140625" style="10" customWidth="1"/>
    <col min="10499" max="10499" width="12.109375" style="10" customWidth="1"/>
    <col min="10500" max="10500" width="21.33203125" style="10" customWidth="1"/>
    <col min="10501" max="10501" width="11.5546875" style="10" customWidth="1"/>
    <col min="10502" max="10502" width="9.109375" style="10"/>
    <col min="10503" max="10503" width="5.109375" style="10" customWidth="1"/>
    <col min="10504" max="10504" width="12" style="10" customWidth="1"/>
    <col min="10505" max="10505" width="9.109375" style="10"/>
    <col min="10506" max="10506" width="1.6640625" style="10" customWidth="1"/>
    <col min="10507" max="10507" width="14.109375" style="10" customWidth="1"/>
    <col min="10508" max="10751" width="9.109375" style="10"/>
    <col min="10752" max="10752" width="12.33203125" style="10" customWidth="1"/>
    <col min="10753" max="10753" width="53.5546875" style="10" customWidth="1"/>
    <col min="10754" max="10754" width="11.44140625" style="10" customWidth="1"/>
    <col min="10755" max="10755" width="12.109375" style="10" customWidth="1"/>
    <col min="10756" max="10756" width="21.33203125" style="10" customWidth="1"/>
    <col min="10757" max="10757" width="11.5546875" style="10" customWidth="1"/>
    <col min="10758" max="10758" width="9.109375" style="10"/>
    <col min="10759" max="10759" width="5.109375" style="10" customWidth="1"/>
    <col min="10760" max="10760" width="12" style="10" customWidth="1"/>
    <col min="10761" max="10761" width="9.109375" style="10"/>
    <col min="10762" max="10762" width="1.6640625" style="10" customWidth="1"/>
    <col min="10763" max="10763" width="14.109375" style="10" customWidth="1"/>
    <col min="10764" max="11007" width="9.109375" style="10"/>
    <col min="11008" max="11008" width="12.33203125" style="10" customWidth="1"/>
    <col min="11009" max="11009" width="53.5546875" style="10" customWidth="1"/>
    <col min="11010" max="11010" width="11.44140625" style="10" customWidth="1"/>
    <col min="11011" max="11011" width="12.109375" style="10" customWidth="1"/>
    <col min="11012" max="11012" width="21.33203125" style="10" customWidth="1"/>
    <col min="11013" max="11013" width="11.5546875" style="10" customWidth="1"/>
    <col min="11014" max="11014" width="9.109375" style="10"/>
    <col min="11015" max="11015" width="5.109375" style="10" customWidth="1"/>
    <col min="11016" max="11016" width="12" style="10" customWidth="1"/>
    <col min="11017" max="11017" width="9.109375" style="10"/>
    <col min="11018" max="11018" width="1.6640625" style="10" customWidth="1"/>
    <col min="11019" max="11019" width="14.109375" style="10" customWidth="1"/>
    <col min="11020" max="11263" width="9.109375" style="10"/>
    <col min="11264" max="11264" width="12.33203125" style="10" customWidth="1"/>
    <col min="11265" max="11265" width="53.5546875" style="10" customWidth="1"/>
    <col min="11266" max="11266" width="11.44140625" style="10" customWidth="1"/>
    <col min="11267" max="11267" width="12.109375" style="10" customWidth="1"/>
    <col min="11268" max="11268" width="21.33203125" style="10" customWidth="1"/>
    <col min="11269" max="11269" width="11.5546875" style="10" customWidth="1"/>
    <col min="11270" max="11270" width="9.109375" style="10"/>
    <col min="11271" max="11271" width="5.109375" style="10" customWidth="1"/>
    <col min="11272" max="11272" width="12" style="10" customWidth="1"/>
    <col min="11273" max="11273" width="9.109375" style="10"/>
    <col min="11274" max="11274" width="1.6640625" style="10" customWidth="1"/>
    <col min="11275" max="11275" width="14.109375" style="10" customWidth="1"/>
    <col min="11276" max="11519" width="9.109375" style="10"/>
    <col min="11520" max="11520" width="12.33203125" style="10" customWidth="1"/>
    <col min="11521" max="11521" width="53.5546875" style="10" customWidth="1"/>
    <col min="11522" max="11522" width="11.44140625" style="10" customWidth="1"/>
    <col min="11523" max="11523" width="12.109375" style="10" customWidth="1"/>
    <col min="11524" max="11524" width="21.33203125" style="10" customWidth="1"/>
    <col min="11525" max="11525" width="11.5546875" style="10" customWidth="1"/>
    <col min="11526" max="11526" width="9.109375" style="10"/>
    <col min="11527" max="11527" width="5.109375" style="10" customWidth="1"/>
    <col min="11528" max="11528" width="12" style="10" customWidth="1"/>
    <col min="11529" max="11529" width="9.109375" style="10"/>
    <col min="11530" max="11530" width="1.6640625" style="10" customWidth="1"/>
    <col min="11531" max="11531" width="14.109375" style="10" customWidth="1"/>
    <col min="11532" max="11775" width="9.109375" style="10"/>
    <col min="11776" max="11776" width="12.33203125" style="10" customWidth="1"/>
    <col min="11777" max="11777" width="53.5546875" style="10" customWidth="1"/>
    <col min="11778" max="11778" width="11.44140625" style="10" customWidth="1"/>
    <col min="11779" max="11779" width="12.109375" style="10" customWidth="1"/>
    <col min="11780" max="11780" width="21.33203125" style="10" customWidth="1"/>
    <col min="11781" max="11781" width="11.5546875" style="10" customWidth="1"/>
    <col min="11782" max="11782" width="9.109375" style="10"/>
    <col min="11783" max="11783" width="5.109375" style="10" customWidth="1"/>
    <col min="11784" max="11784" width="12" style="10" customWidth="1"/>
    <col min="11785" max="11785" width="9.109375" style="10"/>
    <col min="11786" max="11786" width="1.6640625" style="10" customWidth="1"/>
    <col min="11787" max="11787" width="14.109375" style="10" customWidth="1"/>
    <col min="11788" max="12031" width="9.109375" style="10"/>
    <col min="12032" max="12032" width="12.33203125" style="10" customWidth="1"/>
    <col min="12033" max="12033" width="53.5546875" style="10" customWidth="1"/>
    <col min="12034" max="12034" width="11.44140625" style="10" customWidth="1"/>
    <col min="12035" max="12035" width="12.109375" style="10" customWidth="1"/>
    <col min="12036" max="12036" width="21.33203125" style="10" customWidth="1"/>
    <col min="12037" max="12037" width="11.5546875" style="10" customWidth="1"/>
    <col min="12038" max="12038" width="9.109375" style="10"/>
    <col min="12039" max="12039" width="5.109375" style="10" customWidth="1"/>
    <col min="12040" max="12040" width="12" style="10" customWidth="1"/>
    <col min="12041" max="12041" width="9.109375" style="10"/>
    <col min="12042" max="12042" width="1.6640625" style="10" customWidth="1"/>
    <col min="12043" max="12043" width="14.109375" style="10" customWidth="1"/>
    <col min="12044" max="12287" width="9.109375" style="10"/>
    <col min="12288" max="12288" width="12.33203125" style="10" customWidth="1"/>
    <col min="12289" max="12289" width="53.5546875" style="10" customWidth="1"/>
    <col min="12290" max="12290" width="11.44140625" style="10" customWidth="1"/>
    <col min="12291" max="12291" width="12.109375" style="10" customWidth="1"/>
    <col min="12292" max="12292" width="21.33203125" style="10" customWidth="1"/>
    <col min="12293" max="12293" width="11.5546875" style="10" customWidth="1"/>
    <col min="12294" max="12294" width="9.109375" style="10"/>
    <col min="12295" max="12295" width="5.109375" style="10" customWidth="1"/>
    <col min="12296" max="12296" width="12" style="10" customWidth="1"/>
    <col min="12297" max="12297" width="9.109375" style="10"/>
    <col min="12298" max="12298" width="1.6640625" style="10" customWidth="1"/>
    <col min="12299" max="12299" width="14.109375" style="10" customWidth="1"/>
    <col min="12300" max="12543" width="9.109375" style="10"/>
    <col min="12544" max="12544" width="12.33203125" style="10" customWidth="1"/>
    <col min="12545" max="12545" width="53.5546875" style="10" customWidth="1"/>
    <col min="12546" max="12546" width="11.44140625" style="10" customWidth="1"/>
    <col min="12547" max="12547" width="12.109375" style="10" customWidth="1"/>
    <col min="12548" max="12548" width="21.33203125" style="10" customWidth="1"/>
    <col min="12549" max="12549" width="11.5546875" style="10" customWidth="1"/>
    <col min="12550" max="12550" width="9.109375" style="10"/>
    <col min="12551" max="12551" width="5.109375" style="10" customWidth="1"/>
    <col min="12552" max="12552" width="12" style="10" customWidth="1"/>
    <col min="12553" max="12553" width="9.109375" style="10"/>
    <col min="12554" max="12554" width="1.6640625" style="10" customWidth="1"/>
    <col min="12555" max="12555" width="14.109375" style="10" customWidth="1"/>
    <col min="12556" max="12799" width="9.109375" style="10"/>
    <col min="12800" max="12800" width="12.33203125" style="10" customWidth="1"/>
    <col min="12801" max="12801" width="53.5546875" style="10" customWidth="1"/>
    <col min="12802" max="12802" width="11.44140625" style="10" customWidth="1"/>
    <col min="12803" max="12803" width="12.109375" style="10" customWidth="1"/>
    <col min="12804" max="12804" width="21.33203125" style="10" customWidth="1"/>
    <col min="12805" max="12805" width="11.5546875" style="10" customWidth="1"/>
    <col min="12806" max="12806" width="9.109375" style="10"/>
    <col min="12807" max="12807" width="5.109375" style="10" customWidth="1"/>
    <col min="12808" max="12808" width="12" style="10" customWidth="1"/>
    <col min="12809" max="12809" width="9.109375" style="10"/>
    <col min="12810" max="12810" width="1.6640625" style="10" customWidth="1"/>
    <col min="12811" max="12811" width="14.109375" style="10" customWidth="1"/>
    <col min="12812" max="13055" width="9.109375" style="10"/>
    <col min="13056" max="13056" width="12.33203125" style="10" customWidth="1"/>
    <col min="13057" max="13057" width="53.5546875" style="10" customWidth="1"/>
    <col min="13058" max="13058" width="11.44140625" style="10" customWidth="1"/>
    <col min="13059" max="13059" width="12.109375" style="10" customWidth="1"/>
    <col min="13060" max="13060" width="21.33203125" style="10" customWidth="1"/>
    <col min="13061" max="13061" width="11.5546875" style="10" customWidth="1"/>
    <col min="13062" max="13062" width="9.109375" style="10"/>
    <col min="13063" max="13063" width="5.109375" style="10" customWidth="1"/>
    <col min="13064" max="13064" width="12" style="10" customWidth="1"/>
    <col min="13065" max="13065" width="9.109375" style="10"/>
    <col min="13066" max="13066" width="1.6640625" style="10" customWidth="1"/>
    <col min="13067" max="13067" width="14.109375" style="10" customWidth="1"/>
    <col min="13068" max="13311" width="9.109375" style="10"/>
    <col min="13312" max="13312" width="12.33203125" style="10" customWidth="1"/>
    <col min="13313" max="13313" width="53.5546875" style="10" customWidth="1"/>
    <col min="13314" max="13314" width="11.44140625" style="10" customWidth="1"/>
    <col min="13315" max="13315" width="12.109375" style="10" customWidth="1"/>
    <col min="13316" max="13316" width="21.33203125" style="10" customWidth="1"/>
    <col min="13317" max="13317" width="11.5546875" style="10" customWidth="1"/>
    <col min="13318" max="13318" width="9.109375" style="10"/>
    <col min="13319" max="13319" width="5.109375" style="10" customWidth="1"/>
    <col min="13320" max="13320" width="12" style="10" customWidth="1"/>
    <col min="13321" max="13321" width="9.109375" style="10"/>
    <col min="13322" max="13322" width="1.6640625" style="10" customWidth="1"/>
    <col min="13323" max="13323" width="14.109375" style="10" customWidth="1"/>
    <col min="13324" max="13567" width="9.109375" style="10"/>
    <col min="13568" max="13568" width="12.33203125" style="10" customWidth="1"/>
    <col min="13569" max="13569" width="53.5546875" style="10" customWidth="1"/>
    <col min="13570" max="13570" width="11.44140625" style="10" customWidth="1"/>
    <col min="13571" max="13571" width="12.109375" style="10" customWidth="1"/>
    <col min="13572" max="13572" width="21.33203125" style="10" customWidth="1"/>
    <col min="13573" max="13573" width="11.5546875" style="10" customWidth="1"/>
    <col min="13574" max="13574" width="9.109375" style="10"/>
    <col min="13575" max="13575" width="5.109375" style="10" customWidth="1"/>
    <col min="13576" max="13576" width="12" style="10" customWidth="1"/>
    <col min="13577" max="13577" width="9.109375" style="10"/>
    <col min="13578" max="13578" width="1.6640625" style="10" customWidth="1"/>
    <col min="13579" max="13579" width="14.109375" style="10" customWidth="1"/>
    <col min="13580" max="13823" width="9.109375" style="10"/>
    <col min="13824" max="13824" width="12.33203125" style="10" customWidth="1"/>
    <col min="13825" max="13825" width="53.5546875" style="10" customWidth="1"/>
    <col min="13826" max="13826" width="11.44140625" style="10" customWidth="1"/>
    <col min="13827" max="13827" width="12.109375" style="10" customWidth="1"/>
    <col min="13828" max="13828" width="21.33203125" style="10" customWidth="1"/>
    <col min="13829" max="13829" width="11.5546875" style="10" customWidth="1"/>
    <col min="13830" max="13830" width="9.109375" style="10"/>
    <col min="13831" max="13831" width="5.109375" style="10" customWidth="1"/>
    <col min="13832" max="13832" width="12" style="10" customWidth="1"/>
    <col min="13833" max="13833" width="9.109375" style="10"/>
    <col min="13834" max="13834" width="1.6640625" style="10" customWidth="1"/>
    <col min="13835" max="13835" width="14.109375" style="10" customWidth="1"/>
    <col min="13836" max="14079" width="9.109375" style="10"/>
    <col min="14080" max="14080" width="12.33203125" style="10" customWidth="1"/>
    <col min="14081" max="14081" width="53.5546875" style="10" customWidth="1"/>
    <col min="14082" max="14082" width="11.44140625" style="10" customWidth="1"/>
    <col min="14083" max="14083" width="12.109375" style="10" customWidth="1"/>
    <col min="14084" max="14084" width="21.33203125" style="10" customWidth="1"/>
    <col min="14085" max="14085" width="11.5546875" style="10" customWidth="1"/>
    <col min="14086" max="14086" width="9.109375" style="10"/>
    <col min="14087" max="14087" width="5.109375" style="10" customWidth="1"/>
    <col min="14088" max="14088" width="12" style="10" customWidth="1"/>
    <col min="14089" max="14089" width="9.109375" style="10"/>
    <col min="14090" max="14090" width="1.6640625" style="10" customWidth="1"/>
    <col min="14091" max="14091" width="14.109375" style="10" customWidth="1"/>
    <col min="14092" max="14335" width="9.109375" style="10"/>
    <col min="14336" max="14336" width="12.33203125" style="10" customWidth="1"/>
    <col min="14337" max="14337" width="53.5546875" style="10" customWidth="1"/>
    <col min="14338" max="14338" width="11.44140625" style="10" customWidth="1"/>
    <col min="14339" max="14339" width="12.109375" style="10" customWidth="1"/>
    <col min="14340" max="14340" width="21.33203125" style="10" customWidth="1"/>
    <col min="14341" max="14341" width="11.5546875" style="10" customWidth="1"/>
    <col min="14342" max="14342" width="9.109375" style="10"/>
    <col min="14343" max="14343" width="5.109375" style="10" customWidth="1"/>
    <col min="14344" max="14344" width="12" style="10" customWidth="1"/>
    <col min="14345" max="14345" width="9.109375" style="10"/>
    <col min="14346" max="14346" width="1.6640625" style="10" customWidth="1"/>
    <col min="14347" max="14347" width="14.109375" style="10" customWidth="1"/>
    <col min="14348" max="14591" width="9.109375" style="10"/>
    <col min="14592" max="14592" width="12.33203125" style="10" customWidth="1"/>
    <col min="14593" max="14593" width="53.5546875" style="10" customWidth="1"/>
    <col min="14594" max="14594" width="11.44140625" style="10" customWidth="1"/>
    <col min="14595" max="14595" width="12.109375" style="10" customWidth="1"/>
    <col min="14596" max="14596" width="21.33203125" style="10" customWidth="1"/>
    <col min="14597" max="14597" width="11.5546875" style="10" customWidth="1"/>
    <col min="14598" max="14598" width="9.109375" style="10"/>
    <col min="14599" max="14599" width="5.109375" style="10" customWidth="1"/>
    <col min="14600" max="14600" width="12" style="10" customWidth="1"/>
    <col min="14601" max="14601" width="9.109375" style="10"/>
    <col min="14602" max="14602" width="1.6640625" style="10" customWidth="1"/>
    <col min="14603" max="14603" width="14.109375" style="10" customWidth="1"/>
    <col min="14604" max="14847" width="9.109375" style="10"/>
    <col min="14848" max="14848" width="12.33203125" style="10" customWidth="1"/>
    <col min="14849" max="14849" width="53.5546875" style="10" customWidth="1"/>
    <col min="14850" max="14850" width="11.44140625" style="10" customWidth="1"/>
    <col min="14851" max="14851" width="12.109375" style="10" customWidth="1"/>
    <col min="14852" max="14852" width="21.33203125" style="10" customWidth="1"/>
    <col min="14853" max="14853" width="11.5546875" style="10" customWidth="1"/>
    <col min="14854" max="14854" width="9.109375" style="10"/>
    <col min="14855" max="14855" width="5.109375" style="10" customWidth="1"/>
    <col min="14856" max="14856" width="12" style="10" customWidth="1"/>
    <col min="14857" max="14857" width="9.109375" style="10"/>
    <col min="14858" max="14858" width="1.6640625" style="10" customWidth="1"/>
    <col min="14859" max="14859" width="14.109375" style="10" customWidth="1"/>
    <col min="14860" max="15103" width="9.109375" style="10"/>
    <col min="15104" max="15104" width="12.33203125" style="10" customWidth="1"/>
    <col min="15105" max="15105" width="53.5546875" style="10" customWidth="1"/>
    <col min="15106" max="15106" width="11.44140625" style="10" customWidth="1"/>
    <col min="15107" max="15107" width="12.109375" style="10" customWidth="1"/>
    <col min="15108" max="15108" width="21.33203125" style="10" customWidth="1"/>
    <col min="15109" max="15109" width="11.5546875" style="10" customWidth="1"/>
    <col min="15110" max="15110" width="9.109375" style="10"/>
    <col min="15111" max="15111" width="5.109375" style="10" customWidth="1"/>
    <col min="15112" max="15112" width="12" style="10" customWidth="1"/>
    <col min="15113" max="15113" width="9.109375" style="10"/>
    <col min="15114" max="15114" width="1.6640625" style="10" customWidth="1"/>
    <col min="15115" max="15115" width="14.109375" style="10" customWidth="1"/>
    <col min="15116" max="15359" width="9.109375" style="10"/>
    <col min="15360" max="15360" width="12.33203125" style="10" customWidth="1"/>
    <col min="15361" max="15361" width="53.5546875" style="10" customWidth="1"/>
    <col min="15362" max="15362" width="11.44140625" style="10" customWidth="1"/>
    <col min="15363" max="15363" width="12.109375" style="10" customWidth="1"/>
    <col min="15364" max="15364" width="21.33203125" style="10" customWidth="1"/>
    <col min="15365" max="15365" width="11.5546875" style="10" customWidth="1"/>
    <col min="15366" max="15366" width="9.109375" style="10"/>
    <col min="15367" max="15367" width="5.109375" style="10" customWidth="1"/>
    <col min="15368" max="15368" width="12" style="10" customWidth="1"/>
    <col min="15369" max="15369" width="9.109375" style="10"/>
    <col min="15370" max="15370" width="1.6640625" style="10" customWidth="1"/>
    <col min="15371" max="15371" width="14.109375" style="10" customWidth="1"/>
    <col min="15372" max="15615" width="9.109375" style="10"/>
    <col min="15616" max="15616" width="12.33203125" style="10" customWidth="1"/>
    <col min="15617" max="15617" width="53.5546875" style="10" customWidth="1"/>
    <col min="15618" max="15618" width="11.44140625" style="10" customWidth="1"/>
    <col min="15619" max="15619" width="12.109375" style="10" customWidth="1"/>
    <col min="15620" max="15620" width="21.33203125" style="10" customWidth="1"/>
    <col min="15621" max="15621" width="11.5546875" style="10" customWidth="1"/>
    <col min="15622" max="15622" width="9.109375" style="10"/>
    <col min="15623" max="15623" width="5.109375" style="10" customWidth="1"/>
    <col min="15624" max="15624" width="12" style="10" customWidth="1"/>
    <col min="15625" max="15625" width="9.109375" style="10"/>
    <col min="15626" max="15626" width="1.6640625" style="10" customWidth="1"/>
    <col min="15627" max="15627" width="14.109375" style="10" customWidth="1"/>
    <col min="15628" max="15871" width="9.109375" style="10"/>
    <col min="15872" max="15872" width="12.33203125" style="10" customWidth="1"/>
    <col min="15873" max="15873" width="53.5546875" style="10" customWidth="1"/>
    <col min="15874" max="15874" width="11.44140625" style="10" customWidth="1"/>
    <col min="15875" max="15875" width="12.109375" style="10" customWidth="1"/>
    <col min="15876" max="15876" width="21.33203125" style="10" customWidth="1"/>
    <col min="15877" max="15877" width="11.5546875" style="10" customWidth="1"/>
    <col min="15878" max="15878" width="9.109375" style="10"/>
    <col min="15879" max="15879" width="5.109375" style="10" customWidth="1"/>
    <col min="15880" max="15880" width="12" style="10" customWidth="1"/>
    <col min="15881" max="15881" width="9.109375" style="10"/>
    <col min="15882" max="15882" width="1.6640625" style="10" customWidth="1"/>
    <col min="15883" max="15883" width="14.109375" style="10" customWidth="1"/>
    <col min="15884" max="16127" width="9.109375" style="10"/>
    <col min="16128" max="16128" width="12.33203125" style="10" customWidth="1"/>
    <col min="16129" max="16129" width="53.5546875" style="10" customWidth="1"/>
    <col min="16130" max="16130" width="11.44140625" style="10" customWidth="1"/>
    <col min="16131" max="16131" width="12.109375" style="10" customWidth="1"/>
    <col min="16132" max="16132" width="21.33203125" style="10" customWidth="1"/>
    <col min="16133" max="16133" width="11.5546875" style="10" customWidth="1"/>
    <col min="16134" max="16134" width="9.109375" style="10"/>
    <col min="16135" max="16135" width="5.109375" style="10" customWidth="1"/>
    <col min="16136" max="16136" width="12" style="10" customWidth="1"/>
    <col min="16137" max="16137" width="9.109375" style="10"/>
    <col min="16138" max="16138" width="1.6640625" style="10" customWidth="1"/>
    <col min="16139" max="16139" width="14.109375" style="10" customWidth="1"/>
    <col min="16140" max="16384" width="9.109375" style="10"/>
  </cols>
  <sheetData>
    <row r="1" spans="1:12" ht="58.5" customHeight="1" x14ac:dyDescent="0.35">
      <c r="A1" s="15"/>
      <c r="B1" s="15"/>
      <c r="C1" s="15"/>
      <c r="D1" s="15"/>
      <c r="E1" s="15"/>
      <c r="F1" s="15"/>
      <c r="G1" s="15"/>
      <c r="H1" s="15"/>
      <c r="I1" s="15"/>
      <c r="J1" s="15"/>
      <c r="K1" s="44"/>
      <c r="L1" s="44"/>
    </row>
    <row r="2" spans="1:12" ht="15" customHeight="1" x14ac:dyDescent="0.3"/>
    <row r="3" spans="1:12" ht="26.25" customHeight="1" thickBot="1" x14ac:dyDescent="0.35">
      <c r="A3" s="5" t="s">
        <v>0</v>
      </c>
      <c r="B3" s="34" t="str">
        <f>'Validator Notes'!B4</f>
        <v>EQ - Utah Technical Center</v>
      </c>
      <c r="J3" s="35"/>
      <c r="K3" s="35"/>
      <c r="L3" s="35"/>
    </row>
    <row r="4" spans="1:12" ht="24.75" customHeight="1" thickBot="1" x14ac:dyDescent="0.35">
      <c r="A4" s="5" t="s">
        <v>1</v>
      </c>
      <c r="B4" s="36" t="str">
        <f>'Validator Notes'!B5</f>
        <v>Month 2025</v>
      </c>
    </row>
    <row r="5" spans="1:12" ht="25.5" customHeight="1" thickBot="1" x14ac:dyDescent="0.35">
      <c r="A5" s="5" t="s">
        <v>2</v>
      </c>
      <c r="B5" s="36" t="str">
        <f>'Validator Notes'!B6</f>
        <v>Aengstrom</v>
      </c>
    </row>
    <row r="6" spans="1:12" ht="15" customHeight="1" thickBot="1" x14ac:dyDescent="0.35"/>
    <row r="7" spans="1:12" ht="15" customHeight="1" x14ac:dyDescent="0.3">
      <c r="A7" s="71"/>
      <c r="B7" s="72"/>
      <c r="C7" s="303" t="s">
        <v>3</v>
      </c>
      <c r="D7" s="303"/>
      <c r="E7" s="73" t="s">
        <v>4</v>
      </c>
      <c r="F7" s="303" t="s">
        <v>5</v>
      </c>
      <c r="G7" s="303"/>
      <c r="H7" s="303"/>
      <c r="I7" s="303"/>
      <c r="J7" s="303"/>
      <c r="K7" s="73"/>
      <c r="L7" s="74" t="s">
        <v>6</v>
      </c>
    </row>
    <row r="8" spans="1:12" ht="15" customHeight="1" x14ac:dyDescent="0.3">
      <c r="A8" s="98" t="s">
        <v>7</v>
      </c>
      <c r="B8" s="54" t="s">
        <v>8</v>
      </c>
      <c r="C8" s="75" t="s">
        <v>94</v>
      </c>
      <c r="D8" s="75" t="s">
        <v>93</v>
      </c>
      <c r="E8" s="75" t="s">
        <v>9</v>
      </c>
      <c r="F8" s="75" t="s">
        <v>6</v>
      </c>
      <c r="G8" s="75" t="s">
        <v>10</v>
      </c>
      <c r="H8" s="76" t="s">
        <v>11</v>
      </c>
      <c r="I8" s="75" t="s">
        <v>6</v>
      </c>
      <c r="J8" s="75" t="s">
        <v>10</v>
      </c>
      <c r="K8" s="75"/>
      <c r="L8" s="77" t="s">
        <v>12</v>
      </c>
    </row>
    <row r="9" spans="1:12" ht="33" customHeight="1" x14ac:dyDescent="0.3">
      <c r="A9" s="50"/>
      <c r="B9" s="48"/>
      <c r="C9" s="49"/>
      <c r="D9" s="49"/>
      <c r="E9" s="48"/>
      <c r="F9" s="51"/>
      <c r="G9" s="52"/>
      <c r="H9" s="53"/>
      <c r="I9" s="51"/>
      <c r="J9" s="52"/>
      <c r="K9" s="53"/>
      <c r="L9" s="51"/>
    </row>
    <row r="10" spans="1:12" ht="33" customHeight="1" x14ac:dyDescent="0.3">
      <c r="A10" s="50"/>
      <c r="B10" s="48"/>
      <c r="C10" s="49"/>
      <c r="D10" s="49"/>
      <c r="E10" s="48"/>
      <c r="F10" s="51"/>
      <c r="G10" s="52"/>
      <c r="H10" s="53"/>
      <c r="I10" s="51"/>
      <c r="J10" s="52"/>
      <c r="K10" s="53"/>
      <c r="L10" s="51"/>
    </row>
    <row r="11" spans="1:12" ht="33" customHeight="1" x14ac:dyDescent="0.3">
      <c r="A11" s="50"/>
      <c r="B11" s="48"/>
      <c r="C11" s="49"/>
      <c r="D11" s="49"/>
      <c r="E11" s="48"/>
      <c r="F11" s="51"/>
      <c r="G11" s="52"/>
      <c r="H11" s="53"/>
      <c r="I11" s="51"/>
      <c r="J11" s="52"/>
      <c r="K11" s="53"/>
      <c r="L11" s="51"/>
    </row>
    <row r="12" spans="1:12" ht="33" customHeight="1" x14ac:dyDescent="0.3">
      <c r="A12" s="50"/>
      <c r="B12" s="48"/>
      <c r="C12" s="49"/>
      <c r="D12" s="49"/>
      <c r="E12" s="48"/>
      <c r="F12" s="51"/>
      <c r="G12" s="52"/>
      <c r="H12" s="53"/>
      <c r="I12" s="51"/>
      <c r="J12" s="52"/>
      <c r="K12" s="53"/>
      <c r="L12" s="51"/>
    </row>
    <row r="13" spans="1:12" ht="33" customHeight="1" x14ac:dyDescent="0.3">
      <c r="A13" s="50"/>
      <c r="B13" s="48"/>
      <c r="C13" s="49"/>
      <c r="D13" s="49"/>
      <c r="E13" s="48"/>
      <c r="F13" s="51"/>
      <c r="G13" s="52"/>
      <c r="H13" s="53"/>
      <c r="I13" s="51"/>
      <c r="J13" s="52"/>
      <c r="K13" s="53"/>
      <c r="L13" s="51"/>
    </row>
    <row r="14" spans="1:12" ht="33" customHeight="1" x14ac:dyDescent="0.3">
      <c r="A14" s="50"/>
      <c r="B14" s="48"/>
      <c r="C14" s="49"/>
      <c r="D14" s="49"/>
      <c r="E14" s="48"/>
      <c r="F14" s="51"/>
      <c r="G14" s="52"/>
      <c r="H14" s="53"/>
      <c r="I14" s="51"/>
      <c r="J14" s="52"/>
      <c r="K14" s="53"/>
      <c r="L14" s="51"/>
    </row>
    <row r="15" spans="1:12" ht="33" customHeight="1" x14ac:dyDescent="0.3">
      <c r="A15" s="50"/>
      <c r="B15" s="48"/>
      <c r="C15" s="49"/>
      <c r="D15" s="49"/>
      <c r="E15" s="48"/>
      <c r="F15" s="51"/>
      <c r="G15" s="52"/>
      <c r="H15" s="53"/>
      <c r="I15" s="51"/>
      <c r="J15" s="52"/>
      <c r="K15" s="53"/>
      <c r="L15" s="51"/>
    </row>
    <row r="16" spans="1:12" ht="33" customHeight="1" x14ac:dyDescent="0.3">
      <c r="A16" s="50"/>
      <c r="B16" s="48"/>
      <c r="C16" s="49"/>
      <c r="D16" s="49"/>
      <c r="E16" s="48"/>
      <c r="F16" s="51"/>
      <c r="G16" s="52"/>
      <c r="H16" s="53"/>
      <c r="I16" s="51"/>
      <c r="J16" s="52"/>
      <c r="K16" s="53"/>
      <c r="L16" s="51"/>
    </row>
    <row r="17" spans="1:12" ht="33" customHeight="1" x14ac:dyDescent="0.3">
      <c r="A17" s="50"/>
      <c r="B17" s="48"/>
      <c r="C17" s="49"/>
      <c r="D17" s="49"/>
      <c r="E17" s="48"/>
      <c r="F17" s="51"/>
      <c r="G17" s="52"/>
      <c r="H17" s="53"/>
      <c r="I17" s="51"/>
      <c r="J17" s="52"/>
      <c r="K17" s="53"/>
      <c r="L17" s="51"/>
    </row>
    <row r="18" spans="1:12" ht="33" customHeight="1" x14ac:dyDescent="0.3">
      <c r="A18" s="50"/>
      <c r="B18" s="48"/>
      <c r="C18" s="49"/>
      <c r="D18" s="49"/>
      <c r="E18" s="48"/>
      <c r="F18" s="51"/>
      <c r="G18" s="52"/>
      <c r="H18" s="53"/>
      <c r="I18" s="51"/>
      <c r="J18" s="52"/>
      <c r="K18" s="53"/>
      <c r="L18" s="51"/>
    </row>
    <row r="19" spans="1:12" ht="33" customHeight="1" x14ac:dyDescent="0.3">
      <c r="A19" s="50"/>
      <c r="B19" s="48"/>
      <c r="C19" s="49"/>
      <c r="D19" s="49"/>
      <c r="E19" s="48"/>
      <c r="F19" s="51"/>
      <c r="G19" s="143"/>
      <c r="H19" s="53"/>
      <c r="I19" s="51"/>
      <c r="J19" s="52"/>
      <c r="K19" s="53"/>
      <c r="L19" s="51"/>
    </row>
    <row r="20" spans="1:12" ht="33" customHeight="1" x14ac:dyDescent="0.3">
      <c r="A20" s="50"/>
      <c r="B20" s="48"/>
      <c r="C20" s="49"/>
      <c r="D20" s="49"/>
      <c r="E20" s="48"/>
      <c r="F20" s="51"/>
      <c r="G20" s="52"/>
      <c r="H20" s="53"/>
      <c r="I20" s="51"/>
      <c r="J20" s="52"/>
      <c r="K20" s="53"/>
      <c r="L20" s="51"/>
    </row>
    <row r="21" spans="1:12" ht="33" customHeight="1" x14ac:dyDescent="0.3">
      <c r="A21" s="50"/>
      <c r="B21" s="48"/>
      <c r="C21" s="49"/>
      <c r="D21" s="49"/>
      <c r="E21" s="48"/>
      <c r="F21" s="51"/>
      <c r="G21" s="143"/>
      <c r="H21" s="53"/>
      <c r="I21" s="51"/>
      <c r="J21" s="52"/>
      <c r="K21" s="53"/>
      <c r="L21" s="51"/>
    </row>
    <row r="22" spans="1:12" ht="33" customHeight="1" x14ac:dyDescent="0.3">
      <c r="A22" s="50"/>
      <c r="B22" s="48"/>
      <c r="C22" s="49"/>
      <c r="D22" s="49"/>
      <c r="E22" s="48"/>
      <c r="F22" s="51"/>
      <c r="G22" s="143"/>
      <c r="H22" s="53"/>
      <c r="I22" s="51"/>
      <c r="J22" s="52"/>
      <c r="K22" s="53"/>
      <c r="L22" s="51"/>
    </row>
    <row r="23" spans="1:12" ht="33" customHeight="1" x14ac:dyDescent="0.3">
      <c r="A23" s="50"/>
      <c r="B23" s="48"/>
      <c r="C23" s="49"/>
      <c r="D23" s="49"/>
      <c r="E23" s="48"/>
      <c r="F23" s="51"/>
      <c r="G23" s="143"/>
      <c r="H23" s="53"/>
      <c r="I23" s="51"/>
      <c r="J23" s="52"/>
      <c r="K23" s="53"/>
      <c r="L23" s="51"/>
    </row>
    <row r="24" spans="1:12" ht="33" customHeight="1" x14ac:dyDescent="0.3">
      <c r="A24" s="50"/>
      <c r="B24" s="48"/>
      <c r="C24" s="49"/>
      <c r="D24" s="49"/>
      <c r="E24" s="48"/>
      <c r="F24" s="51"/>
      <c r="G24" s="143"/>
      <c r="H24" s="53"/>
      <c r="I24" s="51"/>
      <c r="J24" s="52"/>
      <c r="K24" s="53"/>
      <c r="L24" s="51"/>
    </row>
    <row r="25" spans="1:12" ht="33" customHeight="1" x14ac:dyDescent="0.3">
      <c r="A25" s="50"/>
      <c r="B25" s="48"/>
      <c r="C25" s="49"/>
      <c r="D25" s="49"/>
      <c r="E25" s="48"/>
      <c r="F25" s="51"/>
      <c r="G25" s="143"/>
      <c r="H25" s="53"/>
      <c r="I25" s="51"/>
      <c r="J25" s="52"/>
      <c r="K25" s="53"/>
      <c r="L25" s="51"/>
    </row>
    <row r="26" spans="1:12" ht="33" customHeight="1" x14ac:dyDescent="0.3">
      <c r="A26" s="50"/>
      <c r="B26" s="48"/>
      <c r="C26" s="49"/>
      <c r="D26" s="49"/>
      <c r="E26" s="48"/>
      <c r="F26" s="51"/>
      <c r="G26" s="143"/>
      <c r="H26" s="53"/>
      <c r="I26" s="51"/>
      <c r="J26" s="52"/>
      <c r="K26" s="53"/>
      <c r="L26" s="51"/>
    </row>
    <row r="27" spans="1:12" ht="33" customHeight="1" x14ac:dyDescent="0.3">
      <c r="A27" s="50"/>
      <c r="B27" s="48"/>
      <c r="C27" s="49"/>
      <c r="D27" s="49"/>
      <c r="E27" s="48"/>
      <c r="F27" s="51"/>
      <c r="G27" s="143"/>
      <c r="H27" s="53"/>
      <c r="I27" s="51"/>
      <c r="J27" s="52"/>
      <c r="K27" s="53"/>
      <c r="L27" s="51"/>
    </row>
    <row r="28" spans="1:12" ht="33" customHeight="1" x14ac:dyDescent="0.3">
      <c r="A28" s="50"/>
      <c r="B28" s="48"/>
      <c r="C28" s="49"/>
      <c r="D28" s="49"/>
      <c r="E28" s="48"/>
      <c r="F28" s="51"/>
      <c r="G28" s="143"/>
      <c r="H28" s="53"/>
      <c r="I28" s="51"/>
      <c r="J28" s="52"/>
      <c r="K28" s="53"/>
      <c r="L28" s="51"/>
    </row>
    <row r="29" spans="1:12" ht="33" customHeight="1" x14ac:dyDescent="0.3">
      <c r="A29" s="50"/>
      <c r="B29" s="48"/>
      <c r="C29" s="49"/>
      <c r="D29" s="49"/>
      <c r="E29" s="48"/>
      <c r="F29" s="51"/>
      <c r="G29" s="143"/>
      <c r="H29" s="53"/>
      <c r="I29" s="51"/>
      <c r="J29" s="52"/>
      <c r="K29" s="53"/>
      <c r="L29" s="51"/>
    </row>
    <row r="30" spans="1:12" ht="33" customHeight="1" thickBot="1" x14ac:dyDescent="0.35">
      <c r="A30" s="50"/>
      <c r="B30" s="48"/>
      <c r="C30" s="49"/>
      <c r="D30" s="49"/>
      <c r="E30" s="48"/>
      <c r="F30" s="51"/>
      <c r="G30" s="143"/>
      <c r="H30" s="53"/>
      <c r="I30" s="51"/>
      <c r="J30" s="52"/>
      <c r="K30" s="53"/>
      <c r="L30" s="51"/>
    </row>
    <row r="31" spans="1:12" ht="15" customHeight="1" x14ac:dyDescent="0.3">
      <c r="A31" s="71"/>
      <c r="B31" s="72"/>
      <c r="C31" s="303" t="s">
        <v>3</v>
      </c>
      <c r="D31" s="303"/>
      <c r="E31" s="73" t="s">
        <v>4</v>
      </c>
      <c r="F31" s="303" t="s">
        <v>5</v>
      </c>
      <c r="G31" s="303"/>
      <c r="H31" s="303"/>
      <c r="I31" s="303"/>
      <c r="J31" s="303"/>
      <c r="K31" s="73"/>
      <c r="L31" s="74" t="s">
        <v>6</v>
      </c>
    </row>
    <row r="32" spans="1:12" ht="15" customHeight="1" x14ac:dyDescent="0.3">
      <c r="A32" s="98" t="s">
        <v>7</v>
      </c>
      <c r="B32" s="54" t="s">
        <v>8</v>
      </c>
      <c r="C32" s="75" t="s">
        <v>94</v>
      </c>
      <c r="D32" s="75" t="s">
        <v>93</v>
      </c>
      <c r="E32" s="75" t="s">
        <v>9</v>
      </c>
      <c r="F32" s="75" t="s">
        <v>6</v>
      </c>
      <c r="G32" s="75" t="s">
        <v>10</v>
      </c>
      <c r="H32" s="76" t="s">
        <v>11</v>
      </c>
      <c r="I32" s="75" t="s">
        <v>6</v>
      </c>
      <c r="J32" s="75" t="s">
        <v>10</v>
      </c>
      <c r="K32" s="75"/>
      <c r="L32" s="77" t="s">
        <v>12</v>
      </c>
    </row>
    <row r="33" spans="1:12" ht="33" customHeight="1" x14ac:dyDescent="0.3">
      <c r="A33" s="50"/>
      <c r="B33" s="48"/>
      <c r="C33" s="49"/>
      <c r="D33" s="49"/>
      <c r="E33" s="48"/>
      <c r="F33" s="51"/>
      <c r="G33" s="52"/>
      <c r="H33" s="53"/>
      <c r="I33" s="51"/>
      <c r="J33" s="52"/>
      <c r="K33" s="53"/>
      <c r="L33" s="51"/>
    </row>
    <row r="34" spans="1:12" ht="33" customHeight="1" x14ac:dyDescent="0.3">
      <c r="A34" s="50"/>
      <c r="B34" s="48"/>
      <c r="C34" s="49"/>
      <c r="D34" s="49"/>
      <c r="E34" s="48"/>
      <c r="F34" s="51"/>
      <c r="G34" s="143"/>
      <c r="H34" s="53"/>
      <c r="I34" s="51"/>
      <c r="J34" s="52"/>
      <c r="K34" s="53"/>
      <c r="L34" s="51"/>
    </row>
    <row r="35" spans="1:12" ht="33" customHeight="1" x14ac:dyDescent="0.3">
      <c r="A35" s="50"/>
      <c r="B35" s="48"/>
      <c r="C35" s="49"/>
      <c r="D35" s="49"/>
      <c r="E35" s="48"/>
      <c r="F35" s="51"/>
      <c r="G35" s="52"/>
      <c r="H35" s="53"/>
      <c r="I35" s="51"/>
      <c r="J35" s="52"/>
      <c r="K35" s="53"/>
      <c r="L35" s="51"/>
    </row>
    <row r="36" spans="1:12" ht="33" customHeight="1" x14ac:dyDescent="0.3">
      <c r="A36" s="50"/>
      <c r="B36" s="48"/>
      <c r="C36" s="49"/>
      <c r="D36" s="49"/>
      <c r="E36" s="48"/>
      <c r="F36" s="51"/>
      <c r="G36" s="52"/>
      <c r="H36" s="53"/>
      <c r="I36" s="51"/>
      <c r="J36" s="52"/>
      <c r="K36" s="53"/>
      <c r="L36" s="51"/>
    </row>
    <row r="37" spans="1:12" ht="33" customHeight="1" x14ac:dyDescent="0.3">
      <c r="A37" s="50"/>
      <c r="B37" s="48"/>
      <c r="C37" s="49"/>
      <c r="D37" s="49"/>
      <c r="E37" s="48"/>
      <c r="F37" s="51"/>
      <c r="G37" s="52"/>
      <c r="H37" s="53"/>
      <c r="I37" s="51"/>
      <c r="J37" s="52"/>
      <c r="K37" s="53"/>
      <c r="L37" s="51"/>
    </row>
    <row r="38" spans="1:12" ht="33" customHeight="1" x14ac:dyDescent="0.3">
      <c r="A38" s="50"/>
      <c r="B38" s="48"/>
      <c r="C38" s="49"/>
      <c r="D38" s="49"/>
      <c r="E38" s="48"/>
      <c r="F38" s="51"/>
      <c r="G38" s="52"/>
      <c r="H38" s="53"/>
      <c r="I38" s="51"/>
      <c r="J38" s="52"/>
      <c r="K38" s="53"/>
      <c r="L38" s="51"/>
    </row>
    <row r="39" spans="1:12" ht="33" customHeight="1" x14ac:dyDescent="0.3">
      <c r="A39" s="50"/>
      <c r="B39" s="48"/>
      <c r="C39" s="49"/>
      <c r="D39" s="49"/>
      <c r="E39" s="48"/>
      <c r="F39" s="51"/>
      <c r="G39" s="52"/>
      <c r="H39" s="53"/>
      <c r="I39" s="51"/>
      <c r="J39" s="52"/>
      <c r="K39" s="53"/>
      <c r="L39" s="51"/>
    </row>
    <row r="40" spans="1:12" ht="33" customHeight="1" x14ac:dyDescent="0.3">
      <c r="A40" s="50"/>
      <c r="B40" s="48"/>
      <c r="C40" s="49"/>
      <c r="D40" s="49"/>
      <c r="E40" s="48"/>
      <c r="F40" s="51"/>
      <c r="G40" s="52"/>
      <c r="H40" s="53"/>
      <c r="I40" s="51"/>
      <c r="J40" s="52"/>
      <c r="K40" s="53"/>
      <c r="L40" s="51"/>
    </row>
    <row r="41" spans="1:12" ht="33" customHeight="1" x14ac:dyDescent="0.3">
      <c r="A41" s="50"/>
      <c r="B41" s="48"/>
      <c r="C41" s="49"/>
      <c r="D41" s="49"/>
      <c r="E41" s="48"/>
      <c r="F41" s="51"/>
      <c r="G41" s="52"/>
      <c r="H41" s="53"/>
      <c r="I41" s="51"/>
      <c r="J41" s="52"/>
      <c r="K41" s="53"/>
      <c r="L41" s="51"/>
    </row>
    <row r="42" spans="1:12" ht="33" customHeight="1" x14ac:dyDescent="0.3">
      <c r="A42" s="50"/>
      <c r="B42" s="48"/>
      <c r="C42" s="49"/>
      <c r="D42" s="49"/>
      <c r="E42" s="48"/>
      <c r="F42" s="51"/>
      <c r="G42" s="52"/>
      <c r="H42" s="53"/>
      <c r="I42" s="51"/>
      <c r="J42" s="52"/>
      <c r="K42" s="53"/>
      <c r="L42" s="51"/>
    </row>
    <row r="43" spans="1:12" ht="33" customHeight="1" x14ac:dyDescent="0.3">
      <c r="A43" s="50"/>
      <c r="B43" s="48"/>
      <c r="C43" s="49"/>
      <c r="D43" s="49"/>
      <c r="E43" s="48"/>
      <c r="F43" s="51"/>
      <c r="G43" s="52"/>
      <c r="H43" s="53"/>
      <c r="I43" s="51"/>
      <c r="J43" s="52"/>
      <c r="K43" s="53"/>
      <c r="L43" s="51"/>
    </row>
    <row r="44" spans="1:12" ht="33" customHeight="1" x14ac:dyDescent="0.3">
      <c r="A44" s="50"/>
      <c r="B44" s="48"/>
      <c r="C44" s="49"/>
      <c r="D44" s="49"/>
      <c r="E44" s="48"/>
      <c r="F44" s="51"/>
      <c r="G44" s="52"/>
      <c r="H44" s="53"/>
      <c r="I44" s="51"/>
      <c r="J44" s="52"/>
      <c r="K44" s="53"/>
      <c r="L44" s="51"/>
    </row>
    <row r="45" spans="1:12" ht="33" customHeight="1" x14ac:dyDescent="0.3">
      <c r="A45" s="50"/>
      <c r="B45" s="48"/>
      <c r="C45" s="49"/>
      <c r="D45" s="49"/>
      <c r="E45" s="48"/>
      <c r="F45" s="51"/>
      <c r="G45" s="52"/>
      <c r="H45" s="53"/>
      <c r="I45" s="51"/>
      <c r="J45" s="52"/>
      <c r="K45" s="53"/>
      <c r="L45" s="51"/>
    </row>
    <row r="46" spans="1:12" ht="33" customHeight="1" x14ac:dyDescent="0.3">
      <c r="A46" s="50"/>
      <c r="B46" s="48"/>
      <c r="C46" s="49"/>
      <c r="D46" s="49"/>
      <c r="E46" s="48"/>
      <c r="F46" s="51"/>
      <c r="G46" s="52"/>
      <c r="H46" s="53"/>
      <c r="I46" s="51"/>
      <c r="J46" s="52"/>
      <c r="K46" s="53"/>
      <c r="L46" s="51"/>
    </row>
    <row r="47" spans="1:12" ht="33" customHeight="1" x14ac:dyDescent="0.3">
      <c r="A47" s="50"/>
      <c r="B47" s="48"/>
      <c r="C47" s="49"/>
      <c r="D47" s="49"/>
      <c r="E47" s="48"/>
      <c r="F47" s="51"/>
      <c r="G47" s="52"/>
      <c r="H47" s="53"/>
      <c r="I47" s="51"/>
      <c r="J47" s="52"/>
      <c r="K47" s="53"/>
      <c r="L47" s="51"/>
    </row>
    <row r="48" spans="1:12" ht="33" customHeight="1" x14ac:dyDescent="0.3">
      <c r="A48" s="50"/>
      <c r="B48" s="48"/>
      <c r="C48" s="49"/>
      <c r="D48" s="49"/>
      <c r="E48" s="48"/>
      <c r="F48" s="51"/>
      <c r="G48" s="52"/>
      <c r="H48" s="53"/>
      <c r="I48" s="51"/>
      <c r="J48" s="52"/>
      <c r="K48" s="53"/>
      <c r="L48" s="51"/>
    </row>
    <row r="49" spans="1:12" ht="33" customHeight="1" x14ac:dyDescent="0.3">
      <c r="A49" s="50"/>
      <c r="B49" s="48"/>
      <c r="C49" s="49"/>
      <c r="D49" s="49"/>
      <c r="E49" s="48"/>
      <c r="F49" s="51"/>
      <c r="G49" s="52"/>
      <c r="H49" s="53"/>
      <c r="I49" s="51"/>
      <c r="J49" s="52"/>
      <c r="K49" s="53"/>
      <c r="L49" s="51"/>
    </row>
    <row r="50" spans="1:12" ht="33" customHeight="1" x14ac:dyDescent="0.3">
      <c r="A50" s="50"/>
      <c r="B50" s="48"/>
      <c r="C50" s="49"/>
      <c r="D50" s="49"/>
      <c r="E50" s="48"/>
      <c r="F50" s="51"/>
      <c r="G50" s="52"/>
      <c r="H50" s="53"/>
      <c r="I50" s="51"/>
      <c r="J50" s="52"/>
      <c r="K50" s="53"/>
      <c r="L50" s="51"/>
    </row>
    <row r="51" spans="1:12" ht="33" customHeight="1" x14ac:dyDescent="0.3">
      <c r="A51" s="50"/>
      <c r="B51" s="48"/>
      <c r="C51" s="49"/>
      <c r="D51" s="49"/>
      <c r="E51" s="48"/>
      <c r="F51" s="51"/>
      <c r="G51" s="52"/>
      <c r="H51" s="53"/>
      <c r="I51" s="51"/>
      <c r="J51" s="52"/>
      <c r="K51" s="53"/>
      <c r="L51" s="51"/>
    </row>
    <row r="52" spans="1:12" ht="33" customHeight="1" x14ac:dyDescent="0.3">
      <c r="A52" s="50"/>
      <c r="B52" s="48"/>
      <c r="C52" s="49"/>
      <c r="D52" s="49"/>
      <c r="E52" s="48"/>
      <c r="F52" s="51"/>
      <c r="G52" s="52"/>
      <c r="H52" s="53"/>
      <c r="I52" s="51"/>
      <c r="J52" s="52"/>
      <c r="K52" s="53"/>
      <c r="L52" s="51"/>
    </row>
    <row r="53" spans="1:12" ht="33" customHeight="1" x14ac:dyDescent="0.3">
      <c r="A53" s="50"/>
      <c r="B53" s="48"/>
      <c r="C53" s="49"/>
      <c r="D53" s="49"/>
      <c r="E53" s="48"/>
      <c r="F53" s="51"/>
      <c r="G53" s="52"/>
      <c r="H53" s="53"/>
      <c r="I53" s="51"/>
      <c r="J53" s="52"/>
      <c r="K53" s="53"/>
      <c r="L53" s="51"/>
    </row>
    <row r="54" spans="1:12" ht="33" customHeight="1" x14ac:dyDescent="0.3">
      <c r="A54" s="50"/>
      <c r="B54" s="48"/>
      <c r="C54" s="49"/>
      <c r="D54" s="49"/>
      <c r="E54" s="48"/>
      <c r="F54" s="51"/>
      <c r="G54" s="52"/>
      <c r="H54" s="53"/>
      <c r="I54" s="51"/>
      <c r="J54" s="52"/>
      <c r="K54" s="53"/>
      <c r="L54" s="51"/>
    </row>
    <row r="55" spans="1:12" ht="33" customHeight="1" x14ac:dyDescent="0.3">
      <c r="A55" s="50"/>
      <c r="B55" s="48"/>
      <c r="C55" s="49"/>
      <c r="D55" s="49"/>
      <c r="E55" s="48"/>
      <c r="F55" s="51"/>
      <c r="G55" s="52"/>
      <c r="H55" s="53"/>
      <c r="I55" s="51"/>
      <c r="J55" s="52"/>
      <c r="K55" s="53"/>
      <c r="L55" s="51"/>
    </row>
    <row r="56" spans="1:12" ht="33" customHeight="1" x14ac:dyDescent="0.3">
      <c r="A56" s="50"/>
      <c r="B56" s="48"/>
      <c r="C56" s="49"/>
      <c r="D56" s="49"/>
      <c r="E56" s="48"/>
      <c r="F56" s="51"/>
      <c r="G56" s="52"/>
      <c r="H56" s="53"/>
      <c r="I56" s="51"/>
      <c r="J56" s="52"/>
      <c r="K56" s="53"/>
      <c r="L56" s="51"/>
    </row>
    <row r="57" spans="1:12" ht="33" customHeight="1" x14ac:dyDescent="0.3">
      <c r="A57" s="50"/>
      <c r="B57" s="48"/>
      <c r="C57" s="49"/>
      <c r="D57" s="49"/>
      <c r="E57" s="48"/>
      <c r="F57" s="51"/>
      <c r="G57" s="52"/>
      <c r="H57" s="53"/>
      <c r="I57" s="51"/>
      <c r="J57" s="52"/>
      <c r="K57" s="53"/>
      <c r="L57" s="51"/>
    </row>
    <row r="58" spans="1:12" ht="33" customHeight="1" x14ac:dyDescent="0.3">
      <c r="A58" s="50"/>
      <c r="B58" s="48"/>
      <c r="C58" s="49"/>
      <c r="D58" s="49"/>
      <c r="E58" s="48"/>
      <c r="F58" s="51"/>
      <c r="G58" s="52"/>
      <c r="H58" s="53"/>
      <c r="I58" s="51"/>
      <c r="J58" s="52"/>
      <c r="K58" s="53"/>
      <c r="L58" s="51"/>
    </row>
    <row r="59" spans="1:12" ht="33" customHeight="1" thickBot="1" x14ac:dyDescent="0.35">
      <c r="A59" s="50"/>
      <c r="B59" s="48"/>
      <c r="C59" s="49"/>
      <c r="D59" s="49"/>
      <c r="E59" s="48"/>
      <c r="F59" s="51"/>
      <c r="G59" s="52"/>
      <c r="H59" s="53"/>
      <c r="I59" s="51"/>
      <c r="J59" s="52"/>
      <c r="K59" s="53"/>
      <c r="L59" s="51"/>
    </row>
    <row r="60" spans="1:12" ht="15" customHeight="1" x14ac:dyDescent="0.3">
      <c r="A60" s="71"/>
      <c r="B60" s="72"/>
      <c r="C60" s="303" t="s">
        <v>3</v>
      </c>
      <c r="D60" s="303"/>
      <c r="E60" s="73" t="s">
        <v>4</v>
      </c>
      <c r="F60" s="303" t="s">
        <v>5</v>
      </c>
      <c r="G60" s="303"/>
      <c r="H60" s="303"/>
      <c r="I60" s="303"/>
      <c r="J60" s="303"/>
      <c r="K60" s="73"/>
      <c r="L60" s="74" t="s">
        <v>6</v>
      </c>
    </row>
    <row r="61" spans="1:12" ht="15" customHeight="1" x14ac:dyDescent="0.3">
      <c r="A61" s="98" t="s">
        <v>7</v>
      </c>
      <c r="B61" s="54" t="s">
        <v>8</v>
      </c>
      <c r="C61" s="75" t="s">
        <v>94</v>
      </c>
      <c r="D61" s="75" t="s">
        <v>93</v>
      </c>
      <c r="E61" s="75" t="s">
        <v>9</v>
      </c>
      <c r="F61" s="75" t="s">
        <v>6</v>
      </c>
      <c r="G61" s="75" t="s">
        <v>10</v>
      </c>
      <c r="H61" s="76" t="s">
        <v>11</v>
      </c>
      <c r="I61" s="75" t="s">
        <v>6</v>
      </c>
      <c r="J61" s="75" t="s">
        <v>10</v>
      </c>
      <c r="K61" s="75"/>
      <c r="L61" s="77" t="s">
        <v>12</v>
      </c>
    </row>
    <row r="62" spans="1:12" ht="33" customHeight="1" x14ac:dyDescent="0.3">
      <c r="A62" s="50"/>
      <c r="B62" s="48"/>
      <c r="C62" s="49"/>
      <c r="D62" s="49"/>
      <c r="E62" s="48"/>
      <c r="F62" s="51"/>
      <c r="G62" s="52"/>
      <c r="H62" s="53"/>
      <c r="I62" s="51"/>
      <c r="J62" s="52"/>
      <c r="K62" s="53"/>
      <c r="L62" s="51"/>
    </row>
    <row r="63" spans="1:12" ht="33" customHeight="1" x14ac:dyDescent="0.3">
      <c r="A63" s="50"/>
      <c r="B63" s="48"/>
      <c r="C63" s="49"/>
      <c r="D63" s="49"/>
      <c r="E63" s="48"/>
      <c r="F63" s="51"/>
      <c r="G63" s="52"/>
      <c r="H63" s="53"/>
      <c r="I63" s="51"/>
      <c r="J63" s="52"/>
      <c r="K63" s="53"/>
      <c r="L63" s="51"/>
    </row>
    <row r="64" spans="1:12" ht="33" customHeight="1" x14ac:dyDescent="0.3">
      <c r="A64" s="50"/>
      <c r="B64" s="48"/>
      <c r="C64" s="49"/>
      <c r="D64" s="49"/>
      <c r="E64" s="48"/>
      <c r="F64" s="51"/>
      <c r="G64" s="52"/>
      <c r="H64" s="53"/>
      <c r="I64" s="51"/>
      <c r="J64" s="52"/>
      <c r="K64" s="53"/>
      <c r="L64" s="51"/>
    </row>
    <row r="65" spans="1:12" ht="33" customHeight="1" x14ac:dyDescent="0.3">
      <c r="A65" s="50"/>
      <c r="B65" s="48"/>
      <c r="C65" s="49"/>
      <c r="D65" s="49"/>
      <c r="E65" s="48"/>
      <c r="F65" s="51"/>
      <c r="G65" s="52"/>
      <c r="H65" s="53"/>
      <c r="I65" s="51"/>
      <c r="J65" s="52"/>
      <c r="K65" s="53"/>
      <c r="L65" s="51"/>
    </row>
    <row r="66" spans="1:12" ht="33" customHeight="1" x14ac:dyDescent="0.3">
      <c r="A66" s="50"/>
      <c r="B66" s="48"/>
      <c r="C66" s="49"/>
      <c r="D66" s="49"/>
      <c r="E66" s="48"/>
      <c r="F66" s="51"/>
      <c r="G66" s="52"/>
      <c r="H66" s="53"/>
      <c r="I66" s="51"/>
      <c r="J66" s="52"/>
      <c r="K66" s="53"/>
      <c r="L66" s="51"/>
    </row>
    <row r="67" spans="1:12" ht="33" customHeight="1" x14ac:dyDescent="0.3">
      <c r="A67" s="50"/>
      <c r="B67" s="48"/>
      <c r="C67" s="49"/>
      <c r="D67" s="49"/>
      <c r="E67" s="48"/>
      <c r="F67" s="51"/>
      <c r="G67" s="52"/>
      <c r="H67" s="53"/>
      <c r="I67" s="51"/>
      <c r="J67" s="52"/>
      <c r="K67" s="53"/>
      <c r="L67" s="51"/>
    </row>
    <row r="68" spans="1:12" ht="33" customHeight="1" x14ac:dyDescent="0.3">
      <c r="A68" s="50"/>
      <c r="B68" s="48"/>
      <c r="C68" s="49"/>
      <c r="D68" s="49"/>
      <c r="E68" s="48"/>
      <c r="F68" s="51"/>
      <c r="G68" s="52"/>
      <c r="H68" s="53"/>
      <c r="I68" s="51"/>
      <c r="J68" s="52"/>
      <c r="K68" s="53"/>
      <c r="L68" s="51"/>
    </row>
    <row r="69" spans="1:12" ht="33" customHeight="1" x14ac:dyDescent="0.3">
      <c r="A69" s="50"/>
      <c r="B69" s="48"/>
      <c r="C69" s="49"/>
      <c r="D69" s="49"/>
      <c r="E69" s="48"/>
      <c r="F69" s="51"/>
      <c r="G69" s="52"/>
      <c r="H69" s="53"/>
      <c r="I69" s="51"/>
      <c r="J69" s="52"/>
      <c r="K69" s="53"/>
      <c r="L69" s="51"/>
    </row>
    <row r="70" spans="1:12" ht="33" customHeight="1" x14ac:dyDescent="0.3">
      <c r="A70" s="50"/>
      <c r="B70" s="48"/>
      <c r="C70" s="49"/>
      <c r="D70" s="49"/>
      <c r="E70" s="48"/>
      <c r="F70" s="51"/>
      <c r="G70" s="52"/>
      <c r="H70" s="53"/>
      <c r="I70" s="51"/>
      <c r="J70" s="52"/>
      <c r="K70" s="53"/>
      <c r="L70" s="51"/>
    </row>
    <row r="71" spans="1:12" ht="33" customHeight="1" x14ac:dyDescent="0.3">
      <c r="A71" s="50"/>
      <c r="B71" s="48"/>
      <c r="C71" s="49"/>
      <c r="D71" s="49"/>
      <c r="E71" s="48"/>
      <c r="F71" s="51"/>
      <c r="G71" s="52"/>
      <c r="H71" s="53"/>
      <c r="I71" s="51"/>
      <c r="J71" s="52"/>
      <c r="K71" s="53"/>
      <c r="L71" s="51"/>
    </row>
    <row r="72" spans="1:12" ht="33" customHeight="1" x14ac:dyDescent="0.3">
      <c r="A72" s="50"/>
      <c r="B72" s="48"/>
      <c r="C72" s="49"/>
      <c r="D72" s="49"/>
      <c r="E72" s="48"/>
      <c r="F72" s="51"/>
      <c r="G72" s="52"/>
      <c r="H72" s="53"/>
      <c r="I72" s="51"/>
      <c r="J72" s="52"/>
      <c r="K72" s="53"/>
      <c r="L72" s="51"/>
    </row>
    <row r="73" spans="1:12" ht="33" customHeight="1" x14ac:dyDescent="0.3">
      <c r="A73" s="50"/>
      <c r="B73" s="48"/>
      <c r="C73" s="49"/>
      <c r="D73" s="49"/>
      <c r="E73" s="48"/>
      <c r="F73" s="51"/>
      <c r="G73" s="52"/>
      <c r="H73" s="53"/>
      <c r="I73" s="51"/>
      <c r="J73" s="52"/>
      <c r="K73" s="53"/>
      <c r="L73" s="51"/>
    </row>
    <row r="74" spans="1:12" ht="33" customHeight="1" x14ac:dyDescent="0.3">
      <c r="A74" s="50"/>
      <c r="B74" s="48"/>
      <c r="C74" s="49"/>
      <c r="D74" s="49"/>
      <c r="E74" s="48"/>
      <c r="F74" s="51"/>
      <c r="G74" s="52"/>
      <c r="H74" s="53"/>
      <c r="I74" s="51"/>
      <c r="J74" s="52"/>
      <c r="K74" s="53"/>
      <c r="L74" s="51"/>
    </row>
    <row r="75" spans="1:12" ht="33" customHeight="1" x14ac:dyDescent="0.3">
      <c r="A75" s="50"/>
      <c r="B75" s="48"/>
      <c r="C75" s="49"/>
      <c r="D75" s="49"/>
      <c r="E75" s="48"/>
      <c r="F75" s="51"/>
      <c r="G75" s="52"/>
      <c r="H75" s="53"/>
      <c r="I75" s="51"/>
      <c r="J75" s="52"/>
      <c r="K75" s="53"/>
      <c r="L75" s="51"/>
    </row>
    <row r="76" spans="1:12" ht="33" customHeight="1" x14ac:dyDescent="0.3">
      <c r="A76" s="50"/>
      <c r="B76" s="48"/>
      <c r="C76" s="49"/>
      <c r="D76" s="49"/>
      <c r="E76" s="48"/>
      <c r="F76" s="51"/>
      <c r="G76" s="52"/>
      <c r="H76" s="53"/>
      <c r="I76" s="51"/>
      <c r="J76" s="52"/>
      <c r="K76" s="53"/>
      <c r="L76" s="51"/>
    </row>
    <row r="77" spans="1:12" ht="33" customHeight="1" x14ac:dyDescent="0.3">
      <c r="A77" s="50"/>
      <c r="B77" s="48"/>
      <c r="C77" s="49"/>
      <c r="D77" s="49"/>
      <c r="E77" s="48"/>
      <c r="F77" s="51"/>
      <c r="G77" s="52"/>
      <c r="H77" s="53"/>
      <c r="I77" s="51"/>
      <c r="J77" s="52"/>
      <c r="K77" s="53"/>
      <c r="L77" s="51"/>
    </row>
    <row r="78" spans="1:12" ht="33" customHeight="1" x14ac:dyDescent="0.3">
      <c r="A78" s="50"/>
      <c r="B78" s="48"/>
      <c r="C78" s="49"/>
      <c r="D78" s="49"/>
      <c r="E78" s="48"/>
      <c r="F78" s="51"/>
      <c r="G78" s="52"/>
      <c r="H78" s="53"/>
      <c r="I78" s="51"/>
      <c r="J78" s="52"/>
      <c r="K78" s="53"/>
      <c r="L78" s="51"/>
    </row>
    <row r="79" spans="1:12" ht="33" customHeight="1" x14ac:dyDescent="0.3">
      <c r="A79" s="50"/>
      <c r="B79" s="48"/>
      <c r="C79" s="49"/>
      <c r="D79" s="49"/>
      <c r="E79" s="48"/>
      <c r="F79" s="51"/>
      <c r="G79" s="52"/>
      <c r="H79" s="53"/>
      <c r="I79" s="51"/>
      <c r="J79" s="52"/>
      <c r="K79" s="53"/>
      <c r="L79" s="51"/>
    </row>
    <row r="80" spans="1:12" ht="33" customHeight="1" x14ac:dyDescent="0.3">
      <c r="A80" s="50"/>
      <c r="B80" s="48"/>
      <c r="C80" s="49"/>
      <c r="D80" s="49"/>
      <c r="E80" s="48"/>
      <c r="F80" s="51"/>
      <c r="G80" s="52"/>
      <c r="H80" s="53"/>
      <c r="I80" s="51"/>
      <c r="J80" s="52"/>
      <c r="K80" s="53"/>
      <c r="L80" s="51"/>
    </row>
    <row r="81" spans="1:29" ht="33" customHeight="1" x14ac:dyDescent="0.3">
      <c r="A81" s="50"/>
      <c r="B81" s="48"/>
      <c r="C81" s="49"/>
      <c r="D81" s="49"/>
      <c r="E81" s="48"/>
      <c r="F81" s="51"/>
      <c r="G81" s="52"/>
      <c r="H81" s="53"/>
      <c r="I81" s="51"/>
      <c r="J81" s="52"/>
      <c r="K81" s="53"/>
      <c r="L81" s="51"/>
    </row>
    <row r="82" spans="1:29" ht="33" customHeight="1" x14ac:dyDescent="0.3">
      <c r="A82" s="50"/>
      <c r="B82" s="48"/>
      <c r="C82" s="49"/>
      <c r="D82" s="49"/>
      <c r="E82" s="48"/>
      <c r="F82" s="51"/>
      <c r="G82" s="52"/>
      <c r="H82" s="53"/>
      <c r="I82" s="51"/>
      <c r="J82" s="52"/>
      <c r="K82" s="53"/>
      <c r="L82" s="51"/>
    </row>
    <row r="83" spans="1:29" ht="33" customHeight="1" x14ac:dyDescent="0.3">
      <c r="A83" s="50"/>
      <c r="B83" s="48"/>
      <c r="C83" s="49"/>
      <c r="D83" s="49"/>
      <c r="E83" s="48"/>
      <c r="F83" s="51"/>
      <c r="G83" s="52"/>
      <c r="H83" s="53"/>
      <c r="I83" s="51"/>
      <c r="J83" s="52"/>
      <c r="K83" s="53"/>
      <c r="L83" s="51"/>
    </row>
    <row r="84" spans="1:29" ht="33" customHeight="1" x14ac:dyDescent="0.3">
      <c r="A84" s="50"/>
      <c r="B84" s="48"/>
      <c r="C84" s="49"/>
      <c r="D84" s="49"/>
      <c r="E84" s="48"/>
      <c r="F84" s="51"/>
      <c r="G84" s="52"/>
      <c r="H84" s="53"/>
      <c r="I84" s="51"/>
      <c r="J84" s="52"/>
      <c r="K84" s="53"/>
      <c r="L84" s="51"/>
    </row>
    <row r="85" spans="1:29" ht="33" customHeight="1" x14ac:dyDescent="0.3">
      <c r="A85" s="50"/>
      <c r="B85" s="48"/>
      <c r="C85" s="49"/>
      <c r="D85" s="49"/>
      <c r="E85" s="48"/>
      <c r="F85" s="51"/>
      <c r="G85" s="52"/>
      <c r="H85" s="53"/>
      <c r="I85" s="51"/>
      <c r="J85" s="52"/>
      <c r="K85" s="53"/>
      <c r="L85" s="51"/>
    </row>
    <row r="86" spans="1:29" ht="33" customHeight="1" x14ac:dyDescent="0.3">
      <c r="A86" s="50"/>
      <c r="B86" s="48"/>
      <c r="C86" s="49"/>
      <c r="D86" s="49"/>
      <c r="E86" s="48"/>
      <c r="F86" s="51"/>
      <c r="G86" s="52"/>
      <c r="H86" s="53"/>
      <c r="I86" s="51"/>
      <c r="J86" s="52"/>
      <c r="K86" s="53"/>
      <c r="L86" s="51"/>
    </row>
    <row r="87" spans="1:29" ht="33" customHeight="1" x14ac:dyDescent="0.3">
      <c r="A87" s="50"/>
      <c r="B87" s="48"/>
      <c r="C87" s="49"/>
      <c r="D87" s="49"/>
      <c r="E87" s="48"/>
      <c r="F87" s="51"/>
      <c r="G87" s="52"/>
      <c r="H87" s="53"/>
      <c r="I87" s="51"/>
      <c r="J87" s="52"/>
      <c r="K87" s="53"/>
      <c r="L87" s="51"/>
    </row>
    <row r="88" spans="1:29" ht="33" customHeight="1" x14ac:dyDescent="0.3">
      <c r="A88" s="50"/>
      <c r="B88" s="48"/>
      <c r="C88" s="49"/>
      <c r="D88" s="49"/>
      <c r="E88" s="48"/>
      <c r="F88" s="51"/>
      <c r="G88" s="52"/>
      <c r="H88" s="53"/>
      <c r="I88" s="51"/>
      <c r="J88" s="52"/>
      <c r="K88" s="53"/>
      <c r="L88" s="51"/>
    </row>
    <row r="89" spans="1:29" x14ac:dyDescent="0.3">
      <c r="AC89" s="10" t="s">
        <v>107</v>
      </c>
    </row>
  </sheetData>
  <mergeCells count="6">
    <mergeCell ref="C60:D60"/>
    <mergeCell ref="F60:J60"/>
    <mergeCell ref="C7:D7"/>
    <mergeCell ref="F7:J7"/>
    <mergeCell ref="C31:D31"/>
    <mergeCell ref="F31:J31"/>
  </mergeCells>
  <pageMargins left="0.61" right="0.37" top="0.62" bottom="0.79" header="0.27" footer="0.39"/>
  <pageSetup scale="57" fitToHeight="0" orientation="landscape" horizontalDpi="360" verticalDpi="360" r:id="rId1"/>
  <headerFooter alignWithMargins="0"/>
  <rowBreaks count="2" manualBreakCount="2">
    <brk id="30" max="11" man="1"/>
    <brk id="5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E80E-5FEF-40B7-8E16-FB9208F88018}">
  <sheetPr>
    <tabColor indexed="42"/>
    <pageSetUpPr fitToPage="1"/>
  </sheetPr>
  <dimension ref="A1:BH193"/>
  <sheetViews>
    <sheetView view="pageBreakPreview" topLeftCell="C118" zoomScaleNormal="80" zoomScaleSheetLayoutView="100" workbookViewId="0">
      <selection activeCell="AC126" sqref="AC126"/>
    </sheetView>
  </sheetViews>
  <sheetFormatPr defaultRowHeight="15.6" x14ac:dyDescent="0.3"/>
  <cols>
    <col min="1" max="2" width="4.6640625" style="33" customWidth="1"/>
    <col min="3" max="3" width="18.6640625" style="13" bestFit="1" customWidth="1"/>
    <col min="4" max="4" width="2" style="10" customWidth="1"/>
    <col min="5" max="53" width="4.33203125" style="10" customWidth="1"/>
    <col min="54" max="54" width="4.6640625" style="10" customWidth="1"/>
    <col min="55" max="55" width="4.6640625" style="136" customWidth="1"/>
    <col min="56" max="59" width="4.6640625" style="33" customWidth="1"/>
    <col min="60" max="60" width="7.5546875" style="33" customWidth="1"/>
    <col min="61" max="124" width="4.6640625" style="10" customWidth="1"/>
    <col min="125" max="256" width="9.109375" style="10"/>
    <col min="257" max="257" width="15.6640625" style="10" customWidth="1"/>
    <col min="258" max="258" width="2" style="10" customWidth="1"/>
    <col min="259" max="307" width="3.6640625" style="10" customWidth="1"/>
    <col min="308" max="380" width="4.6640625" style="10" customWidth="1"/>
    <col min="381" max="512" width="9.109375" style="10"/>
    <col min="513" max="513" width="15.6640625" style="10" customWidth="1"/>
    <col min="514" max="514" width="2" style="10" customWidth="1"/>
    <col min="515" max="563" width="3.6640625" style="10" customWidth="1"/>
    <col min="564" max="636" width="4.6640625" style="10" customWidth="1"/>
    <col min="637" max="768" width="9.109375" style="10"/>
    <col min="769" max="769" width="15.6640625" style="10" customWidth="1"/>
    <col min="770" max="770" width="2" style="10" customWidth="1"/>
    <col min="771" max="819" width="3.6640625" style="10" customWidth="1"/>
    <col min="820" max="892" width="4.6640625" style="10" customWidth="1"/>
    <col min="893" max="1024" width="9.109375" style="10"/>
    <col min="1025" max="1025" width="15.6640625" style="10" customWidth="1"/>
    <col min="1026" max="1026" width="2" style="10" customWidth="1"/>
    <col min="1027" max="1075" width="3.6640625" style="10" customWidth="1"/>
    <col min="1076" max="1148" width="4.6640625" style="10" customWidth="1"/>
    <col min="1149" max="1280" width="9.109375" style="10"/>
    <col min="1281" max="1281" width="15.6640625" style="10" customWidth="1"/>
    <col min="1282" max="1282" width="2" style="10" customWidth="1"/>
    <col min="1283" max="1331" width="3.6640625" style="10" customWidth="1"/>
    <col min="1332" max="1404" width="4.6640625" style="10" customWidth="1"/>
    <col min="1405" max="1536" width="9.109375" style="10"/>
    <col min="1537" max="1537" width="15.6640625" style="10" customWidth="1"/>
    <col min="1538" max="1538" width="2" style="10" customWidth="1"/>
    <col min="1539" max="1587" width="3.6640625" style="10" customWidth="1"/>
    <col min="1588" max="1660" width="4.6640625" style="10" customWidth="1"/>
    <col min="1661" max="1792" width="9.109375" style="10"/>
    <col min="1793" max="1793" width="15.6640625" style="10" customWidth="1"/>
    <col min="1794" max="1794" width="2" style="10" customWidth="1"/>
    <col min="1795" max="1843" width="3.6640625" style="10" customWidth="1"/>
    <col min="1844" max="1916" width="4.6640625" style="10" customWidth="1"/>
    <col min="1917" max="2048" width="9.109375" style="10"/>
    <col min="2049" max="2049" width="15.6640625" style="10" customWidth="1"/>
    <col min="2050" max="2050" width="2" style="10" customWidth="1"/>
    <col min="2051" max="2099" width="3.6640625" style="10" customWidth="1"/>
    <col min="2100" max="2172" width="4.6640625" style="10" customWidth="1"/>
    <col min="2173" max="2304" width="9.109375" style="10"/>
    <col min="2305" max="2305" width="15.6640625" style="10" customWidth="1"/>
    <col min="2306" max="2306" width="2" style="10" customWidth="1"/>
    <col min="2307" max="2355" width="3.6640625" style="10" customWidth="1"/>
    <col min="2356" max="2428" width="4.6640625" style="10" customWidth="1"/>
    <col min="2429" max="2560" width="9.109375" style="10"/>
    <col min="2561" max="2561" width="15.6640625" style="10" customWidth="1"/>
    <col min="2562" max="2562" width="2" style="10" customWidth="1"/>
    <col min="2563" max="2611" width="3.6640625" style="10" customWidth="1"/>
    <col min="2612" max="2684" width="4.6640625" style="10" customWidth="1"/>
    <col min="2685" max="2816" width="9.109375" style="10"/>
    <col min="2817" max="2817" width="15.6640625" style="10" customWidth="1"/>
    <col min="2818" max="2818" width="2" style="10" customWidth="1"/>
    <col min="2819" max="2867" width="3.6640625" style="10" customWidth="1"/>
    <col min="2868" max="2940" width="4.6640625" style="10" customWidth="1"/>
    <col min="2941" max="3072" width="9.109375" style="10"/>
    <col min="3073" max="3073" width="15.6640625" style="10" customWidth="1"/>
    <col min="3074" max="3074" width="2" style="10" customWidth="1"/>
    <col min="3075" max="3123" width="3.6640625" style="10" customWidth="1"/>
    <col min="3124" max="3196" width="4.6640625" style="10" customWidth="1"/>
    <col min="3197" max="3328" width="9.109375" style="10"/>
    <col min="3329" max="3329" width="15.6640625" style="10" customWidth="1"/>
    <col min="3330" max="3330" width="2" style="10" customWidth="1"/>
    <col min="3331" max="3379" width="3.6640625" style="10" customWidth="1"/>
    <col min="3380" max="3452" width="4.6640625" style="10" customWidth="1"/>
    <col min="3453" max="3584" width="9.109375" style="10"/>
    <col min="3585" max="3585" width="15.6640625" style="10" customWidth="1"/>
    <col min="3586" max="3586" width="2" style="10" customWidth="1"/>
    <col min="3587" max="3635" width="3.6640625" style="10" customWidth="1"/>
    <col min="3636" max="3708" width="4.6640625" style="10" customWidth="1"/>
    <col min="3709" max="3840" width="9.109375" style="10"/>
    <col min="3841" max="3841" width="15.6640625" style="10" customWidth="1"/>
    <col min="3842" max="3842" width="2" style="10" customWidth="1"/>
    <col min="3843" max="3891" width="3.6640625" style="10" customWidth="1"/>
    <col min="3892" max="3964" width="4.6640625" style="10" customWidth="1"/>
    <col min="3965" max="4096" width="9.109375" style="10"/>
    <col min="4097" max="4097" width="15.6640625" style="10" customWidth="1"/>
    <col min="4098" max="4098" width="2" style="10" customWidth="1"/>
    <col min="4099" max="4147" width="3.6640625" style="10" customWidth="1"/>
    <col min="4148" max="4220" width="4.6640625" style="10" customWidth="1"/>
    <col min="4221" max="4352" width="9.109375" style="10"/>
    <col min="4353" max="4353" width="15.6640625" style="10" customWidth="1"/>
    <col min="4354" max="4354" width="2" style="10" customWidth="1"/>
    <col min="4355" max="4403" width="3.6640625" style="10" customWidth="1"/>
    <col min="4404" max="4476" width="4.6640625" style="10" customWidth="1"/>
    <col min="4477" max="4608" width="9.109375" style="10"/>
    <col min="4609" max="4609" width="15.6640625" style="10" customWidth="1"/>
    <col min="4610" max="4610" width="2" style="10" customWidth="1"/>
    <col min="4611" max="4659" width="3.6640625" style="10" customWidth="1"/>
    <col min="4660" max="4732" width="4.6640625" style="10" customWidth="1"/>
    <col min="4733" max="4864" width="9.109375" style="10"/>
    <col min="4865" max="4865" width="15.6640625" style="10" customWidth="1"/>
    <col min="4866" max="4866" width="2" style="10" customWidth="1"/>
    <col min="4867" max="4915" width="3.6640625" style="10" customWidth="1"/>
    <col min="4916" max="4988" width="4.6640625" style="10" customWidth="1"/>
    <col min="4989" max="5120" width="9.109375" style="10"/>
    <col min="5121" max="5121" width="15.6640625" style="10" customWidth="1"/>
    <col min="5122" max="5122" width="2" style="10" customWidth="1"/>
    <col min="5123" max="5171" width="3.6640625" style="10" customWidth="1"/>
    <col min="5172" max="5244" width="4.6640625" style="10" customWidth="1"/>
    <col min="5245" max="5376" width="9.109375" style="10"/>
    <col min="5377" max="5377" width="15.6640625" style="10" customWidth="1"/>
    <col min="5378" max="5378" width="2" style="10" customWidth="1"/>
    <col min="5379" max="5427" width="3.6640625" style="10" customWidth="1"/>
    <col min="5428" max="5500" width="4.6640625" style="10" customWidth="1"/>
    <col min="5501" max="5632" width="9.109375" style="10"/>
    <col min="5633" max="5633" width="15.6640625" style="10" customWidth="1"/>
    <col min="5634" max="5634" width="2" style="10" customWidth="1"/>
    <col min="5635" max="5683" width="3.6640625" style="10" customWidth="1"/>
    <col min="5684" max="5756" width="4.6640625" style="10" customWidth="1"/>
    <col min="5757" max="5888" width="9.109375" style="10"/>
    <col min="5889" max="5889" width="15.6640625" style="10" customWidth="1"/>
    <col min="5890" max="5890" width="2" style="10" customWidth="1"/>
    <col min="5891" max="5939" width="3.6640625" style="10" customWidth="1"/>
    <col min="5940" max="6012" width="4.6640625" style="10" customWidth="1"/>
    <col min="6013" max="6144" width="9.109375" style="10"/>
    <col min="6145" max="6145" width="15.6640625" style="10" customWidth="1"/>
    <col min="6146" max="6146" width="2" style="10" customWidth="1"/>
    <col min="6147" max="6195" width="3.6640625" style="10" customWidth="1"/>
    <col min="6196" max="6268" width="4.6640625" style="10" customWidth="1"/>
    <col min="6269" max="6400" width="9.109375" style="10"/>
    <col min="6401" max="6401" width="15.6640625" style="10" customWidth="1"/>
    <col min="6402" max="6402" width="2" style="10" customWidth="1"/>
    <col min="6403" max="6451" width="3.6640625" style="10" customWidth="1"/>
    <col min="6452" max="6524" width="4.6640625" style="10" customWidth="1"/>
    <col min="6525" max="6656" width="9.109375" style="10"/>
    <col min="6657" max="6657" width="15.6640625" style="10" customWidth="1"/>
    <col min="6658" max="6658" width="2" style="10" customWidth="1"/>
    <col min="6659" max="6707" width="3.6640625" style="10" customWidth="1"/>
    <col min="6708" max="6780" width="4.6640625" style="10" customWidth="1"/>
    <col min="6781" max="6912" width="9.109375" style="10"/>
    <col min="6913" max="6913" width="15.6640625" style="10" customWidth="1"/>
    <col min="6914" max="6914" width="2" style="10" customWidth="1"/>
    <col min="6915" max="6963" width="3.6640625" style="10" customWidth="1"/>
    <col min="6964" max="7036" width="4.6640625" style="10" customWidth="1"/>
    <col min="7037" max="7168" width="9.109375" style="10"/>
    <col min="7169" max="7169" width="15.6640625" style="10" customWidth="1"/>
    <col min="7170" max="7170" width="2" style="10" customWidth="1"/>
    <col min="7171" max="7219" width="3.6640625" style="10" customWidth="1"/>
    <col min="7220" max="7292" width="4.6640625" style="10" customWidth="1"/>
    <col min="7293" max="7424" width="9.109375" style="10"/>
    <col min="7425" max="7425" width="15.6640625" style="10" customWidth="1"/>
    <col min="7426" max="7426" width="2" style="10" customWidth="1"/>
    <col min="7427" max="7475" width="3.6640625" style="10" customWidth="1"/>
    <col min="7476" max="7548" width="4.6640625" style="10" customWidth="1"/>
    <col min="7549" max="7680" width="9.109375" style="10"/>
    <col min="7681" max="7681" width="15.6640625" style="10" customWidth="1"/>
    <col min="7682" max="7682" width="2" style="10" customWidth="1"/>
    <col min="7683" max="7731" width="3.6640625" style="10" customWidth="1"/>
    <col min="7732" max="7804" width="4.6640625" style="10" customWidth="1"/>
    <col min="7805" max="7936" width="9.109375" style="10"/>
    <col min="7937" max="7937" width="15.6640625" style="10" customWidth="1"/>
    <col min="7938" max="7938" width="2" style="10" customWidth="1"/>
    <col min="7939" max="7987" width="3.6640625" style="10" customWidth="1"/>
    <col min="7988" max="8060" width="4.6640625" style="10" customWidth="1"/>
    <col min="8061" max="8192" width="9.109375" style="10"/>
    <col min="8193" max="8193" width="15.6640625" style="10" customWidth="1"/>
    <col min="8194" max="8194" width="2" style="10" customWidth="1"/>
    <col min="8195" max="8243" width="3.6640625" style="10" customWidth="1"/>
    <col min="8244" max="8316" width="4.6640625" style="10" customWidth="1"/>
    <col min="8317" max="8448" width="9.109375" style="10"/>
    <col min="8449" max="8449" width="15.6640625" style="10" customWidth="1"/>
    <col min="8450" max="8450" width="2" style="10" customWidth="1"/>
    <col min="8451" max="8499" width="3.6640625" style="10" customWidth="1"/>
    <col min="8500" max="8572" width="4.6640625" style="10" customWidth="1"/>
    <col min="8573" max="8704" width="9.109375" style="10"/>
    <col min="8705" max="8705" width="15.6640625" style="10" customWidth="1"/>
    <col min="8706" max="8706" width="2" style="10" customWidth="1"/>
    <col min="8707" max="8755" width="3.6640625" style="10" customWidth="1"/>
    <col min="8756" max="8828" width="4.6640625" style="10" customWidth="1"/>
    <col min="8829" max="8960" width="9.109375" style="10"/>
    <col min="8961" max="8961" width="15.6640625" style="10" customWidth="1"/>
    <col min="8962" max="8962" width="2" style="10" customWidth="1"/>
    <col min="8963" max="9011" width="3.6640625" style="10" customWidth="1"/>
    <col min="9012" max="9084" width="4.6640625" style="10" customWidth="1"/>
    <col min="9085" max="9216" width="9.109375" style="10"/>
    <col min="9217" max="9217" width="15.6640625" style="10" customWidth="1"/>
    <col min="9218" max="9218" width="2" style="10" customWidth="1"/>
    <col min="9219" max="9267" width="3.6640625" style="10" customWidth="1"/>
    <col min="9268" max="9340" width="4.6640625" style="10" customWidth="1"/>
    <col min="9341" max="9472" width="9.109375" style="10"/>
    <col min="9473" max="9473" width="15.6640625" style="10" customWidth="1"/>
    <col min="9474" max="9474" width="2" style="10" customWidth="1"/>
    <col min="9475" max="9523" width="3.6640625" style="10" customWidth="1"/>
    <col min="9524" max="9596" width="4.6640625" style="10" customWidth="1"/>
    <col min="9597" max="9728" width="9.109375" style="10"/>
    <col min="9729" max="9729" width="15.6640625" style="10" customWidth="1"/>
    <col min="9730" max="9730" width="2" style="10" customWidth="1"/>
    <col min="9731" max="9779" width="3.6640625" style="10" customWidth="1"/>
    <col min="9780" max="9852" width="4.6640625" style="10" customWidth="1"/>
    <col min="9853" max="9984" width="9.109375" style="10"/>
    <col min="9985" max="9985" width="15.6640625" style="10" customWidth="1"/>
    <col min="9986" max="9986" width="2" style="10" customWidth="1"/>
    <col min="9987" max="10035" width="3.6640625" style="10" customWidth="1"/>
    <col min="10036" max="10108" width="4.6640625" style="10" customWidth="1"/>
    <col min="10109" max="10240" width="9.109375" style="10"/>
    <col min="10241" max="10241" width="15.6640625" style="10" customWidth="1"/>
    <col min="10242" max="10242" width="2" style="10" customWidth="1"/>
    <col min="10243" max="10291" width="3.6640625" style="10" customWidth="1"/>
    <col min="10292" max="10364" width="4.6640625" style="10" customWidth="1"/>
    <col min="10365" max="10496" width="9.109375" style="10"/>
    <col min="10497" max="10497" width="15.6640625" style="10" customWidth="1"/>
    <col min="10498" max="10498" width="2" style="10" customWidth="1"/>
    <col min="10499" max="10547" width="3.6640625" style="10" customWidth="1"/>
    <col min="10548" max="10620" width="4.6640625" style="10" customWidth="1"/>
    <col min="10621" max="10752" width="9.109375" style="10"/>
    <col min="10753" max="10753" width="15.6640625" style="10" customWidth="1"/>
    <col min="10754" max="10754" width="2" style="10" customWidth="1"/>
    <col min="10755" max="10803" width="3.6640625" style="10" customWidth="1"/>
    <col min="10804" max="10876" width="4.6640625" style="10" customWidth="1"/>
    <col min="10877" max="11008" width="9.109375" style="10"/>
    <col min="11009" max="11009" width="15.6640625" style="10" customWidth="1"/>
    <col min="11010" max="11010" width="2" style="10" customWidth="1"/>
    <col min="11011" max="11059" width="3.6640625" style="10" customWidth="1"/>
    <col min="11060" max="11132" width="4.6640625" style="10" customWidth="1"/>
    <col min="11133" max="11264" width="9.109375" style="10"/>
    <col min="11265" max="11265" width="15.6640625" style="10" customWidth="1"/>
    <col min="11266" max="11266" width="2" style="10" customWidth="1"/>
    <col min="11267" max="11315" width="3.6640625" style="10" customWidth="1"/>
    <col min="11316" max="11388" width="4.6640625" style="10" customWidth="1"/>
    <col min="11389" max="11520" width="9.109375" style="10"/>
    <col min="11521" max="11521" width="15.6640625" style="10" customWidth="1"/>
    <col min="11522" max="11522" width="2" style="10" customWidth="1"/>
    <col min="11523" max="11571" width="3.6640625" style="10" customWidth="1"/>
    <col min="11572" max="11644" width="4.6640625" style="10" customWidth="1"/>
    <col min="11645" max="11776" width="9.109375" style="10"/>
    <col min="11777" max="11777" width="15.6640625" style="10" customWidth="1"/>
    <col min="11778" max="11778" width="2" style="10" customWidth="1"/>
    <col min="11779" max="11827" width="3.6640625" style="10" customWidth="1"/>
    <col min="11828" max="11900" width="4.6640625" style="10" customWidth="1"/>
    <col min="11901" max="12032" width="9.109375" style="10"/>
    <col min="12033" max="12033" width="15.6640625" style="10" customWidth="1"/>
    <col min="12034" max="12034" width="2" style="10" customWidth="1"/>
    <col min="12035" max="12083" width="3.6640625" style="10" customWidth="1"/>
    <col min="12084" max="12156" width="4.6640625" style="10" customWidth="1"/>
    <col min="12157" max="12288" width="9.109375" style="10"/>
    <col min="12289" max="12289" width="15.6640625" style="10" customWidth="1"/>
    <col min="12290" max="12290" width="2" style="10" customWidth="1"/>
    <col min="12291" max="12339" width="3.6640625" style="10" customWidth="1"/>
    <col min="12340" max="12412" width="4.6640625" style="10" customWidth="1"/>
    <col min="12413" max="12544" width="9.109375" style="10"/>
    <col min="12545" max="12545" width="15.6640625" style="10" customWidth="1"/>
    <col min="12546" max="12546" width="2" style="10" customWidth="1"/>
    <col min="12547" max="12595" width="3.6640625" style="10" customWidth="1"/>
    <col min="12596" max="12668" width="4.6640625" style="10" customWidth="1"/>
    <col min="12669" max="12800" width="9.109375" style="10"/>
    <col min="12801" max="12801" width="15.6640625" style="10" customWidth="1"/>
    <col min="12802" max="12802" width="2" style="10" customWidth="1"/>
    <col min="12803" max="12851" width="3.6640625" style="10" customWidth="1"/>
    <col min="12852" max="12924" width="4.6640625" style="10" customWidth="1"/>
    <col min="12925" max="13056" width="9.109375" style="10"/>
    <col min="13057" max="13057" width="15.6640625" style="10" customWidth="1"/>
    <col min="13058" max="13058" width="2" style="10" customWidth="1"/>
    <col min="13059" max="13107" width="3.6640625" style="10" customWidth="1"/>
    <col min="13108" max="13180" width="4.6640625" style="10" customWidth="1"/>
    <col min="13181" max="13312" width="9.109375" style="10"/>
    <col min="13313" max="13313" width="15.6640625" style="10" customWidth="1"/>
    <col min="13314" max="13314" width="2" style="10" customWidth="1"/>
    <col min="13315" max="13363" width="3.6640625" style="10" customWidth="1"/>
    <col min="13364" max="13436" width="4.6640625" style="10" customWidth="1"/>
    <col min="13437" max="13568" width="9.109375" style="10"/>
    <col min="13569" max="13569" width="15.6640625" style="10" customWidth="1"/>
    <col min="13570" max="13570" width="2" style="10" customWidth="1"/>
    <col min="13571" max="13619" width="3.6640625" style="10" customWidth="1"/>
    <col min="13620" max="13692" width="4.6640625" style="10" customWidth="1"/>
    <col min="13693" max="13824" width="9.109375" style="10"/>
    <col min="13825" max="13825" width="15.6640625" style="10" customWidth="1"/>
    <col min="13826" max="13826" width="2" style="10" customWidth="1"/>
    <col min="13827" max="13875" width="3.6640625" style="10" customWidth="1"/>
    <col min="13876" max="13948" width="4.6640625" style="10" customWidth="1"/>
    <col min="13949" max="14080" width="9.109375" style="10"/>
    <col min="14081" max="14081" width="15.6640625" style="10" customWidth="1"/>
    <col min="14082" max="14082" width="2" style="10" customWidth="1"/>
    <col min="14083" max="14131" width="3.6640625" style="10" customWidth="1"/>
    <col min="14132" max="14204" width="4.6640625" style="10" customWidth="1"/>
    <col min="14205" max="14336" width="9.109375" style="10"/>
    <col min="14337" max="14337" width="15.6640625" style="10" customWidth="1"/>
    <col min="14338" max="14338" width="2" style="10" customWidth="1"/>
    <col min="14339" max="14387" width="3.6640625" style="10" customWidth="1"/>
    <col min="14388" max="14460" width="4.6640625" style="10" customWidth="1"/>
    <col min="14461" max="14592" width="9.109375" style="10"/>
    <col min="14593" max="14593" width="15.6640625" style="10" customWidth="1"/>
    <col min="14594" max="14594" width="2" style="10" customWidth="1"/>
    <col min="14595" max="14643" width="3.6640625" style="10" customWidth="1"/>
    <col min="14644" max="14716" width="4.6640625" style="10" customWidth="1"/>
    <col min="14717" max="14848" width="9.109375" style="10"/>
    <col min="14849" max="14849" width="15.6640625" style="10" customWidth="1"/>
    <col min="14850" max="14850" width="2" style="10" customWidth="1"/>
    <col min="14851" max="14899" width="3.6640625" style="10" customWidth="1"/>
    <col min="14900" max="14972" width="4.6640625" style="10" customWidth="1"/>
    <col min="14973" max="15104" width="9.109375" style="10"/>
    <col min="15105" max="15105" width="15.6640625" style="10" customWidth="1"/>
    <col min="15106" max="15106" width="2" style="10" customWidth="1"/>
    <col min="15107" max="15155" width="3.6640625" style="10" customWidth="1"/>
    <col min="15156" max="15228" width="4.6640625" style="10" customWidth="1"/>
    <col min="15229" max="15360" width="9.109375" style="10"/>
    <col min="15361" max="15361" width="15.6640625" style="10" customWidth="1"/>
    <col min="15362" max="15362" width="2" style="10" customWidth="1"/>
    <col min="15363" max="15411" width="3.6640625" style="10" customWidth="1"/>
    <col min="15412" max="15484" width="4.6640625" style="10" customWidth="1"/>
    <col min="15485" max="15616" width="9.109375" style="10"/>
    <col min="15617" max="15617" width="15.6640625" style="10" customWidth="1"/>
    <col min="15618" max="15618" width="2" style="10" customWidth="1"/>
    <col min="15619" max="15667" width="3.6640625" style="10" customWidth="1"/>
    <col min="15668" max="15740" width="4.6640625" style="10" customWidth="1"/>
    <col min="15741" max="15872" width="9.109375" style="10"/>
    <col min="15873" max="15873" width="15.6640625" style="10" customWidth="1"/>
    <col min="15874" max="15874" width="2" style="10" customWidth="1"/>
    <col min="15875" max="15923" width="3.6640625" style="10" customWidth="1"/>
    <col min="15924" max="15996" width="4.6640625" style="10" customWidth="1"/>
    <col min="15997" max="16128" width="9.109375" style="10"/>
    <col min="16129" max="16129" width="15.6640625" style="10" customWidth="1"/>
    <col min="16130" max="16130" width="2" style="10" customWidth="1"/>
    <col min="16131" max="16179" width="3.6640625" style="10" customWidth="1"/>
    <col min="16180" max="16252" width="4.6640625" style="10" customWidth="1"/>
    <col min="16253" max="16384" width="9.109375" style="10"/>
  </cols>
  <sheetData>
    <row r="1" spans="1:60" x14ac:dyDescent="0.3">
      <c r="A1" s="14"/>
      <c r="B1" s="14"/>
      <c r="BB1" s="11"/>
      <c r="BC1" s="129"/>
      <c r="BD1" s="14"/>
      <c r="BE1" s="14"/>
      <c r="BF1" s="14"/>
      <c r="BG1" s="14"/>
      <c r="BH1" s="14"/>
    </row>
    <row r="2" spans="1:60" ht="16.2" thickBot="1" x14ac:dyDescent="0.35">
      <c r="A2" s="14"/>
      <c r="B2" s="14"/>
      <c r="C2" s="306" t="s">
        <v>13</v>
      </c>
      <c r="D2" s="306"/>
      <c r="E2" s="306"/>
      <c r="F2" s="306"/>
      <c r="G2" s="306"/>
      <c r="H2" s="306"/>
      <c r="I2" s="306"/>
      <c r="J2" s="306"/>
      <c r="N2" s="12" t="s">
        <v>14</v>
      </c>
      <c r="O2" s="13"/>
      <c r="P2" s="305" t="str">
        <f>'Validator Notes'!B4</f>
        <v>EQ - Utah Technical Center</v>
      </c>
      <c r="Q2" s="305"/>
      <c r="R2" s="305"/>
      <c r="S2" s="305"/>
      <c r="T2" s="305"/>
      <c r="U2" s="305"/>
      <c r="V2" s="12" t="s">
        <v>15</v>
      </c>
      <c r="W2" s="13"/>
      <c r="X2" s="13"/>
      <c r="Y2" s="13"/>
      <c r="Z2" s="305" t="str">
        <f>'Validator Notes'!B5</f>
        <v>Month 2025</v>
      </c>
      <c r="AA2" s="305"/>
      <c r="AB2" s="305"/>
      <c r="AC2" s="305"/>
      <c r="AD2" s="305"/>
      <c r="AE2" s="305"/>
      <c r="AZ2" s="10" t="s">
        <v>16</v>
      </c>
      <c r="BA2" s="10">
        <v>1</v>
      </c>
      <c r="BB2" s="11"/>
      <c r="BC2" s="129"/>
      <c r="BD2" s="14"/>
      <c r="BE2" s="14"/>
      <c r="BF2" s="14"/>
      <c r="BG2" s="14"/>
      <c r="BH2" s="14"/>
    </row>
    <row r="3" spans="1:60" x14ac:dyDescent="0.3">
      <c r="A3" s="14"/>
      <c r="B3" s="14"/>
      <c r="C3" s="306"/>
      <c r="D3" s="306"/>
      <c r="E3" s="306"/>
      <c r="F3" s="306"/>
      <c r="G3" s="306"/>
      <c r="H3" s="306"/>
      <c r="I3" s="306"/>
      <c r="J3" s="306"/>
      <c r="N3" s="12"/>
      <c r="V3" s="12"/>
      <c r="BB3" s="11"/>
      <c r="BC3" s="129"/>
      <c r="BD3" s="14"/>
      <c r="BE3" s="14"/>
      <c r="BF3" s="14"/>
      <c r="BG3" s="14"/>
      <c r="BH3" s="14"/>
    </row>
    <row r="4" spans="1:60" s="15" customFormat="1" ht="18" x14ac:dyDescent="0.35">
      <c r="A4" s="29"/>
      <c r="B4" s="29"/>
      <c r="E4" s="16">
        <v>1</v>
      </c>
      <c r="F4" s="17"/>
      <c r="G4" s="17"/>
      <c r="H4" s="17"/>
      <c r="I4" s="17"/>
      <c r="J4" s="17"/>
      <c r="K4" s="17"/>
      <c r="L4" s="17"/>
      <c r="M4" s="17"/>
      <c r="N4" s="17"/>
      <c r="O4" s="17"/>
      <c r="P4" s="17"/>
      <c r="Q4" s="17"/>
      <c r="R4" s="17"/>
      <c r="S4" s="17"/>
      <c r="T4" s="17"/>
      <c r="U4" s="17"/>
      <c r="V4" s="17"/>
      <c r="W4" s="17"/>
      <c r="X4" s="17"/>
      <c r="Y4" s="17"/>
      <c r="Z4" s="17"/>
      <c r="AA4" s="17"/>
      <c r="AB4" s="17"/>
      <c r="AD4" s="16">
        <v>2</v>
      </c>
      <c r="AE4" s="16"/>
      <c r="AF4" s="16"/>
      <c r="AG4" s="16"/>
      <c r="AH4" s="16"/>
      <c r="AI4" s="16"/>
      <c r="AJ4" s="16"/>
      <c r="AK4" s="16"/>
      <c r="AL4" s="16"/>
      <c r="AM4" s="16"/>
      <c r="AN4" s="16"/>
      <c r="AO4" s="16"/>
      <c r="AP4" s="16"/>
      <c r="AQ4" s="16"/>
      <c r="AR4" s="16"/>
      <c r="AS4" s="16"/>
      <c r="AT4" s="16"/>
      <c r="AU4" s="16"/>
      <c r="AV4" s="16"/>
      <c r="AW4" s="16"/>
      <c r="AX4" s="16"/>
      <c r="AY4" s="16"/>
      <c r="AZ4" s="16"/>
      <c r="BA4" s="16"/>
      <c r="BB4" s="18"/>
      <c r="BC4" s="130"/>
      <c r="BD4" s="316" t="s">
        <v>60</v>
      </c>
      <c r="BE4" s="316"/>
      <c r="BF4" s="316"/>
      <c r="BG4" s="316"/>
      <c r="BH4" s="316"/>
    </row>
    <row r="5" spans="1:60" s="19" customFormat="1" ht="15" customHeight="1" x14ac:dyDescent="0.3">
      <c r="A5" s="30"/>
      <c r="B5" s="30"/>
      <c r="E5" s="39">
        <v>0</v>
      </c>
      <c r="F5" s="39">
        <v>1</v>
      </c>
      <c r="G5" s="39">
        <v>2</v>
      </c>
      <c r="H5" s="39">
        <v>3</v>
      </c>
      <c r="I5" s="39">
        <v>4</v>
      </c>
      <c r="J5" s="39">
        <v>5</v>
      </c>
      <c r="K5" s="39">
        <v>6</v>
      </c>
      <c r="L5" s="39">
        <v>7</v>
      </c>
      <c r="M5" s="39">
        <v>8</v>
      </c>
      <c r="N5" s="39">
        <v>9</v>
      </c>
      <c r="O5" s="39">
        <v>10</v>
      </c>
      <c r="P5" s="39">
        <v>11</v>
      </c>
      <c r="Q5" s="39">
        <v>12</v>
      </c>
      <c r="R5" s="39">
        <v>13</v>
      </c>
      <c r="S5" s="39">
        <v>14</v>
      </c>
      <c r="T5" s="39">
        <v>15</v>
      </c>
      <c r="U5" s="39">
        <v>16</v>
      </c>
      <c r="V5" s="39">
        <v>17</v>
      </c>
      <c r="W5" s="39">
        <v>18</v>
      </c>
      <c r="X5" s="39">
        <v>19</v>
      </c>
      <c r="Y5" s="39">
        <v>20</v>
      </c>
      <c r="Z5" s="39">
        <v>21</v>
      </c>
      <c r="AA5" s="39">
        <v>22</v>
      </c>
      <c r="AB5" s="39">
        <v>23</v>
      </c>
      <c r="AD5" s="39">
        <v>0</v>
      </c>
      <c r="AE5" s="39">
        <v>1</v>
      </c>
      <c r="AF5" s="39">
        <v>2</v>
      </c>
      <c r="AG5" s="39">
        <v>3</v>
      </c>
      <c r="AH5" s="39">
        <v>4</v>
      </c>
      <c r="AI5" s="39">
        <v>5</v>
      </c>
      <c r="AJ5" s="39">
        <v>6</v>
      </c>
      <c r="AK5" s="39">
        <v>7</v>
      </c>
      <c r="AL5" s="39">
        <v>8</v>
      </c>
      <c r="AM5" s="39">
        <v>9</v>
      </c>
      <c r="AN5" s="39">
        <v>10</v>
      </c>
      <c r="AO5" s="39">
        <v>11</v>
      </c>
      <c r="AP5" s="39">
        <v>12</v>
      </c>
      <c r="AQ5" s="39">
        <v>13</v>
      </c>
      <c r="AR5" s="39">
        <v>14</v>
      </c>
      <c r="AS5" s="39">
        <v>15</v>
      </c>
      <c r="AT5" s="39">
        <v>16</v>
      </c>
      <c r="AU5" s="39">
        <v>17</v>
      </c>
      <c r="AV5" s="39">
        <v>18</v>
      </c>
      <c r="AW5" s="39">
        <v>19</v>
      </c>
      <c r="AX5" s="39">
        <v>20</v>
      </c>
      <c r="AY5" s="39">
        <v>21</v>
      </c>
      <c r="AZ5" s="39">
        <v>22</v>
      </c>
      <c r="BA5" s="39">
        <v>23</v>
      </c>
      <c r="BB5" s="20"/>
      <c r="BC5" s="28"/>
      <c r="BD5" s="317" t="s">
        <v>61</v>
      </c>
      <c r="BE5" s="317"/>
      <c r="BF5" s="317"/>
      <c r="BG5" s="317"/>
      <c r="BH5" s="317"/>
    </row>
    <row r="6" spans="1:60" s="21" customFormat="1" ht="15" customHeight="1" x14ac:dyDescent="0.3">
      <c r="A6" s="31"/>
      <c r="B6" s="31"/>
      <c r="E6" s="40" t="s">
        <v>17</v>
      </c>
      <c r="F6" s="40" t="s">
        <v>18</v>
      </c>
      <c r="G6" s="40" t="s">
        <v>19</v>
      </c>
      <c r="H6" s="40" t="s">
        <v>20</v>
      </c>
      <c r="I6" s="40" t="s">
        <v>21</v>
      </c>
      <c r="J6" s="40" t="s">
        <v>22</v>
      </c>
      <c r="K6" s="40" t="s">
        <v>23</v>
      </c>
      <c r="L6" s="40" t="s">
        <v>24</v>
      </c>
      <c r="M6" s="40" t="s">
        <v>25</v>
      </c>
      <c r="N6" s="40" t="s">
        <v>26</v>
      </c>
      <c r="O6" s="40" t="s">
        <v>27</v>
      </c>
      <c r="P6" s="40" t="s">
        <v>28</v>
      </c>
      <c r="Q6" s="40" t="s">
        <v>29</v>
      </c>
      <c r="R6" s="40" t="s">
        <v>30</v>
      </c>
      <c r="S6" s="40" t="s">
        <v>31</v>
      </c>
      <c r="T6" s="40" t="s">
        <v>32</v>
      </c>
      <c r="U6" s="40" t="s">
        <v>33</v>
      </c>
      <c r="V6" s="40" t="s">
        <v>34</v>
      </c>
      <c r="W6" s="40" t="s">
        <v>35</v>
      </c>
      <c r="X6" s="40" t="s">
        <v>36</v>
      </c>
      <c r="Y6" s="40" t="s">
        <v>37</v>
      </c>
      <c r="Z6" s="40" t="s">
        <v>38</v>
      </c>
      <c r="AA6" s="40" t="s">
        <v>39</v>
      </c>
      <c r="AB6" s="40" t="s">
        <v>40</v>
      </c>
      <c r="AD6" s="40" t="s">
        <v>17</v>
      </c>
      <c r="AE6" s="40" t="s">
        <v>18</v>
      </c>
      <c r="AF6" s="40" t="s">
        <v>19</v>
      </c>
      <c r="AG6" s="40" t="s">
        <v>20</v>
      </c>
      <c r="AH6" s="40" t="s">
        <v>21</v>
      </c>
      <c r="AI6" s="40" t="s">
        <v>22</v>
      </c>
      <c r="AJ6" s="40" t="s">
        <v>23</v>
      </c>
      <c r="AK6" s="40" t="s">
        <v>24</v>
      </c>
      <c r="AL6" s="40" t="s">
        <v>25</v>
      </c>
      <c r="AM6" s="40" t="s">
        <v>26</v>
      </c>
      <c r="AN6" s="40" t="s">
        <v>27</v>
      </c>
      <c r="AO6" s="40" t="s">
        <v>28</v>
      </c>
      <c r="AP6" s="40" t="s">
        <v>29</v>
      </c>
      <c r="AQ6" s="40" t="s">
        <v>30</v>
      </c>
      <c r="AR6" s="40" t="s">
        <v>31</v>
      </c>
      <c r="AS6" s="40" t="s">
        <v>32</v>
      </c>
      <c r="AT6" s="40" t="s">
        <v>33</v>
      </c>
      <c r="AU6" s="40" t="s">
        <v>34</v>
      </c>
      <c r="AV6" s="40" t="s">
        <v>35</v>
      </c>
      <c r="AW6" s="40" t="s">
        <v>36</v>
      </c>
      <c r="AX6" s="40" t="s">
        <v>37</v>
      </c>
      <c r="AY6" s="40" t="s">
        <v>38</v>
      </c>
      <c r="AZ6" s="40" t="s">
        <v>39</v>
      </c>
      <c r="BA6" s="40" t="s">
        <v>40</v>
      </c>
      <c r="BB6" s="22"/>
      <c r="BC6" s="125"/>
      <c r="BD6" s="308" t="s">
        <v>62</v>
      </c>
      <c r="BE6" s="308"/>
      <c r="BF6" s="308"/>
      <c r="BG6" s="308"/>
      <c r="BH6" s="308"/>
    </row>
    <row r="7" spans="1:60" x14ac:dyDescent="0.3">
      <c r="A7" s="67"/>
      <c r="B7" s="14"/>
      <c r="C7" s="23" t="s">
        <v>41</v>
      </c>
      <c r="E7" s="138"/>
      <c r="F7" s="138"/>
      <c r="G7" s="138"/>
      <c r="H7" s="138"/>
      <c r="I7" s="138"/>
      <c r="J7" s="138"/>
      <c r="K7" s="138"/>
      <c r="L7" s="138"/>
      <c r="M7" s="138"/>
      <c r="N7" s="138"/>
      <c r="O7" s="138"/>
      <c r="P7" s="138"/>
      <c r="Q7" s="138"/>
      <c r="R7" s="138"/>
      <c r="S7" s="138"/>
      <c r="T7" s="138"/>
      <c r="U7" s="138"/>
      <c r="V7" s="138"/>
      <c r="W7" s="138"/>
      <c r="X7" s="138"/>
      <c r="Y7" s="138"/>
      <c r="Z7" s="138"/>
      <c r="AA7" s="138"/>
      <c r="AB7" s="138"/>
      <c r="AC7" s="42"/>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1"/>
      <c r="BC7" s="126"/>
      <c r="BD7" s="308" t="s">
        <v>63</v>
      </c>
      <c r="BE7" s="308"/>
      <c r="BF7" s="308"/>
      <c r="BG7" s="308"/>
      <c r="BH7" s="308"/>
    </row>
    <row r="8" spans="1:60" x14ac:dyDescent="0.3">
      <c r="A8" s="67"/>
      <c r="B8" s="14"/>
      <c r="C8" s="23" t="s">
        <v>42</v>
      </c>
      <c r="E8" s="138"/>
      <c r="F8" s="138"/>
      <c r="G8" s="138"/>
      <c r="H8" s="138"/>
      <c r="I8" s="138"/>
      <c r="J8" s="138"/>
      <c r="K8" s="138"/>
      <c r="L8" s="138"/>
      <c r="M8" s="138"/>
      <c r="N8" s="138"/>
      <c r="O8" s="138"/>
      <c r="P8" s="138"/>
      <c r="Q8" s="138"/>
      <c r="R8" s="138"/>
      <c r="S8" s="138"/>
      <c r="T8" s="138"/>
      <c r="U8" s="138"/>
      <c r="V8" s="138"/>
      <c r="W8" s="138"/>
      <c r="X8" s="138"/>
      <c r="Y8" s="138"/>
      <c r="Z8" s="138"/>
      <c r="AA8" s="138"/>
      <c r="AB8" s="138"/>
      <c r="AC8" s="42"/>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1"/>
      <c r="BC8" s="127"/>
      <c r="BD8" s="309" t="s">
        <v>140</v>
      </c>
      <c r="BE8" s="310"/>
      <c r="BF8" s="310"/>
      <c r="BG8" s="310"/>
      <c r="BH8" s="311"/>
    </row>
    <row r="9" spans="1:60" x14ac:dyDescent="0.3">
      <c r="A9" s="67"/>
      <c r="B9" s="14"/>
      <c r="C9" s="23" t="s">
        <v>43</v>
      </c>
      <c r="E9" s="138"/>
      <c r="F9" s="138"/>
      <c r="G9" s="138"/>
      <c r="H9" s="138"/>
      <c r="I9" s="138"/>
      <c r="J9" s="138"/>
      <c r="K9" s="138"/>
      <c r="L9" s="138"/>
      <c r="M9" s="138"/>
      <c r="N9" s="138"/>
      <c r="O9" s="138"/>
      <c r="P9" s="138"/>
      <c r="Q9" s="138"/>
      <c r="R9" s="138"/>
      <c r="S9" s="138"/>
      <c r="T9" s="138"/>
      <c r="U9" s="138"/>
      <c r="V9" s="138"/>
      <c r="W9" s="138"/>
      <c r="X9" s="138"/>
      <c r="Y9" s="138"/>
      <c r="Z9" s="138"/>
      <c r="AA9" s="138"/>
      <c r="AB9" s="138"/>
      <c r="AC9" s="42"/>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1"/>
      <c r="BC9" s="131"/>
      <c r="BD9" s="308" t="s">
        <v>64</v>
      </c>
      <c r="BE9" s="308"/>
      <c r="BF9" s="308"/>
      <c r="BG9" s="308"/>
      <c r="BH9" s="308"/>
    </row>
    <row r="10" spans="1:60" x14ac:dyDescent="0.3">
      <c r="A10" s="67"/>
      <c r="B10" s="14"/>
      <c r="C10" s="23" t="s">
        <v>44</v>
      </c>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42"/>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1"/>
      <c r="BC10" s="128"/>
      <c r="BD10" s="308" t="s">
        <v>65</v>
      </c>
      <c r="BE10" s="308"/>
      <c r="BF10" s="308"/>
      <c r="BG10" s="308"/>
      <c r="BH10" s="308"/>
    </row>
    <row r="11" spans="1:60" x14ac:dyDescent="0.3">
      <c r="A11" s="67"/>
      <c r="B11" s="14"/>
      <c r="C11" s="23" t="s">
        <v>45</v>
      </c>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42"/>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1"/>
      <c r="BC11" s="132"/>
      <c r="BD11" s="304" t="s">
        <v>89</v>
      </c>
      <c r="BE11" s="304"/>
      <c r="BF11" s="304"/>
      <c r="BG11" s="304"/>
      <c r="BH11" s="304"/>
    </row>
    <row r="12" spans="1:60" x14ac:dyDescent="0.3">
      <c r="A12" s="67"/>
      <c r="B12" s="14"/>
      <c r="C12" s="23" t="s">
        <v>46</v>
      </c>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42"/>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1"/>
      <c r="BC12" s="97" t="s">
        <v>83</v>
      </c>
      <c r="BD12" s="304" t="s">
        <v>82</v>
      </c>
      <c r="BE12" s="304"/>
      <c r="BF12" s="304"/>
      <c r="BG12" s="304"/>
      <c r="BH12" s="304"/>
    </row>
    <row r="13" spans="1:60" ht="44.25" customHeight="1" x14ac:dyDescent="0.3">
      <c r="A13" s="67"/>
      <c r="B13" s="14"/>
      <c r="C13" s="24" t="s">
        <v>70</v>
      </c>
      <c r="E13" s="307"/>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2"/>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11"/>
      <c r="BC13" s="133" t="s">
        <v>90</v>
      </c>
      <c r="BD13" s="304" t="s">
        <v>91</v>
      </c>
      <c r="BE13" s="304"/>
      <c r="BF13" s="304"/>
      <c r="BG13" s="304"/>
      <c r="BH13" s="304"/>
    </row>
    <row r="14" spans="1:60" ht="43.5" customHeight="1" x14ac:dyDescent="0.3">
      <c r="A14" s="67"/>
      <c r="B14" s="14"/>
      <c r="C14" s="24" t="s">
        <v>47</v>
      </c>
      <c r="E14" s="312"/>
      <c r="F14" s="313"/>
      <c r="G14" s="313"/>
      <c r="H14" s="313"/>
      <c r="I14" s="313"/>
      <c r="J14" s="313"/>
      <c r="K14" s="313"/>
      <c r="L14" s="313"/>
      <c r="M14" s="313"/>
      <c r="N14" s="313"/>
      <c r="O14" s="313"/>
      <c r="P14" s="314"/>
      <c r="Q14" s="315"/>
      <c r="R14" s="313"/>
      <c r="S14" s="313"/>
      <c r="T14" s="313"/>
      <c r="U14" s="313"/>
      <c r="V14" s="313"/>
      <c r="W14" s="313"/>
      <c r="X14" s="313"/>
      <c r="Y14" s="313"/>
      <c r="Z14" s="313"/>
      <c r="AA14" s="313"/>
      <c r="AB14" s="313"/>
      <c r="AC14" s="32"/>
      <c r="AD14" s="312"/>
      <c r="AE14" s="313"/>
      <c r="AF14" s="313"/>
      <c r="AG14" s="313"/>
      <c r="AH14" s="313"/>
      <c r="AI14" s="313"/>
      <c r="AJ14" s="313"/>
      <c r="AK14" s="313"/>
      <c r="AL14" s="313"/>
      <c r="AM14" s="313"/>
      <c r="AN14" s="313"/>
      <c r="AO14" s="314"/>
      <c r="AP14" s="315"/>
      <c r="AQ14" s="313"/>
      <c r="AR14" s="313"/>
      <c r="AS14" s="313"/>
      <c r="AT14" s="313"/>
      <c r="AU14" s="313"/>
      <c r="AV14" s="313"/>
      <c r="AW14" s="313"/>
      <c r="AX14" s="313"/>
      <c r="AY14" s="313"/>
      <c r="AZ14" s="313"/>
      <c r="BA14" s="313"/>
      <c r="BB14" s="11"/>
      <c r="BC14" s="134"/>
      <c r="BD14" s="309" t="s">
        <v>139</v>
      </c>
      <c r="BE14" s="310"/>
      <c r="BF14" s="310"/>
      <c r="BG14" s="310"/>
      <c r="BH14" s="311"/>
    </row>
    <row r="15" spans="1:60" s="15" customFormat="1" ht="18" x14ac:dyDescent="0.35">
      <c r="A15" s="68"/>
      <c r="B15" s="29"/>
      <c r="E15" s="16">
        <v>3</v>
      </c>
      <c r="F15" s="16"/>
      <c r="G15" s="16"/>
      <c r="H15" s="16"/>
      <c r="I15" s="16"/>
      <c r="J15" s="16"/>
      <c r="K15" s="16"/>
      <c r="L15" s="16"/>
      <c r="M15" s="16"/>
      <c r="N15" s="16"/>
      <c r="O15" s="16"/>
      <c r="P15" s="16"/>
      <c r="Q15" s="16"/>
      <c r="R15" s="16"/>
      <c r="S15" s="16"/>
      <c r="T15" s="16"/>
      <c r="U15" s="16"/>
      <c r="V15" s="16"/>
      <c r="W15" s="16"/>
      <c r="X15" s="16"/>
      <c r="Y15" s="16"/>
      <c r="Z15" s="16"/>
      <c r="AA15" s="16"/>
      <c r="AB15" s="16"/>
      <c r="AD15" s="16">
        <v>4</v>
      </c>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8"/>
      <c r="BC15" s="135"/>
      <c r="BD15" s="304" t="s">
        <v>141</v>
      </c>
      <c r="BE15" s="304"/>
      <c r="BF15" s="304"/>
      <c r="BG15" s="304"/>
      <c r="BH15" s="304"/>
    </row>
    <row r="16" spans="1:60" s="27" customFormat="1" x14ac:dyDescent="0.3">
      <c r="A16" s="67"/>
      <c r="B16" s="14"/>
      <c r="C16" s="25"/>
      <c r="D16" s="25"/>
      <c r="E16" s="39">
        <v>0</v>
      </c>
      <c r="F16" s="39">
        <v>1</v>
      </c>
      <c r="G16" s="39">
        <v>2</v>
      </c>
      <c r="H16" s="39">
        <v>3</v>
      </c>
      <c r="I16" s="39">
        <v>4</v>
      </c>
      <c r="J16" s="39">
        <v>5</v>
      </c>
      <c r="K16" s="39">
        <v>6</v>
      </c>
      <c r="L16" s="39">
        <v>7</v>
      </c>
      <c r="M16" s="39">
        <v>8</v>
      </c>
      <c r="N16" s="39">
        <v>9</v>
      </c>
      <c r="O16" s="39">
        <v>10</v>
      </c>
      <c r="P16" s="39">
        <v>11</v>
      </c>
      <c r="Q16" s="39">
        <v>12</v>
      </c>
      <c r="R16" s="39">
        <v>13</v>
      </c>
      <c r="S16" s="39">
        <v>14</v>
      </c>
      <c r="T16" s="39">
        <v>15</v>
      </c>
      <c r="U16" s="39">
        <v>16</v>
      </c>
      <c r="V16" s="39">
        <v>17</v>
      </c>
      <c r="W16" s="39">
        <v>18</v>
      </c>
      <c r="X16" s="39">
        <v>19</v>
      </c>
      <c r="Y16" s="39">
        <v>20</v>
      </c>
      <c r="Z16" s="39">
        <v>21</v>
      </c>
      <c r="AA16" s="39">
        <v>22</v>
      </c>
      <c r="AB16" s="39">
        <v>23</v>
      </c>
      <c r="AC16" s="25"/>
      <c r="AD16" s="39">
        <v>0</v>
      </c>
      <c r="AE16" s="39">
        <v>1</v>
      </c>
      <c r="AF16" s="39">
        <v>2</v>
      </c>
      <c r="AG16" s="39">
        <v>3</v>
      </c>
      <c r="AH16" s="39">
        <v>4</v>
      </c>
      <c r="AI16" s="39">
        <v>5</v>
      </c>
      <c r="AJ16" s="39">
        <v>6</v>
      </c>
      <c r="AK16" s="39">
        <v>7</v>
      </c>
      <c r="AL16" s="39">
        <v>8</v>
      </c>
      <c r="AM16" s="39">
        <v>9</v>
      </c>
      <c r="AN16" s="39">
        <v>10</v>
      </c>
      <c r="AO16" s="39">
        <v>11</v>
      </c>
      <c r="AP16" s="39">
        <v>12</v>
      </c>
      <c r="AQ16" s="39">
        <v>13</v>
      </c>
      <c r="AR16" s="39">
        <v>14</v>
      </c>
      <c r="AS16" s="39">
        <v>15</v>
      </c>
      <c r="AT16" s="39">
        <v>16</v>
      </c>
      <c r="AU16" s="39">
        <v>17</v>
      </c>
      <c r="AV16" s="39">
        <v>18</v>
      </c>
      <c r="AW16" s="39">
        <v>19</v>
      </c>
      <c r="AX16" s="39">
        <v>20</v>
      </c>
      <c r="AY16" s="39">
        <v>21</v>
      </c>
      <c r="AZ16" s="39">
        <v>22</v>
      </c>
      <c r="BA16" s="39">
        <v>23</v>
      </c>
      <c r="BB16" s="26"/>
      <c r="BC16" s="133" t="s">
        <v>144</v>
      </c>
      <c r="BD16" s="304" t="s">
        <v>145</v>
      </c>
      <c r="BE16" s="304"/>
      <c r="BF16" s="304"/>
      <c r="BG16" s="304"/>
      <c r="BH16" s="304"/>
    </row>
    <row r="17" spans="1:60" s="27" customFormat="1" ht="15" customHeight="1" x14ac:dyDescent="0.3">
      <c r="A17" s="67"/>
      <c r="B17" s="14"/>
      <c r="C17" s="25"/>
      <c r="D17" s="25"/>
      <c r="E17" s="40" t="s">
        <v>17</v>
      </c>
      <c r="F17" s="40" t="s">
        <v>18</v>
      </c>
      <c r="G17" s="40" t="s">
        <v>19</v>
      </c>
      <c r="H17" s="40" t="s">
        <v>20</v>
      </c>
      <c r="I17" s="40" t="s">
        <v>21</v>
      </c>
      <c r="J17" s="40" t="s">
        <v>22</v>
      </c>
      <c r="K17" s="40" t="s">
        <v>23</v>
      </c>
      <c r="L17" s="40" t="s">
        <v>24</v>
      </c>
      <c r="M17" s="40" t="s">
        <v>25</v>
      </c>
      <c r="N17" s="40" t="s">
        <v>26</v>
      </c>
      <c r="O17" s="40" t="s">
        <v>27</v>
      </c>
      <c r="P17" s="40" t="s">
        <v>28</v>
      </c>
      <c r="Q17" s="40" t="s">
        <v>29</v>
      </c>
      <c r="R17" s="40" t="s">
        <v>30</v>
      </c>
      <c r="S17" s="40" t="s">
        <v>31</v>
      </c>
      <c r="T17" s="40" t="s">
        <v>32</v>
      </c>
      <c r="U17" s="40" t="s">
        <v>33</v>
      </c>
      <c r="V17" s="40" t="s">
        <v>34</v>
      </c>
      <c r="W17" s="40" t="s">
        <v>35</v>
      </c>
      <c r="X17" s="40" t="s">
        <v>36</v>
      </c>
      <c r="Y17" s="40" t="s">
        <v>37</v>
      </c>
      <c r="Z17" s="40" t="s">
        <v>38</v>
      </c>
      <c r="AA17" s="40" t="s">
        <v>39</v>
      </c>
      <c r="AB17" s="40" t="s">
        <v>40</v>
      </c>
      <c r="AC17" s="25"/>
      <c r="AD17" s="40" t="s">
        <v>17</v>
      </c>
      <c r="AE17" s="40" t="s">
        <v>18</v>
      </c>
      <c r="AF17" s="40" t="s">
        <v>19</v>
      </c>
      <c r="AG17" s="40" t="s">
        <v>20</v>
      </c>
      <c r="AH17" s="40" t="s">
        <v>21</v>
      </c>
      <c r="AI17" s="40" t="s">
        <v>22</v>
      </c>
      <c r="AJ17" s="40" t="s">
        <v>23</v>
      </c>
      <c r="AK17" s="40" t="s">
        <v>24</v>
      </c>
      <c r="AL17" s="40" t="s">
        <v>25</v>
      </c>
      <c r="AM17" s="40" t="s">
        <v>26</v>
      </c>
      <c r="AN17" s="40" t="s">
        <v>27</v>
      </c>
      <c r="AO17" s="40" t="s">
        <v>28</v>
      </c>
      <c r="AP17" s="40" t="s">
        <v>29</v>
      </c>
      <c r="AQ17" s="40" t="s">
        <v>30</v>
      </c>
      <c r="AR17" s="40" t="s">
        <v>31</v>
      </c>
      <c r="AS17" s="40" t="s">
        <v>32</v>
      </c>
      <c r="AT17" s="40" t="s">
        <v>33</v>
      </c>
      <c r="AU17" s="40" t="s">
        <v>34</v>
      </c>
      <c r="AV17" s="40" t="s">
        <v>35</v>
      </c>
      <c r="AW17" s="40" t="s">
        <v>36</v>
      </c>
      <c r="AX17" s="40" t="s">
        <v>37</v>
      </c>
      <c r="AY17" s="40" t="s">
        <v>38</v>
      </c>
      <c r="AZ17" s="40" t="s">
        <v>39</v>
      </c>
      <c r="BA17" s="40" t="s">
        <v>40</v>
      </c>
      <c r="BB17" s="26"/>
      <c r="BC17" s="136"/>
    </row>
    <row r="18" spans="1:60" ht="15.75" customHeight="1" x14ac:dyDescent="0.3">
      <c r="A18" s="67"/>
      <c r="B18" s="14"/>
      <c r="C18" s="23" t="s">
        <v>41</v>
      </c>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41"/>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1"/>
      <c r="BC18" s="62"/>
      <c r="BD18" s="10"/>
      <c r="BE18" s="10"/>
      <c r="BF18" s="10"/>
      <c r="BG18" s="10"/>
      <c r="BH18" s="10"/>
    </row>
    <row r="19" spans="1:60" x14ac:dyDescent="0.3">
      <c r="A19" s="67"/>
      <c r="B19" s="14"/>
      <c r="C19" s="23" t="s">
        <v>42</v>
      </c>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41"/>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1"/>
      <c r="BC19" s="62"/>
      <c r="BD19" s="10"/>
      <c r="BE19" s="10"/>
      <c r="BF19" s="10"/>
      <c r="BG19" s="10"/>
      <c r="BH19" s="10"/>
    </row>
    <row r="20" spans="1:60" x14ac:dyDescent="0.3">
      <c r="A20" s="67"/>
      <c r="B20" s="14"/>
      <c r="C20" s="23" t="s">
        <v>43</v>
      </c>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41"/>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1"/>
      <c r="BC20" s="62"/>
      <c r="BD20" s="10"/>
      <c r="BE20" s="10"/>
      <c r="BF20" s="10"/>
      <c r="BG20" s="10"/>
      <c r="BH20" s="10"/>
    </row>
    <row r="21" spans="1:60" x14ac:dyDescent="0.3">
      <c r="A21" s="67"/>
      <c r="B21" s="14"/>
      <c r="C21" s="23" t="s">
        <v>44</v>
      </c>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41"/>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1"/>
      <c r="BC21" s="62"/>
      <c r="BD21" s="10"/>
      <c r="BE21" s="10"/>
      <c r="BF21" s="10"/>
      <c r="BG21" s="10"/>
      <c r="BH21" s="10"/>
    </row>
    <row r="22" spans="1:60" x14ac:dyDescent="0.3">
      <c r="A22" s="67"/>
      <c r="B22" s="14"/>
      <c r="C22" s="23" t="s">
        <v>45</v>
      </c>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41"/>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1"/>
      <c r="BC22" s="62"/>
      <c r="BD22" s="10"/>
      <c r="BE22" s="10"/>
      <c r="BF22" s="10"/>
      <c r="BG22" s="10"/>
      <c r="BH22" s="10"/>
    </row>
    <row r="23" spans="1:60" x14ac:dyDescent="0.3">
      <c r="A23" s="67"/>
      <c r="B23" s="14"/>
      <c r="C23" s="23" t="s">
        <v>46</v>
      </c>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41"/>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1"/>
      <c r="BC23" s="62"/>
      <c r="BD23" s="10"/>
      <c r="BE23" s="10"/>
      <c r="BF23" s="10"/>
      <c r="BG23" s="10"/>
      <c r="BH23" s="10"/>
    </row>
    <row r="24" spans="1:60" ht="48" customHeight="1" x14ac:dyDescent="0.3">
      <c r="A24" s="67"/>
      <c r="B24" s="14"/>
      <c r="C24" s="24" t="s">
        <v>70</v>
      </c>
      <c r="E24" s="307"/>
      <c r="F24" s="307"/>
      <c r="G24" s="307"/>
      <c r="H24" s="307"/>
      <c r="I24" s="307"/>
      <c r="J24" s="307"/>
      <c r="K24" s="307"/>
      <c r="L24" s="307"/>
      <c r="M24" s="307"/>
      <c r="N24" s="307"/>
      <c r="O24" s="307"/>
      <c r="P24" s="307"/>
      <c r="Q24" s="307"/>
      <c r="R24" s="307"/>
      <c r="S24" s="307"/>
      <c r="T24" s="307"/>
      <c r="U24" s="307"/>
      <c r="V24" s="307"/>
      <c r="W24" s="307"/>
      <c r="X24" s="307"/>
      <c r="Y24" s="307"/>
      <c r="Z24" s="307"/>
      <c r="AA24" s="307"/>
      <c r="AB24" s="307"/>
      <c r="AC24" s="32"/>
      <c r="AD24" s="307"/>
      <c r="AE24" s="307"/>
      <c r="AF24" s="307"/>
      <c r="AG24" s="307"/>
      <c r="AH24" s="307"/>
      <c r="AI24" s="307"/>
      <c r="AJ24" s="307"/>
      <c r="AK24" s="307"/>
      <c r="AL24" s="307"/>
      <c r="AM24" s="307"/>
      <c r="AN24" s="307"/>
      <c r="AO24" s="307"/>
      <c r="AP24" s="307"/>
      <c r="AQ24" s="307"/>
      <c r="AR24" s="307"/>
      <c r="AS24" s="307"/>
      <c r="AT24" s="307"/>
      <c r="AU24" s="307"/>
      <c r="AV24" s="307"/>
      <c r="AW24" s="307"/>
      <c r="AX24" s="307"/>
      <c r="AY24" s="307"/>
      <c r="AZ24" s="307"/>
      <c r="BA24" s="307"/>
      <c r="BB24" s="11"/>
      <c r="BC24" s="129"/>
      <c r="BD24" s="14"/>
      <c r="BE24" s="14"/>
      <c r="BF24" s="14"/>
      <c r="BG24" s="14"/>
      <c r="BH24" s="14"/>
    </row>
    <row r="25" spans="1:60" ht="43.5" customHeight="1" x14ac:dyDescent="0.3">
      <c r="A25" s="67"/>
      <c r="B25" s="14"/>
      <c r="C25" s="24" t="s">
        <v>47</v>
      </c>
      <c r="E25" s="312"/>
      <c r="F25" s="313"/>
      <c r="G25" s="313"/>
      <c r="H25" s="313"/>
      <c r="I25" s="313"/>
      <c r="J25" s="313"/>
      <c r="K25" s="313"/>
      <c r="L25" s="313"/>
      <c r="M25" s="313"/>
      <c r="N25" s="313"/>
      <c r="O25" s="313"/>
      <c r="P25" s="314"/>
      <c r="Q25" s="315"/>
      <c r="R25" s="313"/>
      <c r="S25" s="313"/>
      <c r="T25" s="313"/>
      <c r="U25" s="313"/>
      <c r="V25" s="313"/>
      <c r="W25" s="313"/>
      <c r="X25" s="313"/>
      <c r="Y25" s="313"/>
      <c r="Z25" s="313"/>
      <c r="AA25" s="313"/>
      <c r="AB25" s="313"/>
      <c r="AC25" s="32"/>
      <c r="AD25" s="312"/>
      <c r="AE25" s="313"/>
      <c r="AF25" s="313"/>
      <c r="AG25" s="313"/>
      <c r="AH25" s="313"/>
      <c r="AI25" s="313"/>
      <c r="AJ25" s="313"/>
      <c r="AK25" s="313"/>
      <c r="AL25" s="313"/>
      <c r="AM25" s="313"/>
      <c r="AN25" s="313"/>
      <c r="AO25" s="314"/>
      <c r="AP25" s="315"/>
      <c r="AQ25" s="313"/>
      <c r="AR25" s="313"/>
      <c r="AS25" s="313"/>
      <c r="AT25" s="313"/>
      <c r="AU25" s="313"/>
      <c r="AV25" s="313"/>
      <c r="AW25" s="313"/>
      <c r="AX25" s="313"/>
      <c r="AY25" s="313"/>
      <c r="AZ25" s="313"/>
      <c r="BA25" s="313"/>
      <c r="BB25" s="11"/>
      <c r="BC25" s="129"/>
      <c r="BD25" s="14"/>
      <c r="BE25" s="14"/>
      <c r="BF25" s="14"/>
      <c r="BG25" s="14"/>
      <c r="BH25" s="14"/>
    </row>
    <row r="26" spans="1:60" s="15" customFormat="1" ht="18" x14ac:dyDescent="0.35">
      <c r="A26" s="68"/>
      <c r="B26" s="29"/>
      <c r="E26" s="16">
        <v>5</v>
      </c>
      <c r="F26" s="16"/>
      <c r="G26" s="16"/>
      <c r="H26" s="16"/>
      <c r="I26" s="16"/>
      <c r="J26" s="16"/>
      <c r="K26" s="16"/>
      <c r="L26" s="16"/>
      <c r="M26" s="16"/>
      <c r="N26" s="16"/>
      <c r="O26" s="16"/>
      <c r="P26" s="16"/>
      <c r="Q26" s="16"/>
      <c r="R26" s="16"/>
      <c r="S26" s="16"/>
      <c r="T26" s="16"/>
      <c r="U26" s="16"/>
      <c r="V26" s="16"/>
      <c r="W26" s="16"/>
      <c r="X26" s="16"/>
      <c r="Y26" s="16"/>
      <c r="Z26" s="16"/>
      <c r="AA26" s="16"/>
      <c r="AB26" s="16"/>
      <c r="AD26" s="16">
        <v>6</v>
      </c>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8"/>
      <c r="BC26" s="137"/>
      <c r="BD26" s="29"/>
      <c r="BE26" s="29"/>
      <c r="BF26" s="29"/>
      <c r="BG26" s="29"/>
      <c r="BH26" s="29"/>
    </row>
    <row r="27" spans="1:60" s="27" customFormat="1" x14ac:dyDescent="0.3">
      <c r="A27" s="67"/>
      <c r="B27" s="14"/>
      <c r="C27" s="25"/>
      <c r="D27" s="25"/>
      <c r="E27" s="39">
        <v>0</v>
      </c>
      <c r="F27" s="39">
        <v>1</v>
      </c>
      <c r="G27" s="39">
        <v>2</v>
      </c>
      <c r="H27" s="39">
        <v>3</v>
      </c>
      <c r="I27" s="39">
        <v>4</v>
      </c>
      <c r="J27" s="39">
        <v>5</v>
      </c>
      <c r="K27" s="39">
        <v>6</v>
      </c>
      <c r="L27" s="39">
        <v>7</v>
      </c>
      <c r="M27" s="39">
        <v>8</v>
      </c>
      <c r="N27" s="39">
        <v>9</v>
      </c>
      <c r="O27" s="39">
        <v>10</v>
      </c>
      <c r="P27" s="39">
        <v>11</v>
      </c>
      <c r="Q27" s="39">
        <v>12</v>
      </c>
      <c r="R27" s="39">
        <v>13</v>
      </c>
      <c r="S27" s="39">
        <v>14</v>
      </c>
      <c r="T27" s="39">
        <v>15</v>
      </c>
      <c r="U27" s="39">
        <v>16</v>
      </c>
      <c r="V27" s="39">
        <v>17</v>
      </c>
      <c r="W27" s="39">
        <v>18</v>
      </c>
      <c r="X27" s="39">
        <v>19</v>
      </c>
      <c r="Y27" s="39">
        <v>20</v>
      </c>
      <c r="Z27" s="39">
        <v>21</v>
      </c>
      <c r="AA27" s="39">
        <v>22</v>
      </c>
      <c r="AB27" s="39">
        <v>23</v>
      </c>
      <c r="AC27" s="25"/>
      <c r="AD27" s="39">
        <v>0</v>
      </c>
      <c r="AE27" s="39">
        <v>1</v>
      </c>
      <c r="AF27" s="39">
        <v>2</v>
      </c>
      <c r="AG27" s="39">
        <v>3</v>
      </c>
      <c r="AH27" s="39">
        <v>4</v>
      </c>
      <c r="AI27" s="39">
        <v>5</v>
      </c>
      <c r="AJ27" s="39">
        <v>6</v>
      </c>
      <c r="AK27" s="39">
        <v>7</v>
      </c>
      <c r="AL27" s="39">
        <v>8</v>
      </c>
      <c r="AM27" s="39">
        <v>9</v>
      </c>
      <c r="AN27" s="39">
        <v>10</v>
      </c>
      <c r="AO27" s="39">
        <v>11</v>
      </c>
      <c r="AP27" s="39">
        <v>12</v>
      </c>
      <c r="AQ27" s="39">
        <v>13</v>
      </c>
      <c r="AR27" s="39">
        <v>14</v>
      </c>
      <c r="AS27" s="39">
        <v>15</v>
      </c>
      <c r="AT27" s="39">
        <v>16</v>
      </c>
      <c r="AU27" s="39">
        <v>17</v>
      </c>
      <c r="AV27" s="39">
        <v>18</v>
      </c>
      <c r="AW27" s="39">
        <v>19</v>
      </c>
      <c r="AX27" s="39">
        <v>20</v>
      </c>
      <c r="AY27" s="39">
        <v>21</v>
      </c>
      <c r="AZ27" s="39">
        <v>22</v>
      </c>
      <c r="BA27" s="39">
        <v>23</v>
      </c>
      <c r="BB27" s="26"/>
      <c r="BC27" s="129"/>
      <c r="BD27" s="14"/>
      <c r="BE27" s="14"/>
      <c r="BF27" s="14"/>
      <c r="BG27" s="14"/>
      <c r="BH27" s="14"/>
    </row>
    <row r="28" spans="1:60" s="27" customFormat="1" ht="15" customHeight="1" x14ac:dyDescent="0.3">
      <c r="A28" s="67"/>
      <c r="B28" s="14"/>
      <c r="C28" s="25"/>
      <c r="D28" s="25"/>
      <c r="E28" s="40" t="s">
        <v>17</v>
      </c>
      <c r="F28" s="40" t="s">
        <v>18</v>
      </c>
      <c r="G28" s="40" t="s">
        <v>19</v>
      </c>
      <c r="H28" s="40" t="s">
        <v>20</v>
      </c>
      <c r="I28" s="40" t="s">
        <v>21</v>
      </c>
      <c r="J28" s="40" t="s">
        <v>22</v>
      </c>
      <c r="K28" s="40" t="s">
        <v>23</v>
      </c>
      <c r="L28" s="40" t="s">
        <v>24</v>
      </c>
      <c r="M28" s="40" t="s">
        <v>25</v>
      </c>
      <c r="N28" s="40" t="s">
        <v>26</v>
      </c>
      <c r="O28" s="40" t="s">
        <v>27</v>
      </c>
      <c r="P28" s="40" t="s">
        <v>28</v>
      </c>
      <c r="Q28" s="40" t="s">
        <v>29</v>
      </c>
      <c r="R28" s="40" t="s">
        <v>30</v>
      </c>
      <c r="S28" s="40" t="s">
        <v>31</v>
      </c>
      <c r="T28" s="40" t="s">
        <v>32</v>
      </c>
      <c r="U28" s="40" t="s">
        <v>33</v>
      </c>
      <c r="V28" s="40" t="s">
        <v>34</v>
      </c>
      <c r="W28" s="40" t="s">
        <v>35</v>
      </c>
      <c r="X28" s="40" t="s">
        <v>36</v>
      </c>
      <c r="Y28" s="40" t="s">
        <v>37</v>
      </c>
      <c r="Z28" s="40" t="s">
        <v>38</v>
      </c>
      <c r="AA28" s="40" t="s">
        <v>39</v>
      </c>
      <c r="AB28" s="40" t="s">
        <v>40</v>
      </c>
      <c r="AC28" s="25"/>
      <c r="AD28" s="40" t="s">
        <v>17</v>
      </c>
      <c r="AE28" s="40" t="s">
        <v>18</v>
      </c>
      <c r="AF28" s="40" t="s">
        <v>19</v>
      </c>
      <c r="AG28" s="40" t="s">
        <v>20</v>
      </c>
      <c r="AH28" s="40" t="s">
        <v>21</v>
      </c>
      <c r="AI28" s="40" t="s">
        <v>22</v>
      </c>
      <c r="AJ28" s="40" t="s">
        <v>23</v>
      </c>
      <c r="AK28" s="40" t="s">
        <v>24</v>
      </c>
      <c r="AL28" s="40" t="s">
        <v>25</v>
      </c>
      <c r="AM28" s="40" t="s">
        <v>26</v>
      </c>
      <c r="AN28" s="40" t="s">
        <v>27</v>
      </c>
      <c r="AO28" s="40" t="s">
        <v>28</v>
      </c>
      <c r="AP28" s="40" t="s">
        <v>29</v>
      </c>
      <c r="AQ28" s="40" t="s">
        <v>30</v>
      </c>
      <c r="AR28" s="40" t="s">
        <v>31</v>
      </c>
      <c r="AS28" s="40" t="s">
        <v>32</v>
      </c>
      <c r="AT28" s="40" t="s">
        <v>33</v>
      </c>
      <c r="AU28" s="40" t="s">
        <v>34</v>
      </c>
      <c r="AV28" s="40" t="s">
        <v>35</v>
      </c>
      <c r="AW28" s="40" t="s">
        <v>36</v>
      </c>
      <c r="AX28" s="40" t="s">
        <v>37</v>
      </c>
      <c r="AY28" s="40" t="s">
        <v>38</v>
      </c>
      <c r="AZ28" s="40" t="s">
        <v>39</v>
      </c>
      <c r="BA28" s="40" t="s">
        <v>40</v>
      </c>
      <c r="BB28" s="26"/>
      <c r="BC28" s="129"/>
      <c r="BD28" s="14"/>
      <c r="BE28" s="14"/>
      <c r="BF28" s="14"/>
      <c r="BG28" s="14"/>
      <c r="BH28" s="14"/>
    </row>
    <row r="29" spans="1:60" x14ac:dyDescent="0.3">
      <c r="A29" s="67"/>
      <c r="B29" s="14"/>
      <c r="C29" s="23" t="s">
        <v>41</v>
      </c>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41"/>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1"/>
      <c r="BC29" s="129"/>
      <c r="BD29" s="14"/>
      <c r="BE29" s="14"/>
      <c r="BF29" s="14"/>
      <c r="BG29" s="14"/>
      <c r="BH29" s="14"/>
    </row>
    <row r="30" spans="1:60" x14ac:dyDescent="0.3">
      <c r="A30" s="67"/>
      <c r="B30" s="14"/>
      <c r="C30" s="23" t="s">
        <v>42</v>
      </c>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41"/>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1"/>
      <c r="BC30" s="129"/>
      <c r="BD30" s="14"/>
      <c r="BE30" s="14"/>
      <c r="BF30" s="14"/>
      <c r="BG30" s="14"/>
      <c r="BH30" s="14"/>
    </row>
    <row r="31" spans="1:60" x14ac:dyDescent="0.3">
      <c r="A31" s="67"/>
      <c r="B31" s="14"/>
      <c r="C31" s="23" t="s">
        <v>43</v>
      </c>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41"/>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1"/>
      <c r="BC31" s="129"/>
      <c r="BD31" s="14"/>
      <c r="BE31" s="14"/>
      <c r="BF31" s="14"/>
      <c r="BG31" s="14"/>
      <c r="BH31" s="14"/>
    </row>
    <row r="32" spans="1:60" x14ac:dyDescent="0.3">
      <c r="A32" s="67"/>
      <c r="B32" s="14"/>
      <c r="C32" s="23" t="s">
        <v>44</v>
      </c>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41"/>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1"/>
      <c r="BC32" s="129"/>
      <c r="BD32" s="14"/>
      <c r="BE32" s="14"/>
      <c r="BF32" s="14"/>
      <c r="BG32" s="14"/>
      <c r="BH32" s="14"/>
    </row>
    <row r="33" spans="1:60" x14ac:dyDescent="0.3">
      <c r="A33" s="67"/>
      <c r="B33" s="14"/>
      <c r="C33" s="23" t="s">
        <v>45</v>
      </c>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41"/>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1"/>
      <c r="BD33" s="13"/>
      <c r="BE33" s="13"/>
      <c r="BF33" s="13"/>
      <c r="BG33" s="13"/>
      <c r="BH33" s="13"/>
    </row>
    <row r="34" spans="1:60" x14ac:dyDescent="0.3">
      <c r="A34" s="67"/>
      <c r="B34" s="14"/>
      <c r="C34" s="23" t="s">
        <v>46</v>
      </c>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41"/>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1"/>
      <c r="BD34" s="13"/>
      <c r="BE34" s="13"/>
      <c r="BF34" s="13"/>
      <c r="BG34" s="13"/>
      <c r="BH34" s="13"/>
    </row>
    <row r="35" spans="1:60" ht="45" customHeight="1" x14ac:dyDescent="0.3">
      <c r="A35" s="67"/>
      <c r="B35" s="14"/>
      <c r="C35" s="24" t="s">
        <v>70</v>
      </c>
      <c r="E35" s="307"/>
      <c r="F35" s="307"/>
      <c r="G35" s="307"/>
      <c r="H35" s="307"/>
      <c r="I35" s="307"/>
      <c r="J35" s="307"/>
      <c r="K35" s="307"/>
      <c r="L35" s="307"/>
      <c r="M35" s="307"/>
      <c r="N35" s="307"/>
      <c r="O35" s="307"/>
      <c r="P35" s="307"/>
      <c r="Q35" s="307"/>
      <c r="R35" s="307"/>
      <c r="S35" s="307"/>
      <c r="T35" s="307"/>
      <c r="U35" s="307"/>
      <c r="V35" s="307"/>
      <c r="W35" s="307"/>
      <c r="X35" s="307"/>
      <c r="Y35" s="307"/>
      <c r="Z35" s="307"/>
      <c r="AA35" s="307"/>
      <c r="AB35" s="307"/>
      <c r="AC35" s="32"/>
      <c r="AD35" s="307"/>
      <c r="AE35" s="307"/>
      <c r="AF35" s="307"/>
      <c r="AG35" s="307"/>
      <c r="AH35" s="307"/>
      <c r="AI35" s="307"/>
      <c r="AJ35" s="307"/>
      <c r="AK35" s="307"/>
      <c r="AL35" s="307"/>
      <c r="AM35" s="307"/>
      <c r="AN35" s="307"/>
      <c r="AO35" s="307"/>
      <c r="AP35" s="307"/>
      <c r="AQ35" s="307"/>
      <c r="AR35" s="307"/>
      <c r="AS35" s="307"/>
      <c r="AT35" s="307"/>
      <c r="AU35" s="307"/>
      <c r="AV35" s="307"/>
      <c r="AW35" s="307"/>
      <c r="AX35" s="307"/>
      <c r="AY35" s="307"/>
      <c r="AZ35" s="307"/>
      <c r="BA35" s="307"/>
      <c r="BB35" s="11"/>
      <c r="BC35" s="129"/>
      <c r="BD35" s="14"/>
      <c r="BE35" s="14"/>
      <c r="BF35" s="14"/>
      <c r="BG35" s="14"/>
      <c r="BH35" s="14"/>
    </row>
    <row r="36" spans="1:60" ht="43.5" customHeight="1" x14ac:dyDescent="0.3">
      <c r="A36" s="67"/>
      <c r="B36" s="14"/>
      <c r="C36" s="24" t="s">
        <v>47</v>
      </c>
      <c r="E36" s="312"/>
      <c r="F36" s="313"/>
      <c r="G36" s="313"/>
      <c r="H36" s="313"/>
      <c r="I36" s="313"/>
      <c r="J36" s="313"/>
      <c r="K36" s="313"/>
      <c r="L36" s="313"/>
      <c r="M36" s="313"/>
      <c r="N36" s="313"/>
      <c r="O36" s="313"/>
      <c r="P36" s="314"/>
      <c r="Q36" s="315"/>
      <c r="R36" s="313"/>
      <c r="S36" s="313"/>
      <c r="T36" s="313"/>
      <c r="U36" s="313"/>
      <c r="V36" s="313"/>
      <c r="W36" s="313"/>
      <c r="X36" s="313"/>
      <c r="Y36" s="313"/>
      <c r="Z36" s="313"/>
      <c r="AA36" s="313"/>
      <c r="AB36" s="313"/>
      <c r="AC36" s="32"/>
      <c r="AD36" s="312"/>
      <c r="AE36" s="313"/>
      <c r="AF36" s="313"/>
      <c r="AG36" s="313"/>
      <c r="AH36" s="313"/>
      <c r="AI36" s="313"/>
      <c r="AJ36" s="313"/>
      <c r="AK36" s="313"/>
      <c r="AL36" s="313"/>
      <c r="AM36" s="313"/>
      <c r="AN36" s="313"/>
      <c r="AO36" s="314"/>
      <c r="AP36" s="315"/>
      <c r="AQ36" s="313"/>
      <c r="AR36" s="313"/>
      <c r="AS36" s="313"/>
      <c r="AT36" s="313"/>
      <c r="AU36" s="313"/>
      <c r="AV36" s="313"/>
      <c r="AW36" s="313"/>
      <c r="AX36" s="313"/>
      <c r="AY36" s="313"/>
      <c r="AZ36" s="313"/>
      <c r="BA36" s="313"/>
      <c r="BB36" s="11"/>
      <c r="BC36" s="129"/>
      <c r="BD36" s="14"/>
      <c r="BE36" s="14"/>
      <c r="BF36" s="14"/>
      <c r="BG36" s="14"/>
      <c r="BH36" s="14"/>
    </row>
    <row r="37" spans="1:60" s="13" customFormat="1" ht="20.25" customHeight="1" x14ac:dyDescent="0.35">
      <c r="C37" s="15"/>
      <c r="D37" s="15"/>
      <c r="E37" s="16">
        <v>7</v>
      </c>
      <c r="F37" s="16"/>
      <c r="G37" s="16"/>
      <c r="H37" s="16"/>
      <c r="I37" s="16"/>
      <c r="J37" s="16"/>
      <c r="K37" s="16"/>
      <c r="L37" s="16"/>
      <c r="M37" s="16"/>
      <c r="N37" s="16"/>
      <c r="O37" s="16"/>
      <c r="P37" s="16"/>
      <c r="Q37" s="16"/>
      <c r="R37" s="16"/>
      <c r="S37" s="16"/>
      <c r="T37" s="16"/>
      <c r="U37" s="16"/>
      <c r="V37" s="16"/>
      <c r="W37" s="16"/>
      <c r="X37" s="16"/>
      <c r="Y37" s="16"/>
      <c r="Z37" s="16"/>
      <c r="AA37" s="16"/>
      <c r="AB37" s="16"/>
      <c r="AC37" s="15"/>
      <c r="AD37" s="16">
        <v>8</v>
      </c>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C37" s="136"/>
    </row>
    <row r="38" spans="1:60" s="13" customFormat="1" ht="18.75" customHeight="1" x14ac:dyDescent="0.3">
      <c r="C38" s="25"/>
      <c r="D38" s="25"/>
      <c r="E38" s="39">
        <v>0</v>
      </c>
      <c r="F38" s="39">
        <v>1</v>
      </c>
      <c r="G38" s="39">
        <v>2</v>
      </c>
      <c r="H38" s="39">
        <v>3</v>
      </c>
      <c r="I38" s="39">
        <v>4</v>
      </c>
      <c r="J38" s="39">
        <v>5</v>
      </c>
      <c r="K38" s="39">
        <v>6</v>
      </c>
      <c r="L38" s="39">
        <v>7</v>
      </c>
      <c r="M38" s="39">
        <v>8</v>
      </c>
      <c r="N38" s="39">
        <v>9</v>
      </c>
      <c r="O38" s="39">
        <v>10</v>
      </c>
      <c r="P38" s="39">
        <v>11</v>
      </c>
      <c r="Q38" s="39">
        <v>12</v>
      </c>
      <c r="R38" s="39">
        <v>13</v>
      </c>
      <c r="S38" s="39">
        <v>14</v>
      </c>
      <c r="T38" s="39">
        <v>15</v>
      </c>
      <c r="U38" s="39">
        <v>16</v>
      </c>
      <c r="V38" s="39">
        <v>17</v>
      </c>
      <c r="W38" s="39">
        <v>18</v>
      </c>
      <c r="X38" s="39">
        <v>19</v>
      </c>
      <c r="Y38" s="39">
        <v>20</v>
      </c>
      <c r="Z38" s="39">
        <v>21</v>
      </c>
      <c r="AA38" s="39">
        <v>22</v>
      </c>
      <c r="AB38" s="39">
        <v>23</v>
      </c>
      <c r="AC38" s="25"/>
      <c r="AD38" s="39">
        <v>0</v>
      </c>
      <c r="AE38" s="39">
        <v>1</v>
      </c>
      <c r="AF38" s="39">
        <v>2</v>
      </c>
      <c r="AG38" s="39">
        <v>3</v>
      </c>
      <c r="AH38" s="39">
        <v>4</v>
      </c>
      <c r="AI38" s="39">
        <v>5</v>
      </c>
      <c r="AJ38" s="39">
        <v>6</v>
      </c>
      <c r="AK38" s="39">
        <v>7</v>
      </c>
      <c r="AL38" s="39">
        <v>8</v>
      </c>
      <c r="AM38" s="39">
        <v>9</v>
      </c>
      <c r="AN38" s="39">
        <v>10</v>
      </c>
      <c r="AO38" s="39">
        <v>11</v>
      </c>
      <c r="AP38" s="39">
        <v>12</v>
      </c>
      <c r="AQ38" s="39">
        <v>13</v>
      </c>
      <c r="AR38" s="39">
        <v>14</v>
      </c>
      <c r="AS38" s="39">
        <v>15</v>
      </c>
      <c r="AT38" s="39">
        <v>16</v>
      </c>
      <c r="AU38" s="39">
        <v>17</v>
      </c>
      <c r="AV38" s="39">
        <v>18</v>
      </c>
      <c r="AW38" s="39">
        <v>19</v>
      </c>
      <c r="AX38" s="39">
        <v>20</v>
      </c>
      <c r="AY38" s="39">
        <v>21</v>
      </c>
      <c r="AZ38" s="39">
        <v>22</v>
      </c>
      <c r="BA38" s="39">
        <v>23</v>
      </c>
      <c r="BC38" s="136"/>
    </row>
    <row r="39" spans="1:60" s="13" customFormat="1" x14ac:dyDescent="0.3">
      <c r="C39" s="25"/>
      <c r="D39" s="25"/>
      <c r="E39" s="40" t="s">
        <v>17</v>
      </c>
      <c r="F39" s="40" t="s">
        <v>18</v>
      </c>
      <c r="G39" s="40" t="s">
        <v>19</v>
      </c>
      <c r="H39" s="40" t="s">
        <v>20</v>
      </c>
      <c r="I39" s="40" t="s">
        <v>21</v>
      </c>
      <c r="J39" s="40" t="s">
        <v>22</v>
      </c>
      <c r="K39" s="40" t="s">
        <v>23</v>
      </c>
      <c r="L39" s="40" t="s">
        <v>24</v>
      </c>
      <c r="M39" s="40" t="s">
        <v>25</v>
      </c>
      <c r="N39" s="40" t="s">
        <v>26</v>
      </c>
      <c r="O39" s="40" t="s">
        <v>27</v>
      </c>
      <c r="P39" s="40" t="s">
        <v>28</v>
      </c>
      <c r="Q39" s="40" t="s">
        <v>29</v>
      </c>
      <c r="R39" s="40" t="s">
        <v>30</v>
      </c>
      <c r="S39" s="40" t="s">
        <v>31</v>
      </c>
      <c r="T39" s="40" t="s">
        <v>32</v>
      </c>
      <c r="U39" s="40" t="s">
        <v>33</v>
      </c>
      <c r="V39" s="40" t="s">
        <v>34</v>
      </c>
      <c r="W39" s="40" t="s">
        <v>35</v>
      </c>
      <c r="X39" s="40" t="s">
        <v>36</v>
      </c>
      <c r="Y39" s="40" t="s">
        <v>37</v>
      </c>
      <c r="Z39" s="40" t="s">
        <v>38</v>
      </c>
      <c r="AA39" s="40" t="s">
        <v>39</v>
      </c>
      <c r="AB39" s="40" t="s">
        <v>40</v>
      </c>
      <c r="AC39" s="25"/>
      <c r="AD39" s="40" t="s">
        <v>17</v>
      </c>
      <c r="AE39" s="40" t="s">
        <v>18</v>
      </c>
      <c r="AF39" s="40" t="s">
        <v>19</v>
      </c>
      <c r="AG39" s="40" t="s">
        <v>20</v>
      </c>
      <c r="AH39" s="40" t="s">
        <v>21</v>
      </c>
      <c r="AI39" s="40" t="s">
        <v>22</v>
      </c>
      <c r="AJ39" s="40" t="s">
        <v>23</v>
      </c>
      <c r="AK39" s="40" t="s">
        <v>24</v>
      </c>
      <c r="AL39" s="40" t="s">
        <v>25</v>
      </c>
      <c r="AM39" s="40" t="s">
        <v>26</v>
      </c>
      <c r="AN39" s="40" t="s">
        <v>27</v>
      </c>
      <c r="AO39" s="40" t="s">
        <v>28</v>
      </c>
      <c r="AP39" s="40" t="s">
        <v>29</v>
      </c>
      <c r="AQ39" s="40" t="s">
        <v>30</v>
      </c>
      <c r="AR39" s="40" t="s">
        <v>31</v>
      </c>
      <c r="AS39" s="40" t="s">
        <v>32</v>
      </c>
      <c r="AT39" s="40" t="s">
        <v>33</v>
      </c>
      <c r="AU39" s="40" t="s">
        <v>34</v>
      </c>
      <c r="AV39" s="40" t="s">
        <v>35</v>
      </c>
      <c r="AW39" s="40" t="s">
        <v>36</v>
      </c>
      <c r="AX39" s="40" t="s">
        <v>37</v>
      </c>
      <c r="AY39" s="40" t="s">
        <v>38</v>
      </c>
      <c r="AZ39" s="40" t="s">
        <v>39</v>
      </c>
      <c r="BA39" s="40" t="s">
        <v>40</v>
      </c>
      <c r="BB39" s="136"/>
      <c r="BC39" s="136"/>
    </row>
    <row r="40" spans="1:60" s="13" customFormat="1" ht="15" customHeight="1" x14ac:dyDescent="0.3">
      <c r="C40" s="23" t="s">
        <v>41</v>
      </c>
      <c r="D40" s="10"/>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1"/>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C40" s="136"/>
    </row>
    <row r="41" spans="1:60" s="13" customFormat="1" ht="15.75" customHeight="1" x14ac:dyDescent="0.3">
      <c r="C41" s="23" t="s">
        <v>42</v>
      </c>
      <c r="D41" s="10"/>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1"/>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C41" s="136"/>
    </row>
    <row r="42" spans="1:60" s="13" customFormat="1" ht="15" customHeight="1" x14ac:dyDescent="0.3">
      <c r="C42" s="23" t="s">
        <v>43</v>
      </c>
      <c r="D42" s="10"/>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1"/>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C42" s="136"/>
    </row>
    <row r="43" spans="1:60" s="13" customFormat="1" ht="15.75" customHeight="1" x14ac:dyDescent="0.3">
      <c r="C43" s="23" t="s">
        <v>44</v>
      </c>
      <c r="D43" s="10"/>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1"/>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C43" s="136"/>
    </row>
    <row r="44" spans="1:60" s="13" customFormat="1" ht="15.75" customHeight="1" x14ac:dyDescent="0.3">
      <c r="C44" s="23" t="s">
        <v>45</v>
      </c>
      <c r="D44" s="10"/>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1"/>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C44" s="136"/>
    </row>
    <row r="45" spans="1:60" s="13" customFormat="1" ht="15.75" customHeight="1" x14ac:dyDescent="0.3">
      <c r="C45" s="23" t="s">
        <v>46</v>
      </c>
      <c r="D45" s="10"/>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1"/>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C45" s="136"/>
    </row>
    <row r="46" spans="1:60" ht="57.75" customHeight="1" x14ac:dyDescent="0.3">
      <c r="A46" s="67"/>
      <c r="B46" s="14"/>
      <c r="C46" s="24" t="s">
        <v>70</v>
      </c>
      <c r="E46" s="307"/>
      <c r="F46" s="307"/>
      <c r="G46" s="307"/>
      <c r="H46" s="307"/>
      <c r="I46" s="307"/>
      <c r="J46" s="307"/>
      <c r="K46" s="307"/>
      <c r="L46" s="307"/>
      <c r="M46" s="307"/>
      <c r="N46" s="307"/>
      <c r="O46" s="307"/>
      <c r="P46" s="307"/>
      <c r="Q46" s="307"/>
      <c r="R46" s="307"/>
      <c r="S46" s="307"/>
      <c r="T46" s="307"/>
      <c r="U46" s="307"/>
      <c r="V46" s="307"/>
      <c r="W46" s="307"/>
      <c r="X46" s="307"/>
      <c r="Y46" s="307"/>
      <c r="Z46" s="307"/>
      <c r="AA46" s="307"/>
      <c r="AB46" s="307"/>
      <c r="AC46" s="32"/>
      <c r="AD46" s="307"/>
      <c r="AE46" s="307"/>
      <c r="AF46" s="307"/>
      <c r="AG46" s="307"/>
      <c r="AH46" s="307"/>
      <c r="AI46" s="307"/>
      <c r="AJ46" s="307"/>
      <c r="AK46" s="307"/>
      <c r="AL46" s="307"/>
      <c r="AM46" s="307"/>
      <c r="AN46" s="307"/>
      <c r="AO46" s="307"/>
      <c r="AP46" s="307"/>
      <c r="AQ46" s="307"/>
      <c r="AR46" s="307"/>
      <c r="AS46" s="307"/>
      <c r="AT46" s="307"/>
      <c r="AU46" s="307"/>
      <c r="AV46" s="307"/>
      <c r="AW46" s="307"/>
      <c r="AX46" s="307"/>
      <c r="AY46" s="307"/>
      <c r="AZ46" s="307"/>
      <c r="BA46" s="307"/>
      <c r="BB46" s="11"/>
      <c r="BC46" s="129"/>
      <c r="BD46" s="14"/>
      <c r="BE46" s="14"/>
      <c r="BF46" s="14"/>
      <c r="BG46" s="14"/>
      <c r="BH46" s="14"/>
    </row>
    <row r="47" spans="1:60" ht="43.5" customHeight="1" x14ac:dyDescent="0.3">
      <c r="A47" s="67"/>
      <c r="B47" s="14"/>
      <c r="C47" s="24" t="s">
        <v>47</v>
      </c>
      <c r="E47" s="312"/>
      <c r="F47" s="313"/>
      <c r="G47" s="313"/>
      <c r="H47" s="313"/>
      <c r="I47" s="313"/>
      <c r="J47" s="313"/>
      <c r="K47" s="313"/>
      <c r="L47" s="313"/>
      <c r="M47" s="313"/>
      <c r="N47" s="313"/>
      <c r="O47" s="313"/>
      <c r="P47" s="314"/>
      <c r="Q47" s="315"/>
      <c r="R47" s="313"/>
      <c r="S47" s="313"/>
      <c r="T47" s="313"/>
      <c r="U47" s="313"/>
      <c r="V47" s="313"/>
      <c r="W47" s="313"/>
      <c r="X47" s="313"/>
      <c r="Y47" s="313"/>
      <c r="Z47" s="313"/>
      <c r="AA47" s="313"/>
      <c r="AB47" s="313"/>
      <c r="AC47" s="32"/>
      <c r="AD47" s="312"/>
      <c r="AE47" s="313"/>
      <c r="AF47" s="313"/>
      <c r="AG47" s="313"/>
      <c r="AH47" s="313"/>
      <c r="AI47" s="313"/>
      <c r="AJ47" s="313"/>
      <c r="AK47" s="313"/>
      <c r="AL47" s="313"/>
      <c r="AM47" s="313"/>
      <c r="AN47" s="313"/>
      <c r="AO47" s="314"/>
      <c r="AP47" s="315"/>
      <c r="AQ47" s="313"/>
      <c r="AR47" s="313"/>
      <c r="AS47" s="313"/>
      <c r="AT47" s="313"/>
      <c r="AU47" s="313"/>
      <c r="AV47" s="313"/>
      <c r="AW47" s="313"/>
      <c r="AX47" s="313"/>
      <c r="AY47" s="313"/>
      <c r="AZ47" s="313"/>
      <c r="BA47" s="313"/>
      <c r="BB47" s="11"/>
      <c r="BC47" s="129"/>
      <c r="BD47" s="14"/>
      <c r="BE47" s="14"/>
      <c r="BF47" s="14"/>
      <c r="BG47" s="14"/>
      <c r="BH47" s="14"/>
    </row>
    <row r="48" spans="1:60" x14ac:dyDescent="0.3">
      <c r="A48" s="14"/>
      <c r="B48" s="14"/>
      <c r="BB48" s="11"/>
      <c r="BC48" s="129"/>
      <c r="BD48" s="14"/>
      <c r="BE48" s="14"/>
      <c r="BF48" s="14"/>
      <c r="BG48" s="14"/>
      <c r="BH48" s="14"/>
    </row>
    <row r="49" spans="1:60" ht="16.2" thickBot="1" x14ac:dyDescent="0.35">
      <c r="A49" s="14"/>
      <c r="B49" s="14"/>
      <c r="C49" s="306" t="s">
        <v>13</v>
      </c>
      <c r="D49" s="306"/>
      <c r="E49" s="306"/>
      <c r="F49" s="306"/>
      <c r="G49" s="306"/>
      <c r="H49" s="306"/>
      <c r="I49" s="306"/>
      <c r="J49" s="306"/>
      <c r="N49" s="12" t="s">
        <v>14</v>
      </c>
      <c r="O49" s="13"/>
      <c r="P49" s="305" t="str">
        <f>P2</f>
        <v>EQ - Utah Technical Center</v>
      </c>
      <c r="Q49" s="305"/>
      <c r="R49" s="305"/>
      <c r="S49" s="305"/>
      <c r="T49" s="305"/>
      <c r="U49" s="305"/>
      <c r="V49" s="12" t="s">
        <v>15</v>
      </c>
      <c r="W49" s="13"/>
      <c r="X49" s="13"/>
      <c r="Y49" s="13"/>
      <c r="Z49" s="305" t="str">
        <f>Z2</f>
        <v>Month 2025</v>
      </c>
      <c r="AA49" s="305"/>
      <c r="AB49" s="305"/>
      <c r="AC49" s="305"/>
      <c r="AD49" s="305"/>
      <c r="AE49" s="305"/>
      <c r="AZ49" s="10" t="s">
        <v>16</v>
      </c>
      <c r="BA49" s="10">
        <v>2</v>
      </c>
      <c r="BB49" s="11"/>
      <c r="BC49" s="129"/>
      <c r="BD49" s="14"/>
      <c r="BE49" s="14"/>
      <c r="BF49" s="14"/>
      <c r="BG49" s="14"/>
      <c r="BH49" s="14"/>
    </row>
    <row r="50" spans="1:60" x14ac:dyDescent="0.3">
      <c r="A50" s="14"/>
      <c r="B50" s="14"/>
      <c r="C50" s="306"/>
      <c r="D50" s="306"/>
      <c r="E50" s="306"/>
      <c r="F50" s="306"/>
      <c r="G50" s="306"/>
      <c r="H50" s="306"/>
      <c r="I50" s="306"/>
      <c r="J50" s="306"/>
      <c r="N50" s="12"/>
      <c r="V50" s="12"/>
      <c r="BB50" s="11"/>
      <c r="BC50" s="129"/>
      <c r="BD50" s="14"/>
      <c r="BE50" s="14"/>
      <c r="BF50" s="14"/>
      <c r="BG50" s="14"/>
      <c r="BH50" s="14"/>
    </row>
    <row r="51" spans="1:60" s="13" customFormat="1" ht="15.75" customHeight="1" x14ac:dyDescent="0.35">
      <c r="C51" s="15"/>
      <c r="D51" s="15"/>
      <c r="E51" s="16">
        <v>9</v>
      </c>
      <c r="F51" s="16"/>
      <c r="G51" s="16"/>
      <c r="H51" s="16"/>
      <c r="I51" s="16"/>
      <c r="J51" s="16"/>
      <c r="K51" s="16"/>
      <c r="L51" s="16"/>
      <c r="M51" s="16"/>
      <c r="N51" s="16"/>
      <c r="O51" s="16"/>
      <c r="P51" s="16"/>
      <c r="Q51" s="16"/>
      <c r="R51" s="16"/>
      <c r="S51" s="16"/>
      <c r="T51" s="16"/>
      <c r="U51" s="16"/>
      <c r="V51" s="16"/>
      <c r="W51" s="16"/>
      <c r="X51" s="16"/>
      <c r="Y51" s="16"/>
      <c r="Z51" s="16"/>
      <c r="AA51" s="16"/>
      <c r="AB51" s="16"/>
      <c r="AC51" s="15"/>
      <c r="AD51" s="16">
        <v>10</v>
      </c>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C51" s="130"/>
      <c r="BD51" s="316" t="s">
        <v>60</v>
      </c>
      <c r="BE51" s="316"/>
      <c r="BF51" s="316"/>
      <c r="BG51" s="316"/>
      <c r="BH51" s="316"/>
    </row>
    <row r="52" spans="1:60" s="13" customFormat="1" ht="15.75" customHeight="1" x14ac:dyDescent="0.3">
      <c r="C52" s="25"/>
      <c r="D52" s="25"/>
      <c r="E52" s="39">
        <v>0</v>
      </c>
      <c r="F52" s="39">
        <v>1</v>
      </c>
      <c r="G52" s="39">
        <v>2</v>
      </c>
      <c r="H52" s="39">
        <v>3</v>
      </c>
      <c r="I52" s="39">
        <v>4</v>
      </c>
      <c r="J52" s="39">
        <v>5</v>
      </c>
      <c r="K52" s="39">
        <v>6</v>
      </c>
      <c r="L52" s="39">
        <v>7</v>
      </c>
      <c r="M52" s="39">
        <v>8</v>
      </c>
      <c r="N52" s="39">
        <v>9</v>
      </c>
      <c r="O52" s="39">
        <v>10</v>
      </c>
      <c r="P52" s="39">
        <v>11</v>
      </c>
      <c r="Q52" s="39">
        <v>12</v>
      </c>
      <c r="R52" s="39">
        <v>13</v>
      </c>
      <c r="S52" s="39">
        <v>14</v>
      </c>
      <c r="T52" s="39">
        <v>15</v>
      </c>
      <c r="U52" s="39">
        <v>16</v>
      </c>
      <c r="V52" s="39">
        <v>17</v>
      </c>
      <c r="W52" s="39">
        <v>18</v>
      </c>
      <c r="X52" s="39">
        <v>19</v>
      </c>
      <c r="Y52" s="39">
        <v>20</v>
      </c>
      <c r="Z52" s="39">
        <v>21</v>
      </c>
      <c r="AA52" s="39">
        <v>22</v>
      </c>
      <c r="AB52" s="39">
        <v>23</v>
      </c>
      <c r="AC52" s="25"/>
      <c r="AD52" s="39">
        <v>0</v>
      </c>
      <c r="AE52" s="39">
        <v>1</v>
      </c>
      <c r="AF52" s="39">
        <v>2</v>
      </c>
      <c r="AG52" s="39">
        <v>3</v>
      </c>
      <c r="AH52" s="39">
        <v>4</v>
      </c>
      <c r="AI52" s="39">
        <v>5</v>
      </c>
      <c r="AJ52" s="39">
        <v>6</v>
      </c>
      <c r="AK52" s="39">
        <v>7</v>
      </c>
      <c r="AL52" s="39">
        <v>8</v>
      </c>
      <c r="AM52" s="39">
        <v>9</v>
      </c>
      <c r="AN52" s="39">
        <v>10</v>
      </c>
      <c r="AO52" s="39">
        <v>11</v>
      </c>
      <c r="AP52" s="39">
        <v>12</v>
      </c>
      <c r="AQ52" s="39">
        <v>13</v>
      </c>
      <c r="AR52" s="39">
        <v>14</v>
      </c>
      <c r="AS52" s="39">
        <v>15</v>
      </c>
      <c r="AT52" s="39">
        <v>16</v>
      </c>
      <c r="AU52" s="39">
        <v>17</v>
      </c>
      <c r="AV52" s="39">
        <v>18</v>
      </c>
      <c r="AW52" s="39">
        <v>19</v>
      </c>
      <c r="AX52" s="39">
        <v>20</v>
      </c>
      <c r="AY52" s="39">
        <v>21</v>
      </c>
      <c r="AZ52" s="39">
        <v>22</v>
      </c>
      <c r="BA52" s="39">
        <v>23</v>
      </c>
      <c r="BC52" s="28"/>
      <c r="BD52" s="317" t="s">
        <v>61</v>
      </c>
      <c r="BE52" s="317"/>
      <c r="BF52" s="317"/>
      <c r="BG52" s="317"/>
      <c r="BH52" s="317"/>
    </row>
    <row r="53" spans="1:60" s="13" customFormat="1" ht="15.75" customHeight="1" x14ac:dyDescent="0.3">
      <c r="C53" s="25"/>
      <c r="D53" s="25"/>
      <c r="E53" s="40" t="s">
        <v>17</v>
      </c>
      <c r="F53" s="40" t="s">
        <v>18</v>
      </c>
      <c r="G53" s="40" t="s">
        <v>19</v>
      </c>
      <c r="H53" s="40" t="s">
        <v>20</v>
      </c>
      <c r="I53" s="40" t="s">
        <v>21</v>
      </c>
      <c r="J53" s="40" t="s">
        <v>22</v>
      </c>
      <c r="K53" s="40" t="s">
        <v>23</v>
      </c>
      <c r="L53" s="40" t="s">
        <v>24</v>
      </c>
      <c r="M53" s="40" t="s">
        <v>25</v>
      </c>
      <c r="N53" s="40" t="s">
        <v>26</v>
      </c>
      <c r="O53" s="40" t="s">
        <v>27</v>
      </c>
      <c r="P53" s="40" t="s">
        <v>28</v>
      </c>
      <c r="Q53" s="40" t="s">
        <v>29</v>
      </c>
      <c r="R53" s="40" t="s">
        <v>30</v>
      </c>
      <c r="S53" s="40" t="s">
        <v>31</v>
      </c>
      <c r="T53" s="40" t="s">
        <v>32</v>
      </c>
      <c r="U53" s="40" t="s">
        <v>33</v>
      </c>
      <c r="V53" s="40" t="s">
        <v>34</v>
      </c>
      <c r="W53" s="40" t="s">
        <v>35</v>
      </c>
      <c r="X53" s="40" t="s">
        <v>36</v>
      </c>
      <c r="Y53" s="40" t="s">
        <v>37</v>
      </c>
      <c r="Z53" s="40" t="s">
        <v>38</v>
      </c>
      <c r="AA53" s="40" t="s">
        <v>39</v>
      </c>
      <c r="AB53" s="40" t="s">
        <v>40</v>
      </c>
      <c r="AC53" s="25"/>
      <c r="AD53" s="40" t="s">
        <v>17</v>
      </c>
      <c r="AE53" s="40" t="s">
        <v>18</v>
      </c>
      <c r="AF53" s="40" t="s">
        <v>19</v>
      </c>
      <c r="AG53" s="40" t="s">
        <v>20</v>
      </c>
      <c r="AH53" s="40" t="s">
        <v>21</v>
      </c>
      <c r="AI53" s="40" t="s">
        <v>22</v>
      </c>
      <c r="AJ53" s="40" t="s">
        <v>23</v>
      </c>
      <c r="AK53" s="40" t="s">
        <v>24</v>
      </c>
      <c r="AL53" s="40" t="s">
        <v>25</v>
      </c>
      <c r="AM53" s="40" t="s">
        <v>26</v>
      </c>
      <c r="AN53" s="40" t="s">
        <v>27</v>
      </c>
      <c r="AO53" s="40" t="s">
        <v>28</v>
      </c>
      <c r="AP53" s="40" t="s">
        <v>29</v>
      </c>
      <c r="AQ53" s="40" t="s">
        <v>30</v>
      </c>
      <c r="AR53" s="40" t="s">
        <v>31</v>
      </c>
      <c r="AS53" s="40" t="s">
        <v>32</v>
      </c>
      <c r="AT53" s="40" t="s">
        <v>33</v>
      </c>
      <c r="AU53" s="40" t="s">
        <v>34</v>
      </c>
      <c r="AV53" s="40" t="s">
        <v>35</v>
      </c>
      <c r="AW53" s="40" t="s">
        <v>36</v>
      </c>
      <c r="AX53" s="40" t="s">
        <v>37</v>
      </c>
      <c r="AY53" s="40" t="s">
        <v>38</v>
      </c>
      <c r="AZ53" s="40" t="s">
        <v>39</v>
      </c>
      <c r="BA53" s="40" t="s">
        <v>40</v>
      </c>
      <c r="BC53" s="125"/>
      <c r="BD53" s="308" t="s">
        <v>62</v>
      </c>
      <c r="BE53" s="308"/>
      <c r="BF53" s="308"/>
      <c r="BG53" s="308"/>
      <c r="BH53" s="308"/>
    </row>
    <row r="54" spans="1:60" s="13" customFormat="1" ht="15.75" customHeight="1" x14ac:dyDescent="0.3">
      <c r="C54" s="23" t="s">
        <v>41</v>
      </c>
      <c r="D54" s="10"/>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1"/>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C54" s="126"/>
      <c r="BD54" s="308" t="s">
        <v>63</v>
      </c>
      <c r="BE54" s="308"/>
      <c r="BF54" s="308"/>
      <c r="BG54" s="308"/>
      <c r="BH54" s="308"/>
    </row>
    <row r="55" spans="1:60" s="13" customFormat="1" x14ac:dyDescent="0.3">
      <c r="C55" s="23" t="s">
        <v>42</v>
      </c>
      <c r="D55" s="10"/>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1"/>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C55" s="127"/>
      <c r="BD55" s="309" t="s">
        <v>140</v>
      </c>
      <c r="BE55" s="310"/>
      <c r="BF55" s="310"/>
      <c r="BG55" s="310"/>
      <c r="BH55" s="311"/>
    </row>
    <row r="56" spans="1:60" s="13" customFormat="1" ht="15.75" customHeight="1" x14ac:dyDescent="0.3">
      <c r="C56" s="23" t="s">
        <v>43</v>
      </c>
      <c r="D56" s="10"/>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1"/>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C56" s="131"/>
      <c r="BD56" s="308" t="s">
        <v>64</v>
      </c>
      <c r="BE56" s="308"/>
      <c r="BF56" s="308"/>
      <c r="BG56" s="308"/>
      <c r="BH56" s="308"/>
    </row>
    <row r="57" spans="1:60" s="13" customFormat="1" ht="15.75" customHeight="1" x14ac:dyDescent="0.3">
      <c r="C57" s="23" t="s">
        <v>44</v>
      </c>
      <c r="D57" s="10"/>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1"/>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C57" s="128"/>
      <c r="BD57" s="308" t="s">
        <v>65</v>
      </c>
      <c r="BE57" s="308"/>
      <c r="BF57" s="308"/>
      <c r="BG57" s="308"/>
      <c r="BH57" s="308"/>
    </row>
    <row r="58" spans="1:60" s="13" customFormat="1" ht="15.75" customHeight="1" x14ac:dyDescent="0.3">
      <c r="C58" s="23" t="s">
        <v>45</v>
      </c>
      <c r="D58" s="10"/>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1"/>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C58" s="132"/>
      <c r="BD58" s="304" t="s">
        <v>89</v>
      </c>
      <c r="BE58" s="304"/>
      <c r="BF58" s="304"/>
      <c r="BG58" s="304"/>
      <c r="BH58" s="304"/>
    </row>
    <row r="59" spans="1:60" s="13" customFormat="1" ht="15.75" customHeight="1" x14ac:dyDescent="0.3">
      <c r="C59" s="23" t="s">
        <v>46</v>
      </c>
      <c r="D59" s="10"/>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1"/>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C59" s="97" t="s">
        <v>83</v>
      </c>
      <c r="BD59" s="304" t="s">
        <v>82</v>
      </c>
      <c r="BE59" s="304"/>
      <c r="BF59" s="304"/>
      <c r="BG59" s="304"/>
      <c r="BH59" s="304"/>
    </row>
    <row r="60" spans="1:60" ht="69.900000000000006" customHeight="1" x14ac:dyDescent="0.3">
      <c r="A60" s="14"/>
      <c r="B60" s="14"/>
      <c r="C60" s="24" t="s">
        <v>70</v>
      </c>
      <c r="E60" s="307"/>
      <c r="F60" s="307"/>
      <c r="G60" s="307"/>
      <c r="H60" s="307"/>
      <c r="I60" s="307"/>
      <c r="J60" s="307"/>
      <c r="K60" s="307"/>
      <c r="L60" s="307"/>
      <c r="M60" s="307"/>
      <c r="N60" s="307"/>
      <c r="O60" s="307"/>
      <c r="P60" s="307"/>
      <c r="Q60" s="307"/>
      <c r="R60" s="307"/>
      <c r="S60" s="307"/>
      <c r="T60" s="307"/>
      <c r="U60" s="307"/>
      <c r="V60" s="307"/>
      <c r="W60" s="307"/>
      <c r="X60" s="307"/>
      <c r="Y60" s="307"/>
      <c r="Z60" s="307"/>
      <c r="AA60" s="307"/>
      <c r="AB60" s="307"/>
      <c r="AC60" s="32"/>
      <c r="AD60" s="307"/>
      <c r="AE60" s="307"/>
      <c r="AF60" s="307"/>
      <c r="AG60" s="307"/>
      <c r="AH60" s="307"/>
      <c r="AI60" s="307"/>
      <c r="AJ60" s="307"/>
      <c r="AK60" s="307"/>
      <c r="AL60" s="307"/>
      <c r="AM60" s="307"/>
      <c r="AN60" s="307"/>
      <c r="AO60" s="307"/>
      <c r="AP60" s="307"/>
      <c r="AQ60" s="307"/>
      <c r="AR60" s="307"/>
      <c r="AS60" s="307"/>
      <c r="AT60" s="307"/>
      <c r="AU60" s="307"/>
      <c r="AV60" s="307"/>
      <c r="AW60" s="307"/>
      <c r="AX60" s="307"/>
      <c r="AY60" s="307"/>
      <c r="AZ60" s="307"/>
      <c r="BA60" s="307"/>
      <c r="BB60" s="11"/>
      <c r="BC60" s="133" t="s">
        <v>90</v>
      </c>
      <c r="BD60" s="304" t="s">
        <v>91</v>
      </c>
      <c r="BE60" s="304"/>
      <c r="BF60" s="304"/>
      <c r="BG60" s="304"/>
      <c r="BH60" s="304"/>
    </row>
    <row r="61" spans="1:60" ht="43.5" customHeight="1" x14ac:dyDescent="0.3">
      <c r="A61" s="67"/>
      <c r="B61" s="14"/>
      <c r="C61" s="24" t="s">
        <v>47</v>
      </c>
      <c r="E61" s="312"/>
      <c r="F61" s="313"/>
      <c r="G61" s="313"/>
      <c r="H61" s="313"/>
      <c r="I61" s="313"/>
      <c r="J61" s="313"/>
      <c r="K61" s="313"/>
      <c r="L61" s="313"/>
      <c r="M61" s="313"/>
      <c r="N61" s="313"/>
      <c r="O61" s="313"/>
      <c r="P61" s="314"/>
      <c r="Q61" s="315"/>
      <c r="R61" s="313"/>
      <c r="S61" s="313"/>
      <c r="T61" s="313"/>
      <c r="U61" s="313"/>
      <c r="V61" s="313"/>
      <c r="W61" s="313"/>
      <c r="X61" s="313"/>
      <c r="Y61" s="313"/>
      <c r="Z61" s="313"/>
      <c r="AA61" s="313"/>
      <c r="AB61" s="313"/>
      <c r="AC61" s="32"/>
      <c r="AD61" s="312"/>
      <c r="AE61" s="313"/>
      <c r="AF61" s="313"/>
      <c r="AG61" s="313"/>
      <c r="AH61" s="313"/>
      <c r="AI61" s="313"/>
      <c r="AJ61" s="313"/>
      <c r="AK61" s="313"/>
      <c r="AL61" s="313"/>
      <c r="AM61" s="313"/>
      <c r="AN61" s="313"/>
      <c r="AO61" s="314"/>
      <c r="AP61" s="315"/>
      <c r="AQ61" s="313"/>
      <c r="AR61" s="313"/>
      <c r="AS61" s="313"/>
      <c r="AT61" s="313"/>
      <c r="AU61" s="313"/>
      <c r="AV61" s="313"/>
      <c r="AW61" s="313"/>
      <c r="AX61" s="313"/>
      <c r="AY61" s="313"/>
      <c r="AZ61" s="313"/>
      <c r="BA61" s="313"/>
      <c r="BB61" s="11"/>
      <c r="BC61" s="134"/>
      <c r="BD61" s="309" t="s">
        <v>139</v>
      </c>
      <c r="BE61" s="310"/>
      <c r="BF61" s="310"/>
      <c r="BG61" s="310"/>
      <c r="BH61" s="311"/>
    </row>
    <row r="62" spans="1:60" s="13" customFormat="1" ht="15.75" customHeight="1" x14ac:dyDescent="0.35">
      <c r="C62" s="15"/>
      <c r="D62" s="15"/>
      <c r="E62" s="16">
        <v>11</v>
      </c>
      <c r="F62" s="16"/>
      <c r="G62" s="16"/>
      <c r="H62" s="16"/>
      <c r="I62" s="16"/>
      <c r="J62" s="16"/>
      <c r="K62" s="16"/>
      <c r="L62" s="16"/>
      <c r="M62" s="16"/>
      <c r="N62" s="16"/>
      <c r="O62" s="16"/>
      <c r="P62" s="16"/>
      <c r="Q62" s="16"/>
      <c r="R62" s="16"/>
      <c r="S62" s="16"/>
      <c r="T62" s="16"/>
      <c r="U62" s="16"/>
      <c r="V62" s="16"/>
      <c r="W62" s="16"/>
      <c r="X62" s="16"/>
      <c r="Y62" s="16"/>
      <c r="Z62" s="16"/>
      <c r="AA62" s="16"/>
      <c r="AB62" s="16"/>
      <c r="AC62" s="15"/>
      <c r="AD62" s="16">
        <v>12</v>
      </c>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C62" s="135"/>
      <c r="BD62" s="304" t="s">
        <v>141</v>
      </c>
      <c r="BE62" s="304"/>
      <c r="BF62" s="304"/>
      <c r="BG62" s="304"/>
      <c r="BH62" s="304"/>
    </row>
    <row r="63" spans="1:60" s="13" customFormat="1" ht="15.75" customHeight="1" x14ac:dyDescent="0.3">
      <c r="C63" s="25"/>
      <c r="D63" s="25"/>
      <c r="E63" s="39">
        <v>0</v>
      </c>
      <c r="F63" s="39">
        <v>1</v>
      </c>
      <c r="G63" s="39">
        <v>2</v>
      </c>
      <c r="H63" s="39">
        <v>3</v>
      </c>
      <c r="I63" s="39">
        <v>4</v>
      </c>
      <c r="J63" s="39">
        <v>5</v>
      </c>
      <c r="K63" s="39">
        <v>6</v>
      </c>
      <c r="L63" s="39">
        <v>7</v>
      </c>
      <c r="M63" s="39">
        <v>8</v>
      </c>
      <c r="N63" s="39">
        <v>9</v>
      </c>
      <c r="O63" s="39">
        <v>10</v>
      </c>
      <c r="P63" s="39">
        <v>11</v>
      </c>
      <c r="Q63" s="39">
        <v>12</v>
      </c>
      <c r="R63" s="39">
        <v>13</v>
      </c>
      <c r="S63" s="39">
        <v>14</v>
      </c>
      <c r="T63" s="39">
        <v>15</v>
      </c>
      <c r="U63" s="39">
        <v>16</v>
      </c>
      <c r="V63" s="39">
        <v>17</v>
      </c>
      <c r="W63" s="39">
        <v>18</v>
      </c>
      <c r="X63" s="39">
        <v>19</v>
      </c>
      <c r="Y63" s="39">
        <v>20</v>
      </c>
      <c r="Z63" s="39">
        <v>21</v>
      </c>
      <c r="AA63" s="39">
        <v>22</v>
      </c>
      <c r="AB63" s="39">
        <v>23</v>
      </c>
      <c r="AC63" s="25"/>
      <c r="AD63" s="39">
        <v>0</v>
      </c>
      <c r="AE63" s="39">
        <v>1</v>
      </c>
      <c r="AF63" s="39">
        <v>2</v>
      </c>
      <c r="AG63" s="39">
        <v>3</v>
      </c>
      <c r="AH63" s="39">
        <v>4</v>
      </c>
      <c r="AI63" s="39">
        <v>5</v>
      </c>
      <c r="AJ63" s="39">
        <v>6</v>
      </c>
      <c r="AK63" s="39">
        <v>7</v>
      </c>
      <c r="AL63" s="39">
        <v>8</v>
      </c>
      <c r="AM63" s="39">
        <v>9</v>
      </c>
      <c r="AN63" s="39">
        <v>10</v>
      </c>
      <c r="AO63" s="39">
        <v>11</v>
      </c>
      <c r="AP63" s="39">
        <v>12</v>
      </c>
      <c r="AQ63" s="39">
        <v>13</v>
      </c>
      <c r="AR63" s="39">
        <v>14</v>
      </c>
      <c r="AS63" s="39">
        <v>15</v>
      </c>
      <c r="AT63" s="39">
        <v>16</v>
      </c>
      <c r="AU63" s="39">
        <v>17</v>
      </c>
      <c r="AV63" s="39">
        <v>18</v>
      </c>
      <c r="AW63" s="39">
        <v>19</v>
      </c>
      <c r="AX63" s="39">
        <v>20</v>
      </c>
      <c r="AY63" s="39">
        <v>21</v>
      </c>
      <c r="AZ63" s="39">
        <v>22</v>
      </c>
      <c r="BA63" s="39">
        <v>23</v>
      </c>
      <c r="BC63" s="133" t="s">
        <v>144</v>
      </c>
      <c r="BD63" s="304" t="s">
        <v>145</v>
      </c>
      <c r="BE63" s="304"/>
      <c r="BF63" s="304"/>
      <c r="BG63" s="304"/>
      <c r="BH63" s="304"/>
    </row>
    <row r="64" spans="1:60" s="13" customFormat="1" x14ac:dyDescent="0.3">
      <c r="C64" s="25"/>
      <c r="D64" s="25"/>
      <c r="E64" s="40" t="s">
        <v>17</v>
      </c>
      <c r="F64" s="40" t="s">
        <v>18</v>
      </c>
      <c r="G64" s="40" t="s">
        <v>19</v>
      </c>
      <c r="H64" s="40" t="s">
        <v>20</v>
      </c>
      <c r="I64" s="40" t="s">
        <v>21</v>
      </c>
      <c r="J64" s="40" t="s">
        <v>22</v>
      </c>
      <c r="K64" s="40" t="s">
        <v>23</v>
      </c>
      <c r="L64" s="40" t="s">
        <v>24</v>
      </c>
      <c r="M64" s="40" t="s">
        <v>25</v>
      </c>
      <c r="N64" s="40" t="s">
        <v>26</v>
      </c>
      <c r="O64" s="40" t="s">
        <v>27</v>
      </c>
      <c r="P64" s="40" t="s">
        <v>28</v>
      </c>
      <c r="Q64" s="40" t="s">
        <v>29</v>
      </c>
      <c r="R64" s="40" t="s">
        <v>30</v>
      </c>
      <c r="S64" s="40" t="s">
        <v>31</v>
      </c>
      <c r="T64" s="40" t="s">
        <v>32</v>
      </c>
      <c r="U64" s="40" t="s">
        <v>33</v>
      </c>
      <c r="V64" s="40" t="s">
        <v>34</v>
      </c>
      <c r="W64" s="40" t="s">
        <v>35</v>
      </c>
      <c r="X64" s="40" t="s">
        <v>36</v>
      </c>
      <c r="Y64" s="40" t="s">
        <v>37</v>
      </c>
      <c r="Z64" s="40" t="s">
        <v>38</v>
      </c>
      <c r="AA64" s="40" t="s">
        <v>39</v>
      </c>
      <c r="AB64" s="40" t="s">
        <v>40</v>
      </c>
      <c r="AC64" s="25"/>
      <c r="AD64" s="40" t="s">
        <v>17</v>
      </c>
      <c r="AE64" s="40" t="s">
        <v>18</v>
      </c>
      <c r="AF64" s="40" t="s">
        <v>19</v>
      </c>
      <c r="AG64" s="40" t="s">
        <v>20</v>
      </c>
      <c r="AH64" s="40" t="s">
        <v>21</v>
      </c>
      <c r="AI64" s="40" t="s">
        <v>22</v>
      </c>
      <c r="AJ64" s="40" t="s">
        <v>23</v>
      </c>
      <c r="AK64" s="40" t="s">
        <v>24</v>
      </c>
      <c r="AL64" s="40" t="s">
        <v>25</v>
      </c>
      <c r="AM64" s="40" t="s">
        <v>26</v>
      </c>
      <c r="AN64" s="40" t="s">
        <v>27</v>
      </c>
      <c r="AO64" s="40" t="s">
        <v>28</v>
      </c>
      <c r="AP64" s="40" t="s">
        <v>29</v>
      </c>
      <c r="AQ64" s="40" t="s">
        <v>30</v>
      </c>
      <c r="AR64" s="40" t="s">
        <v>31</v>
      </c>
      <c r="AS64" s="40" t="s">
        <v>32</v>
      </c>
      <c r="AT64" s="40" t="s">
        <v>33</v>
      </c>
      <c r="AU64" s="40" t="s">
        <v>34</v>
      </c>
      <c r="AV64" s="40" t="s">
        <v>35</v>
      </c>
      <c r="AW64" s="40" t="s">
        <v>36</v>
      </c>
      <c r="AX64" s="40" t="s">
        <v>37</v>
      </c>
      <c r="AY64" s="40" t="s">
        <v>38</v>
      </c>
      <c r="AZ64" s="40" t="s">
        <v>39</v>
      </c>
      <c r="BA64" s="40" t="s">
        <v>40</v>
      </c>
      <c r="BC64" s="136"/>
    </row>
    <row r="65" spans="1:60" s="13" customFormat="1" ht="15.75" customHeight="1" x14ac:dyDescent="0.3">
      <c r="C65" s="23" t="s">
        <v>41</v>
      </c>
      <c r="D65" s="10"/>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41"/>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C65" s="136"/>
    </row>
    <row r="66" spans="1:60" s="13" customFormat="1" x14ac:dyDescent="0.3">
      <c r="C66" s="23" t="s">
        <v>42</v>
      </c>
      <c r="D66" s="10"/>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41"/>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C66" s="136"/>
    </row>
    <row r="67" spans="1:60" s="13" customFormat="1" ht="15.75" customHeight="1" x14ac:dyDescent="0.3">
      <c r="C67" s="23" t="s">
        <v>43</v>
      </c>
      <c r="D67" s="10"/>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41"/>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C67" s="136"/>
    </row>
    <row r="68" spans="1:60" s="13" customFormat="1" ht="15" customHeight="1" x14ac:dyDescent="0.3">
      <c r="C68" s="23" t="s">
        <v>44</v>
      </c>
      <c r="D68" s="10"/>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41"/>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C68" s="136"/>
    </row>
    <row r="69" spans="1:60" s="13" customFormat="1" ht="15.75" customHeight="1" x14ac:dyDescent="0.3">
      <c r="C69" s="23" t="s">
        <v>45</v>
      </c>
      <c r="D69" s="10"/>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41"/>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C69" s="136"/>
    </row>
    <row r="70" spans="1:60" s="13" customFormat="1" ht="15.75" customHeight="1" x14ac:dyDescent="0.3">
      <c r="C70" s="23" t="s">
        <v>46</v>
      </c>
      <c r="D70" s="10"/>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41"/>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C70" s="136"/>
    </row>
    <row r="71" spans="1:60" ht="69.900000000000006" customHeight="1" x14ac:dyDescent="0.3">
      <c r="A71" s="14"/>
      <c r="B71" s="14"/>
      <c r="C71" s="24" t="s">
        <v>70</v>
      </c>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2"/>
      <c r="AD71" s="307"/>
      <c r="AE71" s="307"/>
      <c r="AF71" s="307"/>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11"/>
      <c r="BC71" s="129"/>
      <c r="BD71" s="14"/>
      <c r="BE71" s="14"/>
      <c r="BF71" s="14"/>
      <c r="BG71" s="14"/>
      <c r="BH71" s="14"/>
    </row>
    <row r="72" spans="1:60" ht="43.5" customHeight="1" x14ac:dyDescent="0.3">
      <c r="A72" s="14"/>
      <c r="B72" s="14"/>
      <c r="C72" s="24" t="s">
        <v>47</v>
      </c>
      <c r="E72" s="312"/>
      <c r="F72" s="313"/>
      <c r="G72" s="313"/>
      <c r="H72" s="313"/>
      <c r="I72" s="313"/>
      <c r="J72" s="313"/>
      <c r="K72" s="313"/>
      <c r="L72" s="313"/>
      <c r="M72" s="313"/>
      <c r="N72" s="313"/>
      <c r="O72" s="313"/>
      <c r="P72" s="314"/>
      <c r="Q72" s="315"/>
      <c r="R72" s="313"/>
      <c r="S72" s="313"/>
      <c r="T72" s="313"/>
      <c r="U72" s="313"/>
      <c r="V72" s="313"/>
      <c r="W72" s="313"/>
      <c r="X72" s="313"/>
      <c r="Y72" s="313"/>
      <c r="Z72" s="313"/>
      <c r="AA72" s="313"/>
      <c r="AB72" s="313"/>
      <c r="AC72" s="32"/>
      <c r="AD72" s="312"/>
      <c r="AE72" s="313"/>
      <c r="AF72" s="313"/>
      <c r="AG72" s="313"/>
      <c r="AH72" s="313"/>
      <c r="AI72" s="313"/>
      <c r="AJ72" s="313"/>
      <c r="AK72" s="313"/>
      <c r="AL72" s="313"/>
      <c r="AM72" s="313"/>
      <c r="AN72" s="313"/>
      <c r="AO72" s="314"/>
      <c r="AP72" s="315"/>
      <c r="AQ72" s="313"/>
      <c r="AR72" s="313"/>
      <c r="AS72" s="313"/>
      <c r="AT72" s="313"/>
      <c r="AU72" s="313"/>
      <c r="AV72" s="313"/>
      <c r="AW72" s="313"/>
      <c r="AX72" s="313"/>
      <c r="AY72" s="313"/>
      <c r="AZ72" s="313"/>
      <c r="BA72" s="313"/>
      <c r="BB72" s="11"/>
      <c r="BC72" s="129"/>
      <c r="BD72" s="14"/>
      <c r="BE72" s="14"/>
      <c r="BF72" s="14"/>
      <c r="BG72" s="14"/>
      <c r="BH72" s="14"/>
    </row>
    <row r="73" spans="1:60" s="15" customFormat="1" ht="18" x14ac:dyDescent="0.35">
      <c r="A73" s="29"/>
      <c r="B73" s="29"/>
      <c r="E73" s="16">
        <v>13</v>
      </c>
      <c r="F73" s="16"/>
      <c r="G73" s="16"/>
      <c r="H73" s="16"/>
      <c r="I73" s="16"/>
      <c r="J73" s="16"/>
      <c r="K73" s="16"/>
      <c r="L73" s="16"/>
      <c r="M73" s="16"/>
      <c r="N73" s="16"/>
      <c r="O73" s="16"/>
      <c r="P73" s="16"/>
      <c r="Q73" s="16"/>
      <c r="R73" s="16"/>
      <c r="S73" s="16"/>
      <c r="T73" s="16"/>
      <c r="U73" s="16"/>
      <c r="V73" s="16"/>
      <c r="W73" s="16"/>
      <c r="X73" s="16"/>
      <c r="Y73" s="16"/>
      <c r="Z73" s="16"/>
      <c r="AA73" s="16"/>
      <c r="AB73" s="16"/>
      <c r="AD73" s="16">
        <v>14</v>
      </c>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8"/>
      <c r="BC73" s="137"/>
      <c r="BD73" s="29"/>
      <c r="BE73" s="29"/>
      <c r="BF73" s="29"/>
      <c r="BG73" s="29"/>
      <c r="BH73" s="29"/>
    </row>
    <row r="74" spans="1:60" s="27" customFormat="1" x14ac:dyDescent="0.3">
      <c r="A74" s="14"/>
      <c r="B74" s="14"/>
      <c r="C74" s="25"/>
      <c r="D74" s="25"/>
      <c r="E74" s="39">
        <v>0</v>
      </c>
      <c r="F74" s="39">
        <v>1</v>
      </c>
      <c r="G74" s="39">
        <v>2</v>
      </c>
      <c r="H74" s="39">
        <v>3</v>
      </c>
      <c r="I74" s="39">
        <v>4</v>
      </c>
      <c r="J74" s="39">
        <v>5</v>
      </c>
      <c r="K74" s="39">
        <v>6</v>
      </c>
      <c r="L74" s="39">
        <v>7</v>
      </c>
      <c r="M74" s="39">
        <v>8</v>
      </c>
      <c r="N74" s="39">
        <v>9</v>
      </c>
      <c r="O74" s="39">
        <v>10</v>
      </c>
      <c r="P74" s="39">
        <v>11</v>
      </c>
      <c r="Q74" s="39">
        <v>12</v>
      </c>
      <c r="R74" s="39">
        <v>13</v>
      </c>
      <c r="S74" s="39">
        <v>14</v>
      </c>
      <c r="T74" s="39">
        <v>15</v>
      </c>
      <c r="U74" s="39">
        <v>16</v>
      </c>
      <c r="V74" s="39">
        <v>17</v>
      </c>
      <c r="W74" s="39">
        <v>18</v>
      </c>
      <c r="X74" s="39">
        <v>19</v>
      </c>
      <c r="Y74" s="39">
        <v>20</v>
      </c>
      <c r="Z74" s="39">
        <v>21</v>
      </c>
      <c r="AA74" s="39">
        <v>22</v>
      </c>
      <c r="AB74" s="39">
        <v>23</v>
      </c>
      <c r="AC74" s="25"/>
      <c r="AD74" s="39">
        <v>0</v>
      </c>
      <c r="AE74" s="39">
        <v>1</v>
      </c>
      <c r="AF74" s="39">
        <v>2</v>
      </c>
      <c r="AG74" s="39">
        <v>3</v>
      </c>
      <c r="AH74" s="39">
        <v>4</v>
      </c>
      <c r="AI74" s="39">
        <v>5</v>
      </c>
      <c r="AJ74" s="39">
        <v>6</v>
      </c>
      <c r="AK74" s="39">
        <v>7</v>
      </c>
      <c r="AL74" s="39">
        <v>8</v>
      </c>
      <c r="AM74" s="39">
        <v>9</v>
      </c>
      <c r="AN74" s="39">
        <v>10</v>
      </c>
      <c r="AO74" s="39">
        <v>11</v>
      </c>
      <c r="AP74" s="39">
        <v>12</v>
      </c>
      <c r="AQ74" s="39">
        <v>13</v>
      </c>
      <c r="AR74" s="39">
        <v>14</v>
      </c>
      <c r="AS74" s="39">
        <v>15</v>
      </c>
      <c r="AT74" s="39">
        <v>16</v>
      </c>
      <c r="AU74" s="39">
        <v>17</v>
      </c>
      <c r="AV74" s="39">
        <v>18</v>
      </c>
      <c r="AW74" s="39">
        <v>19</v>
      </c>
      <c r="AX74" s="39">
        <v>20</v>
      </c>
      <c r="AY74" s="39">
        <v>21</v>
      </c>
      <c r="AZ74" s="39">
        <v>22</v>
      </c>
      <c r="BA74" s="39">
        <v>23</v>
      </c>
      <c r="BB74" s="26"/>
      <c r="BC74" s="129"/>
      <c r="BD74" s="14"/>
      <c r="BE74" s="14"/>
      <c r="BF74" s="14"/>
      <c r="BG74" s="14"/>
      <c r="BH74" s="14"/>
    </row>
    <row r="75" spans="1:60" s="27" customFormat="1" ht="15" customHeight="1" x14ac:dyDescent="0.3">
      <c r="A75" s="14"/>
      <c r="B75" s="14"/>
      <c r="C75" s="25"/>
      <c r="D75" s="25"/>
      <c r="E75" s="40" t="s">
        <v>17</v>
      </c>
      <c r="F75" s="40" t="s">
        <v>18</v>
      </c>
      <c r="G75" s="40" t="s">
        <v>19</v>
      </c>
      <c r="H75" s="40" t="s">
        <v>20</v>
      </c>
      <c r="I75" s="40" t="s">
        <v>21</v>
      </c>
      <c r="J75" s="40" t="s">
        <v>22</v>
      </c>
      <c r="K75" s="40" t="s">
        <v>23</v>
      </c>
      <c r="L75" s="40" t="s">
        <v>24</v>
      </c>
      <c r="M75" s="40" t="s">
        <v>25</v>
      </c>
      <c r="N75" s="40" t="s">
        <v>26</v>
      </c>
      <c r="O75" s="40" t="s">
        <v>27</v>
      </c>
      <c r="P75" s="40" t="s">
        <v>28</v>
      </c>
      <c r="Q75" s="40" t="s">
        <v>29</v>
      </c>
      <c r="R75" s="40" t="s">
        <v>30</v>
      </c>
      <c r="S75" s="40" t="s">
        <v>31</v>
      </c>
      <c r="T75" s="40" t="s">
        <v>32</v>
      </c>
      <c r="U75" s="40" t="s">
        <v>33</v>
      </c>
      <c r="V75" s="40" t="s">
        <v>34</v>
      </c>
      <c r="W75" s="40" t="s">
        <v>35</v>
      </c>
      <c r="X75" s="40" t="s">
        <v>36</v>
      </c>
      <c r="Y75" s="40" t="s">
        <v>37</v>
      </c>
      <c r="Z75" s="40" t="s">
        <v>38</v>
      </c>
      <c r="AA75" s="40" t="s">
        <v>39</v>
      </c>
      <c r="AB75" s="40" t="s">
        <v>40</v>
      </c>
      <c r="AC75" s="25"/>
      <c r="AD75" s="40" t="s">
        <v>17</v>
      </c>
      <c r="AE75" s="40" t="s">
        <v>18</v>
      </c>
      <c r="AF75" s="40" t="s">
        <v>19</v>
      </c>
      <c r="AG75" s="40" t="s">
        <v>20</v>
      </c>
      <c r="AH75" s="40" t="s">
        <v>21</v>
      </c>
      <c r="AI75" s="40" t="s">
        <v>22</v>
      </c>
      <c r="AJ75" s="40" t="s">
        <v>23</v>
      </c>
      <c r="AK75" s="40" t="s">
        <v>24</v>
      </c>
      <c r="AL75" s="40" t="s">
        <v>25</v>
      </c>
      <c r="AM75" s="40" t="s">
        <v>26</v>
      </c>
      <c r="AN75" s="40" t="s">
        <v>27</v>
      </c>
      <c r="AO75" s="40" t="s">
        <v>28</v>
      </c>
      <c r="AP75" s="40" t="s">
        <v>29</v>
      </c>
      <c r="AQ75" s="40" t="s">
        <v>30</v>
      </c>
      <c r="AR75" s="40" t="s">
        <v>31</v>
      </c>
      <c r="AS75" s="40" t="s">
        <v>32</v>
      </c>
      <c r="AT75" s="40" t="s">
        <v>33</v>
      </c>
      <c r="AU75" s="40" t="s">
        <v>34</v>
      </c>
      <c r="AV75" s="40" t="s">
        <v>35</v>
      </c>
      <c r="AW75" s="40" t="s">
        <v>36</v>
      </c>
      <c r="AX75" s="40" t="s">
        <v>37</v>
      </c>
      <c r="AY75" s="40" t="s">
        <v>38</v>
      </c>
      <c r="AZ75" s="40" t="s">
        <v>39</v>
      </c>
      <c r="BA75" s="40" t="s">
        <v>40</v>
      </c>
      <c r="BB75" s="26"/>
      <c r="BC75" s="129"/>
      <c r="BD75" s="14"/>
      <c r="BE75" s="14"/>
      <c r="BF75" s="14"/>
      <c r="BG75" s="14"/>
      <c r="BH75" s="14"/>
    </row>
    <row r="76" spans="1:60" x14ac:dyDescent="0.3">
      <c r="A76" s="14"/>
      <c r="B76" s="14"/>
      <c r="C76" s="23" t="s">
        <v>41</v>
      </c>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41"/>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1"/>
      <c r="BC76" s="129"/>
      <c r="BD76" s="14"/>
      <c r="BE76" s="14"/>
      <c r="BF76" s="14"/>
      <c r="BG76" s="14"/>
      <c r="BH76" s="14"/>
    </row>
    <row r="77" spans="1:60" x14ac:dyDescent="0.3">
      <c r="A77" s="14"/>
      <c r="B77" s="14"/>
      <c r="C77" s="23" t="s">
        <v>42</v>
      </c>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41"/>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1"/>
      <c r="BC77" s="129"/>
      <c r="BD77" s="14"/>
      <c r="BE77" s="14"/>
      <c r="BF77" s="14"/>
      <c r="BG77" s="14"/>
      <c r="BH77" s="14"/>
    </row>
    <row r="78" spans="1:60" x14ac:dyDescent="0.3">
      <c r="A78" s="14"/>
      <c r="B78" s="14"/>
      <c r="C78" s="23" t="s">
        <v>43</v>
      </c>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41"/>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1"/>
      <c r="BC78" s="129"/>
      <c r="BD78" s="14"/>
      <c r="BE78" s="14"/>
      <c r="BF78" s="14"/>
      <c r="BG78" s="14"/>
      <c r="BH78" s="14"/>
    </row>
    <row r="79" spans="1:60" x14ac:dyDescent="0.3">
      <c r="A79" s="14"/>
      <c r="B79" s="14"/>
      <c r="C79" s="23" t="s">
        <v>44</v>
      </c>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41"/>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1"/>
      <c r="BC79" s="129"/>
      <c r="BD79" s="14"/>
      <c r="BE79" s="14"/>
      <c r="BF79" s="14"/>
      <c r="BG79" s="14"/>
      <c r="BH79" s="14"/>
    </row>
    <row r="80" spans="1:60" x14ac:dyDescent="0.3">
      <c r="A80" s="14"/>
      <c r="B80" s="14"/>
      <c r="C80" s="23" t="s">
        <v>45</v>
      </c>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41"/>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1"/>
      <c r="BC80" s="129"/>
      <c r="BD80" s="14"/>
      <c r="BE80" s="14"/>
      <c r="BF80" s="14"/>
      <c r="BG80" s="14"/>
      <c r="BH80" s="14"/>
    </row>
    <row r="81" spans="1:60" x14ac:dyDescent="0.3">
      <c r="A81" s="14"/>
      <c r="B81" s="14"/>
      <c r="C81" s="23" t="s">
        <v>46</v>
      </c>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41"/>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1"/>
      <c r="BC81" s="129"/>
      <c r="BD81" s="14"/>
      <c r="BE81" s="14"/>
      <c r="BF81" s="14"/>
      <c r="BG81" s="14"/>
      <c r="BH81" s="14"/>
    </row>
    <row r="82" spans="1:60" ht="69.900000000000006" customHeight="1" x14ac:dyDescent="0.3">
      <c r="A82" s="14"/>
      <c r="B82" s="14"/>
      <c r="C82" s="24" t="s">
        <v>70</v>
      </c>
      <c r="E82" s="307"/>
      <c r="F82" s="307"/>
      <c r="G82" s="307"/>
      <c r="H82" s="307"/>
      <c r="I82" s="307"/>
      <c r="J82" s="307"/>
      <c r="K82" s="307"/>
      <c r="L82" s="307"/>
      <c r="M82" s="307"/>
      <c r="N82" s="307"/>
      <c r="O82" s="307"/>
      <c r="P82" s="307"/>
      <c r="Q82" s="307"/>
      <c r="R82" s="307"/>
      <c r="S82" s="307"/>
      <c r="T82" s="307"/>
      <c r="U82" s="307"/>
      <c r="V82" s="307"/>
      <c r="W82" s="307"/>
      <c r="X82" s="307"/>
      <c r="Y82" s="307"/>
      <c r="Z82" s="307"/>
      <c r="AA82" s="307"/>
      <c r="AB82" s="307"/>
      <c r="AC82" s="32"/>
      <c r="AD82" s="307"/>
      <c r="AE82" s="307"/>
      <c r="AF82" s="307"/>
      <c r="AG82" s="307"/>
      <c r="AH82" s="307"/>
      <c r="AI82" s="307"/>
      <c r="AJ82" s="307"/>
      <c r="AK82" s="307"/>
      <c r="AL82" s="307"/>
      <c r="AM82" s="307"/>
      <c r="AN82" s="307"/>
      <c r="AO82" s="307"/>
      <c r="AP82" s="307"/>
      <c r="AQ82" s="307"/>
      <c r="AR82" s="307"/>
      <c r="AS82" s="307"/>
      <c r="AT82" s="307"/>
      <c r="AU82" s="307"/>
      <c r="AV82" s="307"/>
      <c r="AW82" s="307"/>
      <c r="AX82" s="307"/>
      <c r="AY82" s="307"/>
      <c r="AZ82" s="307"/>
      <c r="BA82" s="307"/>
      <c r="BB82" s="11"/>
      <c r="BC82" s="129"/>
      <c r="BD82" s="14"/>
      <c r="BE82" s="14"/>
      <c r="BF82" s="14"/>
      <c r="BG82" s="14"/>
      <c r="BH82" s="14"/>
    </row>
    <row r="83" spans="1:60" ht="43.5" customHeight="1" x14ac:dyDescent="0.3">
      <c r="A83" s="14"/>
      <c r="B83" s="14"/>
      <c r="C83" s="24" t="s">
        <v>47</v>
      </c>
      <c r="E83" s="312"/>
      <c r="F83" s="313"/>
      <c r="G83" s="313"/>
      <c r="H83" s="313"/>
      <c r="I83" s="313"/>
      <c r="J83" s="313"/>
      <c r="K83" s="313"/>
      <c r="L83" s="313"/>
      <c r="M83" s="313"/>
      <c r="N83" s="313"/>
      <c r="O83" s="313"/>
      <c r="P83" s="314"/>
      <c r="Q83" s="315"/>
      <c r="R83" s="313"/>
      <c r="S83" s="313"/>
      <c r="T83" s="313"/>
      <c r="U83" s="313"/>
      <c r="V83" s="313"/>
      <c r="W83" s="313"/>
      <c r="X83" s="313"/>
      <c r="Y83" s="313"/>
      <c r="Z83" s="313"/>
      <c r="AA83" s="313"/>
      <c r="AB83" s="313"/>
      <c r="AC83" s="32"/>
      <c r="AD83" s="312"/>
      <c r="AE83" s="313"/>
      <c r="AF83" s="313"/>
      <c r="AG83" s="313"/>
      <c r="AH83" s="313"/>
      <c r="AI83" s="313"/>
      <c r="AJ83" s="313"/>
      <c r="AK83" s="313"/>
      <c r="AL83" s="313"/>
      <c r="AM83" s="313"/>
      <c r="AN83" s="313"/>
      <c r="AO83" s="314"/>
      <c r="AP83" s="315"/>
      <c r="AQ83" s="313"/>
      <c r="AR83" s="313"/>
      <c r="AS83" s="313"/>
      <c r="AT83" s="313"/>
      <c r="AU83" s="313"/>
      <c r="AV83" s="313"/>
      <c r="AW83" s="313"/>
      <c r="AX83" s="313"/>
      <c r="AY83" s="313"/>
      <c r="AZ83" s="313"/>
      <c r="BA83" s="313"/>
      <c r="BB83" s="11"/>
      <c r="BC83" s="129"/>
      <c r="BD83" s="14"/>
      <c r="BE83" s="14"/>
      <c r="BF83" s="14"/>
      <c r="BG83" s="14"/>
      <c r="BH83" s="14"/>
    </row>
    <row r="84" spans="1:60" s="15" customFormat="1" ht="18" x14ac:dyDescent="0.35">
      <c r="A84" s="29"/>
      <c r="B84" s="29"/>
      <c r="E84" s="16">
        <v>15</v>
      </c>
      <c r="F84" s="16"/>
      <c r="G84" s="16"/>
      <c r="H84" s="16"/>
      <c r="I84" s="16"/>
      <c r="J84" s="16"/>
      <c r="K84" s="16"/>
      <c r="L84" s="16"/>
      <c r="M84" s="16"/>
      <c r="N84" s="16"/>
      <c r="O84" s="16"/>
      <c r="P84" s="16"/>
      <c r="Q84" s="16"/>
      <c r="R84" s="16"/>
      <c r="S84" s="16"/>
      <c r="T84" s="16"/>
      <c r="U84" s="16"/>
      <c r="V84" s="16"/>
      <c r="W84" s="16"/>
      <c r="X84" s="16"/>
      <c r="Y84" s="16"/>
      <c r="Z84" s="16"/>
      <c r="AA84" s="16"/>
      <c r="AB84" s="16"/>
      <c r="AD84" s="16">
        <v>16</v>
      </c>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8"/>
      <c r="BC84" s="137"/>
      <c r="BD84" s="29"/>
      <c r="BE84" s="29"/>
      <c r="BF84" s="29"/>
      <c r="BG84" s="29"/>
      <c r="BH84" s="29"/>
    </row>
    <row r="85" spans="1:60" s="27" customFormat="1" x14ac:dyDescent="0.3">
      <c r="A85" s="14"/>
      <c r="B85" s="14"/>
      <c r="C85" s="25"/>
      <c r="D85" s="25"/>
      <c r="E85" s="39">
        <v>0</v>
      </c>
      <c r="F85" s="39">
        <v>1</v>
      </c>
      <c r="G85" s="39">
        <v>2</v>
      </c>
      <c r="H85" s="39">
        <v>3</v>
      </c>
      <c r="I85" s="39">
        <v>4</v>
      </c>
      <c r="J85" s="39">
        <v>5</v>
      </c>
      <c r="K85" s="39">
        <v>6</v>
      </c>
      <c r="L85" s="39">
        <v>7</v>
      </c>
      <c r="M85" s="39">
        <v>8</v>
      </c>
      <c r="N85" s="39">
        <v>9</v>
      </c>
      <c r="O85" s="39">
        <v>10</v>
      </c>
      <c r="P85" s="39">
        <v>11</v>
      </c>
      <c r="Q85" s="39">
        <v>12</v>
      </c>
      <c r="R85" s="39">
        <v>13</v>
      </c>
      <c r="S85" s="39">
        <v>14</v>
      </c>
      <c r="T85" s="39">
        <v>15</v>
      </c>
      <c r="U85" s="39">
        <v>16</v>
      </c>
      <c r="V85" s="39">
        <v>17</v>
      </c>
      <c r="W85" s="39">
        <v>18</v>
      </c>
      <c r="X85" s="39">
        <v>19</v>
      </c>
      <c r="Y85" s="39">
        <v>20</v>
      </c>
      <c r="Z85" s="39">
        <v>21</v>
      </c>
      <c r="AA85" s="39">
        <v>22</v>
      </c>
      <c r="AB85" s="39">
        <v>23</v>
      </c>
      <c r="AC85" s="25"/>
      <c r="AD85" s="39">
        <v>0</v>
      </c>
      <c r="AE85" s="39">
        <v>1</v>
      </c>
      <c r="AF85" s="39">
        <v>2</v>
      </c>
      <c r="AG85" s="39">
        <v>3</v>
      </c>
      <c r="AH85" s="39">
        <v>4</v>
      </c>
      <c r="AI85" s="39">
        <v>5</v>
      </c>
      <c r="AJ85" s="39">
        <v>6</v>
      </c>
      <c r="AK85" s="39">
        <v>7</v>
      </c>
      <c r="AL85" s="39">
        <v>8</v>
      </c>
      <c r="AM85" s="39">
        <v>9</v>
      </c>
      <c r="AN85" s="39">
        <v>10</v>
      </c>
      <c r="AO85" s="39">
        <v>11</v>
      </c>
      <c r="AP85" s="39">
        <v>12</v>
      </c>
      <c r="AQ85" s="39">
        <v>13</v>
      </c>
      <c r="AR85" s="39">
        <v>14</v>
      </c>
      <c r="AS85" s="39">
        <v>15</v>
      </c>
      <c r="AT85" s="39">
        <v>16</v>
      </c>
      <c r="AU85" s="39">
        <v>17</v>
      </c>
      <c r="AV85" s="39">
        <v>18</v>
      </c>
      <c r="AW85" s="39">
        <v>19</v>
      </c>
      <c r="AX85" s="39">
        <v>20</v>
      </c>
      <c r="AY85" s="39">
        <v>21</v>
      </c>
      <c r="AZ85" s="39">
        <v>22</v>
      </c>
      <c r="BA85" s="39">
        <v>23</v>
      </c>
      <c r="BB85" s="26"/>
      <c r="BC85" s="129"/>
      <c r="BD85" s="14"/>
      <c r="BE85" s="14"/>
      <c r="BF85" s="14"/>
      <c r="BG85" s="14"/>
      <c r="BH85" s="14"/>
    </row>
    <row r="86" spans="1:60" s="27" customFormat="1" ht="15" customHeight="1" x14ac:dyDescent="0.3">
      <c r="A86" s="14"/>
      <c r="B86" s="14"/>
      <c r="C86" s="25"/>
      <c r="D86" s="25"/>
      <c r="E86" s="40" t="s">
        <v>17</v>
      </c>
      <c r="F86" s="40" t="s">
        <v>18</v>
      </c>
      <c r="G86" s="40" t="s">
        <v>19</v>
      </c>
      <c r="H86" s="40" t="s">
        <v>20</v>
      </c>
      <c r="I86" s="40" t="s">
        <v>21</v>
      </c>
      <c r="J86" s="40" t="s">
        <v>22</v>
      </c>
      <c r="K86" s="40" t="s">
        <v>23</v>
      </c>
      <c r="L86" s="40" t="s">
        <v>24</v>
      </c>
      <c r="M86" s="40" t="s">
        <v>25</v>
      </c>
      <c r="N86" s="40" t="s">
        <v>26</v>
      </c>
      <c r="O86" s="40" t="s">
        <v>27</v>
      </c>
      <c r="P86" s="40" t="s">
        <v>28</v>
      </c>
      <c r="Q86" s="40" t="s">
        <v>29</v>
      </c>
      <c r="R86" s="40" t="s">
        <v>30</v>
      </c>
      <c r="S86" s="40" t="s">
        <v>31</v>
      </c>
      <c r="T86" s="40" t="s">
        <v>32</v>
      </c>
      <c r="U86" s="40" t="s">
        <v>33</v>
      </c>
      <c r="V86" s="40" t="s">
        <v>34</v>
      </c>
      <c r="W86" s="40" t="s">
        <v>35</v>
      </c>
      <c r="X86" s="40" t="s">
        <v>36</v>
      </c>
      <c r="Y86" s="40" t="s">
        <v>37</v>
      </c>
      <c r="Z86" s="40" t="s">
        <v>38</v>
      </c>
      <c r="AA86" s="40" t="s">
        <v>39</v>
      </c>
      <c r="AB86" s="40" t="s">
        <v>40</v>
      </c>
      <c r="AC86" s="25"/>
      <c r="AD86" s="40" t="s">
        <v>17</v>
      </c>
      <c r="AE86" s="40" t="s">
        <v>18</v>
      </c>
      <c r="AF86" s="40" t="s">
        <v>19</v>
      </c>
      <c r="AG86" s="40" t="s">
        <v>20</v>
      </c>
      <c r="AH86" s="40" t="s">
        <v>21</v>
      </c>
      <c r="AI86" s="40" t="s">
        <v>22</v>
      </c>
      <c r="AJ86" s="40" t="s">
        <v>23</v>
      </c>
      <c r="AK86" s="40" t="s">
        <v>24</v>
      </c>
      <c r="AL86" s="40" t="s">
        <v>25</v>
      </c>
      <c r="AM86" s="40" t="s">
        <v>26</v>
      </c>
      <c r="AN86" s="40" t="s">
        <v>27</v>
      </c>
      <c r="AO86" s="40" t="s">
        <v>28</v>
      </c>
      <c r="AP86" s="40" t="s">
        <v>29</v>
      </c>
      <c r="AQ86" s="40" t="s">
        <v>30</v>
      </c>
      <c r="AR86" s="40" t="s">
        <v>31</v>
      </c>
      <c r="AS86" s="40" t="s">
        <v>32</v>
      </c>
      <c r="AT86" s="40" t="s">
        <v>33</v>
      </c>
      <c r="AU86" s="40" t="s">
        <v>34</v>
      </c>
      <c r="AV86" s="40" t="s">
        <v>35</v>
      </c>
      <c r="AW86" s="40" t="s">
        <v>36</v>
      </c>
      <c r="AX86" s="40" t="s">
        <v>37</v>
      </c>
      <c r="AY86" s="40" t="s">
        <v>38</v>
      </c>
      <c r="AZ86" s="40" t="s">
        <v>39</v>
      </c>
      <c r="BA86" s="40" t="s">
        <v>40</v>
      </c>
      <c r="BB86" s="26"/>
      <c r="BC86" s="129"/>
      <c r="BD86" s="14"/>
      <c r="BE86" s="14"/>
      <c r="BF86" s="14"/>
      <c r="BG86" s="14"/>
      <c r="BH86" s="14"/>
    </row>
    <row r="87" spans="1:60" x14ac:dyDescent="0.3">
      <c r="A87" s="14"/>
      <c r="B87" s="14"/>
      <c r="C87" s="23" t="s">
        <v>41</v>
      </c>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41"/>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1"/>
      <c r="BC87" s="129"/>
      <c r="BD87" s="14"/>
      <c r="BE87" s="14"/>
      <c r="BF87" s="14"/>
      <c r="BG87" s="14"/>
      <c r="BH87" s="14"/>
    </row>
    <row r="88" spans="1:60" x14ac:dyDescent="0.3">
      <c r="A88" s="14"/>
      <c r="B88" s="14"/>
      <c r="C88" s="23" t="s">
        <v>42</v>
      </c>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41"/>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1"/>
      <c r="BC88" s="129"/>
      <c r="BD88" s="14"/>
      <c r="BE88" s="14"/>
      <c r="BF88" s="14"/>
      <c r="BG88" s="14"/>
      <c r="BH88" s="14"/>
    </row>
    <row r="89" spans="1:60" x14ac:dyDescent="0.3">
      <c r="A89" s="14"/>
      <c r="B89" s="14"/>
      <c r="C89" s="23" t="s">
        <v>43</v>
      </c>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41"/>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1"/>
      <c r="BC89" s="129"/>
      <c r="BD89" s="14"/>
      <c r="BE89" s="14"/>
      <c r="BF89" s="14"/>
      <c r="BG89" s="14"/>
      <c r="BH89" s="14"/>
    </row>
    <row r="90" spans="1:60" x14ac:dyDescent="0.3">
      <c r="A90" s="14"/>
      <c r="B90" s="14"/>
      <c r="C90" s="23" t="s">
        <v>44</v>
      </c>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41"/>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1"/>
      <c r="BC90" s="129"/>
      <c r="BD90" s="14"/>
      <c r="BE90" s="14"/>
      <c r="BF90" s="14"/>
      <c r="BG90" s="14"/>
      <c r="BH90" s="14"/>
    </row>
    <row r="91" spans="1:60" x14ac:dyDescent="0.3">
      <c r="A91" s="14"/>
      <c r="B91" s="14"/>
      <c r="C91" s="23" t="s">
        <v>45</v>
      </c>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41"/>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1"/>
      <c r="BC91" s="129"/>
      <c r="BD91" s="14"/>
      <c r="BE91" s="14"/>
      <c r="BF91" s="14"/>
      <c r="BG91" s="14"/>
      <c r="BH91" s="14"/>
    </row>
    <row r="92" spans="1:60" x14ac:dyDescent="0.3">
      <c r="A92" s="14"/>
      <c r="B92" s="14"/>
      <c r="C92" s="23" t="s">
        <v>46</v>
      </c>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41"/>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1"/>
      <c r="BC92" s="129"/>
      <c r="BD92" s="14"/>
      <c r="BE92" s="14"/>
      <c r="BF92" s="14"/>
      <c r="BG92" s="14"/>
      <c r="BH92" s="14"/>
    </row>
    <row r="93" spans="1:60" ht="69.900000000000006" customHeight="1" x14ac:dyDescent="0.3">
      <c r="A93" s="14"/>
      <c r="B93" s="14"/>
      <c r="C93" s="24" t="s">
        <v>70</v>
      </c>
      <c r="E93" s="307"/>
      <c r="F93" s="307"/>
      <c r="G93" s="307"/>
      <c r="H93" s="307"/>
      <c r="I93" s="307"/>
      <c r="J93" s="307"/>
      <c r="K93" s="307"/>
      <c r="L93" s="307"/>
      <c r="M93" s="307"/>
      <c r="N93" s="307"/>
      <c r="O93" s="307"/>
      <c r="P93" s="307"/>
      <c r="Q93" s="307"/>
      <c r="R93" s="307"/>
      <c r="S93" s="307"/>
      <c r="T93" s="307"/>
      <c r="U93" s="307"/>
      <c r="V93" s="307"/>
      <c r="W93" s="307"/>
      <c r="X93" s="307"/>
      <c r="Y93" s="307"/>
      <c r="Z93" s="307"/>
      <c r="AA93" s="307"/>
      <c r="AB93" s="307"/>
      <c r="AC93" s="32"/>
      <c r="AD93" s="307"/>
      <c r="AE93" s="307"/>
      <c r="AF93" s="307"/>
      <c r="AG93" s="307"/>
      <c r="AH93" s="307"/>
      <c r="AI93" s="307"/>
      <c r="AJ93" s="307"/>
      <c r="AK93" s="307"/>
      <c r="AL93" s="307"/>
      <c r="AM93" s="307"/>
      <c r="AN93" s="307"/>
      <c r="AO93" s="307"/>
      <c r="AP93" s="307"/>
      <c r="AQ93" s="307"/>
      <c r="AR93" s="307"/>
      <c r="AS93" s="307"/>
      <c r="AT93" s="307"/>
      <c r="AU93" s="307"/>
      <c r="AV93" s="307"/>
      <c r="AW93" s="307"/>
      <c r="AX93" s="307"/>
      <c r="AY93" s="307"/>
      <c r="AZ93" s="307"/>
      <c r="BA93" s="307"/>
      <c r="BB93" s="11"/>
      <c r="BC93" s="129"/>
      <c r="BD93" s="14"/>
      <c r="BE93" s="14"/>
      <c r="BF93" s="14"/>
      <c r="BG93" s="14"/>
      <c r="BH93" s="14"/>
    </row>
    <row r="94" spans="1:60" ht="43.5" customHeight="1" x14ac:dyDescent="0.3">
      <c r="A94" s="14"/>
      <c r="B94" s="14"/>
      <c r="C94" s="24" t="s">
        <v>47</v>
      </c>
      <c r="E94" s="312"/>
      <c r="F94" s="313"/>
      <c r="G94" s="313"/>
      <c r="H94" s="313"/>
      <c r="I94" s="313"/>
      <c r="J94" s="313"/>
      <c r="K94" s="313"/>
      <c r="L94" s="313"/>
      <c r="M94" s="313"/>
      <c r="N94" s="313"/>
      <c r="O94" s="313"/>
      <c r="P94" s="314"/>
      <c r="Q94" s="315"/>
      <c r="R94" s="313"/>
      <c r="S94" s="313"/>
      <c r="T94" s="313"/>
      <c r="U94" s="313"/>
      <c r="V94" s="313"/>
      <c r="W94" s="313"/>
      <c r="X94" s="313"/>
      <c r="Y94" s="313"/>
      <c r="Z94" s="313"/>
      <c r="AA94" s="313"/>
      <c r="AB94" s="313"/>
      <c r="AC94" s="32"/>
      <c r="AD94" s="312"/>
      <c r="AE94" s="313"/>
      <c r="AF94" s="313"/>
      <c r="AG94" s="313"/>
      <c r="AH94" s="313"/>
      <c r="AI94" s="313"/>
      <c r="AJ94" s="313"/>
      <c r="AK94" s="313"/>
      <c r="AL94" s="313"/>
      <c r="AM94" s="313"/>
      <c r="AN94" s="313"/>
      <c r="AO94" s="314"/>
      <c r="AP94" s="315"/>
      <c r="AQ94" s="313"/>
      <c r="AR94" s="313"/>
      <c r="AS94" s="313"/>
      <c r="AT94" s="313"/>
      <c r="AU94" s="313"/>
      <c r="AV94" s="313"/>
      <c r="AW94" s="313"/>
      <c r="AX94" s="313"/>
      <c r="AY94" s="313"/>
      <c r="AZ94" s="313"/>
      <c r="BA94" s="313"/>
      <c r="BB94" s="11"/>
      <c r="BC94" s="129"/>
      <c r="BD94" s="14"/>
      <c r="BE94" s="14"/>
      <c r="BF94" s="14"/>
      <c r="BG94" s="14"/>
      <c r="BH94" s="14"/>
    </row>
    <row r="95" spans="1:60" x14ac:dyDescent="0.3">
      <c r="A95" s="14"/>
      <c r="B95" s="14"/>
      <c r="BB95" s="11"/>
      <c r="BC95" s="129"/>
      <c r="BD95" s="14"/>
      <c r="BE95" s="14"/>
      <c r="BF95" s="14"/>
      <c r="BG95" s="14"/>
      <c r="BH95" s="14"/>
    </row>
    <row r="96" spans="1:60" ht="16.2" thickBot="1" x14ac:dyDescent="0.35">
      <c r="A96" s="14"/>
      <c r="B96" s="14"/>
      <c r="C96" s="306" t="s">
        <v>13</v>
      </c>
      <c r="D96" s="306"/>
      <c r="E96" s="306"/>
      <c r="F96" s="306"/>
      <c r="G96" s="306"/>
      <c r="H96" s="306"/>
      <c r="I96" s="306"/>
      <c r="J96" s="306"/>
      <c r="N96" s="12" t="s">
        <v>14</v>
      </c>
      <c r="O96" s="13"/>
      <c r="P96" s="305" t="str">
        <f>P2</f>
        <v>EQ - Utah Technical Center</v>
      </c>
      <c r="Q96" s="305"/>
      <c r="R96" s="305"/>
      <c r="S96" s="305"/>
      <c r="T96" s="305"/>
      <c r="U96" s="305"/>
      <c r="V96" s="12" t="s">
        <v>15</v>
      </c>
      <c r="W96" s="13"/>
      <c r="X96" s="13"/>
      <c r="Y96" s="13"/>
      <c r="Z96" s="305" t="str">
        <f>Z2</f>
        <v>Month 2025</v>
      </c>
      <c r="AA96" s="305"/>
      <c r="AB96" s="305"/>
      <c r="AC96" s="305"/>
      <c r="AD96" s="305"/>
      <c r="AE96" s="305"/>
      <c r="AZ96" s="10" t="s">
        <v>16</v>
      </c>
      <c r="BA96" s="10">
        <v>3</v>
      </c>
      <c r="BB96" s="11"/>
      <c r="BC96" s="129"/>
      <c r="BD96" s="14"/>
      <c r="BE96" s="14"/>
      <c r="BF96" s="14"/>
      <c r="BG96" s="14"/>
      <c r="BH96" s="14"/>
    </row>
    <row r="97" spans="1:60" x14ac:dyDescent="0.3">
      <c r="A97" s="14"/>
      <c r="B97" s="14"/>
      <c r="C97" s="306"/>
      <c r="D97" s="306"/>
      <c r="E97" s="306"/>
      <c r="F97" s="306"/>
      <c r="G97" s="306"/>
      <c r="H97" s="306"/>
      <c r="I97" s="306"/>
      <c r="J97" s="306"/>
      <c r="N97" s="12"/>
      <c r="V97" s="12"/>
      <c r="BB97" s="11"/>
      <c r="BC97" s="129"/>
      <c r="BD97" s="14"/>
      <c r="BE97" s="14"/>
      <c r="BF97" s="14"/>
      <c r="BG97" s="14"/>
      <c r="BH97" s="14"/>
    </row>
    <row r="98" spans="1:60" s="15" customFormat="1" ht="18" x14ac:dyDescent="0.35">
      <c r="A98" s="29"/>
      <c r="B98" s="29"/>
      <c r="E98" s="16">
        <v>17</v>
      </c>
      <c r="F98" s="16"/>
      <c r="G98" s="16"/>
      <c r="H98" s="16"/>
      <c r="I98" s="16"/>
      <c r="J98" s="16"/>
      <c r="K98" s="16"/>
      <c r="L98" s="16"/>
      <c r="M98" s="16"/>
      <c r="N98" s="16"/>
      <c r="O98" s="16"/>
      <c r="P98" s="16"/>
      <c r="Q98" s="16"/>
      <c r="R98" s="16"/>
      <c r="S98" s="16"/>
      <c r="T98" s="16"/>
      <c r="U98" s="16"/>
      <c r="V98" s="16"/>
      <c r="W98" s="16"/>
      <c r="X98" s="16"/>
      <c r="Y98" s="16"/>
      <c r="Z98" s="16"/>
      <c r="AA98" s="16"/>
      <c r="AB98" s="16"/>
      <c r="AD98" s="16">
        <v>18</v>
      </c>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8"/>
      <c r="BC98" s="130"/>
      <c r="BD98" s="316" t="s">
        <v>60</v>
      </c>
      <c r="BE98" s="316"/>
      <c r="BF98" s="316"/>
      <c r="BG98" s="316"/>
      <c r="BH98" s="316"/>
    </row>
    <row r="99" spans="1:60" s="27" customFormat="1" x14ac:dyDescent="0.3">
      <c r="A99" s="14"/>
      <c r="B99" s="14"/>
      <c r="C99" s="25"/>
      <c r="D99" s="25"/>
      <c r="E99" s="39">
        <v>0</v>
      </c>
      <c r="F99" s="39">
        <v>1</v>
      </c>
      <c r="G99" s="39">
        <v>2</v>
      </c>
      <c r="H99" s="39">
        <v>3</v>
      </c>
      <c r="I99" s="39">
        <v>4</v>
      </c>
      <c r="J99" s="39">
        <v>5</v>
      </c>
      <c r="K99" s="39">
        <v>6</v>
      </c>
      <c r="L99" s="39">
        <v>7</v>
      </c>
      <c r="M99" s="39">
        <v>8</v>
      </c>
      <c r="N99" s="39">
        <v>9</v>
      </c>
      <c r="O99" s="39">
        <v>10</v>
      </c>
      <c r="P99" s="39">
        <v>11</v>
      </c>
      <c r="Q99" s="39">
        <v>12</v>
      </c>
      <c r="R99" s="39">
        <v>13</v>
      </c>
      <c r="S99" s="39">
        <v>14</v>
      </c>
      <c r="T99" s="39">
        <v>15</v>
      </c>
      <c r="U99" s="39">
        <v>16</v>
      </c>
      <c r="V99" s="39">
        <v>17</v>
      </c>
      <c r="W99" s="39">
        <v>18</v>
      </c>
      <c r="X99" s="39">
        <v>19</v>
      </c>
      <c r="Y99" s="39">
        <v>20</v>
      </c>
      <c r="Z99" s="39">
        <v>21</v>
      </c>
      <c r="AA99" s="39">
        <v>22</v>
      </c>
      <c r="AB99" s="39">
        <v>23</v>
      </c>
      <c r="AC99" s="25"/>
      <c r="AD99" s="39">
        <v>0</v>
      </c>
      <c r="AE99" s="39">
        <v>1</v>
      </c>
      <c r="AF99" s="39">
        <v>2</v>
      </c>
      <c r="AG99" s="39">
        <v>3</v>
      </c>
      <c r="AH99" s="39">
        <v>4</v>
      </c>
      <c r="AI99" s="39">
        <v>5</v>
      </c>
      <c r="AJ99" s="39">
        <v>6</v>
      </c>
      <c r="AK99" s="39">
        <v>7</v>
      </c>
      <c r="AL99" s="39">
        <v>8</v>
      </c>
      <c r="AM99" s="39">
        <v>9</v>
      </c>
      <c r="AN99" s="39">
        <v>10</v>
      </c>
      <c r="AO99" s="39">
        <v>11</v>
      </c>
      <c r="AP99" s="39">
        <v>12</v>
      </c>
      <c r="AQ99" s="39">
        <v>13</v>
      </c>
      <c r="AR99" s="39">
        <v>14</v>
      </c>
      <c r="AS99" s="39">
        <v>15</v>
      </c>
      <c r="AT99" s="39">
        <v>16</v>
      </c>
      <c r="AU99" s="39">
        <v>17</v>
      </c>
      <c r="AV99" s="39">
        <v>18</v>
      </c>
      <c r="AW99" s="39">
        <v>19</v>
      </c>
      <c r="AX99" s="39">
        <v>20</v>
      </c>
      <c r="AY99" s="39">
        <v>21</v>
      </c>
      <c r="AZ99" s="39">
        <v>22</v>
      </c>
      <c r="BA99" s="39">
        <v>23</v>
      </c>
      <c r="BB99" s="26"/>
      <c r="BC99" s="28"/>
      <c r="BD99" s="317" t="s">
        <v>61</v>
      </c>
      <c r="BE99" s="317"/>
      <c r="BF99" s="317"/>
      <c r="BG99" s="317"/>
      <c r="BH99" s="317"/>
    </row>
    <row r="100" spans="1:60" s="27" customFormat="1" ht="15" customHeight="1" x14ac:dyDescent="0.3">
      <c r="A100" s="14"/>
      <c r="B100" s="14"/>
      <c r="C100" s="25"/>
      <c r="D100" s="25"/>
      <c r="E100" s="40" t="s">
        <v>17</v>
      </c>
      <c r="F100" s="40" t="s">
        <v>18</v>
      </c>
      <c r="G100" s="40" t="s">
        <v>19</v>
      </c>
      <c r="H100" s="40" t="s">
        <v>20</v>
      </c>
      <c r="I100" s="40" t="s">
        <v>21</v>
      </c>
      <c r="J100" s="40" t="s">
        <v>22</v>
      </c>
      <c r="K100" s="40" t="s">
        <v>23</v>
      </c>
      <c r="L100" s="40" t="s">
        <v>24</v>
      </c>
      <c r="M100" s="40" t="s">
        <v>25</v>
      </c>
      <c r="N100" s="40" t="s">
        <v>26</v>
      </c>
      <c r="O100" s="40" t="s">
        <v>27</v>
      </c>
      <c r="P100" s="40" t="s">
        <v>28</v>
      </c>
      <c r="Q100" s="40" t="s">
        <v>29</v>
      </c>
      <c r="R100" s="40" t="s">
        <v>30</v>
      </c>
      <c r="S100" s="40" t="s">
        <v>31</v>
      </c>
      <c r="T100" s="40" t="s">
        <v>32</v>
      </c>
      <c r="U100" s="40" t="s">
        <v>33</v>
      </c>
      <c r="V100" s="40" t="s">
        <v>34</v>
      </c>
      <c r="W100" s="40" t="s">
        <v>35</v>
      </c>
      <c r="X100" s="40" t="s">
        <v>36</v>
      </c>
      <c r="Y100" s="40" t="s">
        <v>37</v>
      </c>
      <c r="Z100" s="40" t="s">
        <v>38</v>
      </c>
      <c r="AA100" s="40" t="s">
        <v>39</v>
      </c>
      <c r="AB100" s="40" t="s">
        <v>40</v>
      </c>
      <c r="AC100" s="25"/>
      <c r="AD100" s="40" t="s">
        <v>17</v>
      </c>
      <c r="AE100" s="40" t="s">
        <v>18</v>
      </c>
      <c r="AF100" s="40" t="s">
        <v>19</v>
      </c>
      <c r="AG100" s="40" t="s">
        <v>20</v>
      </c>
      <c r="AH100" s="40" t="s">
        <v>21</v>
      </c>
      <c r="AI100" s="40" t="s">
        <v>22</v>
      </c>
      <c r="AJ100" s="40" t="s">
        <v>23</v>
      </c>
      <c r="AK100" s="40" t="s">
        <v>24</v>
      </c>
      <c r="AL100" s="40" t="s">
        <v>25</v>
      </c>
      <c r="AM100" s="40" t="s">
        <v>26</v>
      </c>
      <c r="AN100" s="40" t="s">
        <v>27</v>
      </c>
      <c r="AO100" s="40" t="s">
        <v>28</v>
      </c>
      <c r="AP100" s="40" t="s">
        <v>29</v>
      </c>
      <c r="AQ100" s="40" t="s">
        <v>30</v>
      </c>
      <c r="AR100" s="40" t="s">
        <v>31</v>
      </c>
      <c r="AS100" s="40" t="s">
        <v>32</v>
      </c>
      <c r="AT100" s="40" t="s">
        <v>33</v>
      </c>
      <c r="AU100" s="40" t="s">
        <v>34</v>
      </c>
      <c r="AV100" s="40" t="s">
        <v>35</v>
      </c>
      <c r="AW100" s="40" t="s">
        <v>36</v>
      </c>
      <c r="AX100" s="40" t="s">
        <v>37</v>
      </c>
      <c r="AY100" s="40" t="s">
        <v>38</v>
      </c>
      <c r="AZ100" s="40" t="s">
        <v>39</v>
      </c>
      <c r="BA100" s="40" t="s">
        <v>40</v>
      </c>
      <c r="BB100" s="26"/>
      <c r="BC100" s="125"/>
      <c r="BD100" s="308" t="s">
        <v>62</v>
      </c>
      <c r="BE100" s="308"/>
      <c r="BF100" s="308"/>
      <c r="BG100" s="308"/>
      <c r="BH100" s="308"/>
    </row>
    <row r="101" spans="1:60" x14ac:dyDescent="0.3">
      <c r="A101" s="14"/>
      <c r="B101" s="14"/>
      <c r="C101" s="23" t="s">
        <v>41</v>
      </c>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41"/>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1"/>
      <c r="BC101" s="126"/>
      <c r="BD101" s="308" t="s">
        <v>63</v>
      </c>
      <c r="BE101" s="308"/>
      <c r="BF101" s="308"/>
      <c r="BG101" s="308"/>
      <c r="BH101" s="308"/>
    </row>
    <row r="102" spans="1:60" ht="15.75" customHeight="1" x14ac:dyDescent="0.3">
      <c r="A102" s="14"/>
      <c r="B102" s="14"/>
      <c r="C102" s="23" t="s">
        <v>42</v>
      </c>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41"/>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1"/>
      <c r="BC102" s="127"/>
      <c r="BD102" s="309" t="s">
        <v>140</v>
      </c>
      <c r="BE102" s="310"/>
      <c r="BF102" s="310"/>
      <c r="BG102" s="310"/>
      <c r="BH102" s="311"/>
    </row>
    <row r="103" spans="1:60" x14ac:dyDescent="0.3">
      <c r="A103" s="14"/>
      <c r="B103" s="14"/>
      <c r="C103" s="23" t="s">
        <v>43</v>
      </c>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41"/>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1"/>
      <c r="BC103" s="131"/>
      <c r="BD103" s="308" t="s">
        <v>64</v>
      </c>
      <c r="BE103" s="308"/>
      <c r="BF103" s="308"/>
      <c r="BG103" s="308"/>
      <c r="BH103" s="308"/>
    </row>
    <row r="104" spans="1:60" x14ac:dyDescent="0.3">
      <c r="A104" s="14"/>
      <c r="B104" s="14"/>
      <c r="C104" s="23" t="s">
        <v>44</v>
      </c>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41"/>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1"/>
      <c r="BC104" s="128"/>
      <c r="BD104" s="308" t="s">
        <v>65</v>
      </c>
      <c r="BE104" s="308"/>
      <c r="BF104" s="308"/>
      <c r="BG104" s="308"/>
      <c r="BH104" s="308"/>
    </row>
    <row r="105" spans="1:60" x14ac:dyDescent="0.3">
      <c r="A105" s="14"/>
      <c r="B105" s="14"/>
      <c r="C105" s="23" t="s">
        <v>45</v>
      </c>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41"/>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1"/>
      <c r="BC105" s="132"/>
      <c r="BD105" s="304" t="s">
        <v>89</v>
      </c>
      <c r="BE105" s="304"/>
      <c r="BF105" s="304"/>
      <c r="BG105" s="304"/>
      <c r="BH105" s="304"/>
    </row>
    <row r="106" spans="1:60" x14ac:dyDescent="0.3">
      <c r="A106" s="14"/>
      <c r="B106" s="14"/>
      <c r="C106" s="23" t="s">
        <v>46</v>
      </c>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41"/>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1"/>
      <c r="BC106" s="97" t="s">
        <v>83</v>
      </c>
      <c r="BD106" s="304" t="s">
        <v>82</v>
      </c>
      <c r="BE106" s="304"/>
      <c r="BF106" s="304"/>
      <c r="BG106" s="304"/>
      <c r="BH106" s="304"/>
    </row>
    <row r="107" spans="1:60" ht="69.900000000000006" customHeight="1" x14ac:dyDescent="0.3">
      <c r="A107" s="14"/>
      <c r="B107" s="14"/>
      <c r="C107" s="24" t="s">
        <v>70</v>
      </c>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c r="AA107" s="307"/>
      <c r="AB107" s="307"/>
      <c r="AC107" s="32"/>
      <c r="AD107" s="307"/>
      <c r="AE107" s="307"/>
      <c r="AF107" s="307"/>
      <c r="AG107" s="307"/>
      <c r="AH107" s="307"/>
      <c r="AI107" s="307"/>
      <c r="AJ107" s="307"/>
      <c r="AK107" s="307"/>
      <c r="AL107" s="307"/>
      <c r="AM107" s="307"/>
      <c r="AN107" s="307"/>
      <c r="AO107" s="307"/>
      <c r="AP107" s="307"/>
      <c r="AQ107" s="307"/>
      <c r="AR107" s="307"/>
      <c r="AS107" s="307"/>
      <c r="AT107" s="307"/>
      <c r="AU107" s="307"/>
      <c r="AV107" s="307"/>
      <c r="AW107" s="307"/>
      <c r="AX107" s="307"/>
      <c r="AY107" s="307"/>
      <c r="AZ107" s="307"/>
      <c r="BA107" s="307"/>
      <c r="BB107" s="11"/>
      <c r="BC107" s="133" t="s">
        <v>90</v>
      </c>
      <c r="BD107" s="304" t="s">
        <v>91</v>
      </c>
      <c r="BE107" s="304"/>
      <c r="BF107" s="304"/>
      <c r="BG107" s="304"/>
      <c r="BH107" s="304"/>
    </row>
    <row r="108" spans="1:60" ht="43.5" customHeight="1" x14ac:dyDescent="0.3">
      <c r="A108" s="14"/>
      <c r="B108" s="14"/>
      <c r="C108" s="24" t="s">
        <v>47</v>
      </c>
      <c r="E108" s="312"/>
      <c r="F108" s="313"/>
      <c r="G108" s="313"/>
      <c r="H108" s="313"/>
      <c r="I108" s="313"/>
      <c r="J108" s="313"/>
      <c r="K108" s="313"/>
      <c r="L108" s="313"/>
      <c r="M108" s="313"/>
      <c r="N108" s="313"/>
      <c r="O108" s="313"/>
      <c r="P108" s="314"/>
      <c r="Q108" s="315"/>
      <c r="R108" s="313"/>
      <c r="S108" s="313"/>
      <c r="T108" s="313"/>
      <c r="U108" s="313"/>
      <c r="V108" s="313"/>
      <c r="W108" s="313"/>
      <c r="X108" s="313"/>
      <c r="Y108" s="313"/>
      <c r="Z108" s="313"/>
      <c r="AA108" s="313"/>
      <c r="AB108" s="313"/>
      <c r="AC108" s="32"/>
      <c r="AD108" s="312"/>
      <c r="AE108" s="313"/>
      <c r="AF108" s="313"/>
      <c r="AG108" s="313"/>
      <c r="AH108" s="313"/>
      <c r="AI108" s="313"/>
      <c r="AJ108" s="313"/>
      <c r="AK108" s="313"/>
      <c r="AL108" s="313"/>
      <c r="AM108" s="313"/>
      <c r="AN108" s="313"/>
      <c r="AO108" s="314"/>
      <c r="AP108" s="315"/>
      <c r="AQ108" s="313"/>
      <c r="AR108" s="313"/>
      <c r="AS108" s="313"/>
      <c r="AT108" s="313"/>
      <c r="AU108" s="313"/>
      <c r="AV108" s="313"/>
      <c r="AW108" s="313"/>
      <c r="AX108" s="313"/>
      <c r="AY108" s="313"/>
      <c r="AZ108" s="313"/>
      <c r="BA108" s="313"/>
      <c r="BB108" s="11"/>
      <c r="BC108" s="134"/>
      <c r="BD108" s="309" t="s">
        <v>139</v>
      </c>
      <c r="BE108" s="310"/>
      <c r="BF108" s="310"/>
      <c r="BG108" s="310"/>
      <c r="BH108" s="311"/>
    </row>
    <row r="109" spans="1:60" s="15" customFormat="1" ht="18" x14ac:dyDescent="0.35">
      <c r="A109" s="29"/>
      <c r="B109" s="29"/>
      <c r="E109" s="16">
        <v>19</v>
      </c>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D109" s="16">
        <v>20</v>
      </c>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8"/>
      <c r="BC109" s="135"/>
      <c r="BD109" s="304" t="s">
        <v>141</v>
      </c>
      <c r="BE109" s="304"/>
      <c r="BF109" s="304"/>
      <c r="BG109" s="304"/>
      <c r="BH109" s="304"/>
    </row>
    <row r="110" spans="1:60" s="27" customFormat="1" x14ac:dyDescent="0.3">
      <c r="A110" s="14"/>
      <c r="B110" s="14"/>
      <c r="C110" s="25"/>
      <c r="D110" s="25"/>
      <c r="E110" s="39">
        <v>0</v>
      </c>
      <c r="F110" s="39">
        <v>1</v>
      </c>
      <c r="G110" s="39">
        <v>2</v>
      </c>
      <c r="H110" s="39">
        <v>3</v>
      </c>
      <c r="I110" s="39">
        <v>4</v>
      </c>
      <c r="J110" s="39">
        <v>5</v>
      </c>
      <c r="K110" s="39">
        <v>6</v>
      </c>
      <c r="L110" s="39">
        <v>7</v>
      </c>
      <c r="M110" s="39">
        <v>8</v>
      </c>
      <c r="N110" s="39">
        <v>9</v>
      </c>
      <c r="O110" s="39">
        <v>10</v>
      </c>
      <c r="P110" s="39">
        <v>11</v>
      </c>
      <c r="Q110" s="39">
        <v>12</v>
      </c>
      <c r="R110" s="39">
        <v>13</v>
      </c>
      <c r="S110" s="39">
        <v>14</v>
      </c>
      <c r="T110" s="39">
        <v>15</v>
      </c>
      <c r="U110" s="39">
        <v>16</v>
      </c>
      <c r="V110" s="39">
        <v>17</v>
      </c>
      <c r="W110" s="39">
        <v>18</v>
      </c>
      <c r="X110" s="39">
        <v>19</v>
      </c>
      <c r="Y110" s="39">
        <v>20</v>
      </c>
      <c r="Z110" s="39">
        <v>21</v>
      </c>
      <c r="AA110" s="39">
        <v>22</v>
      </c>
      <c r="AB110" s="39">
        <v>23</v>
      </c>
      <c r="AC110" s="25"/>
      <c r="AD110" s="39">
        <v>0</v>
      </c>
      <c r="AE110" s="39">
        <v>1</v>
      </c>
      <c r="AF110" s="39">
        <v>2</v>
      </c>
      <c r="AG110" s="39">
        <v>3</v>
      </c>
      <c r="AH110" s="39">
        <v>4</v>
      </c>
      <c r="AI110" s="39">
        <v>5</v>
      </c>
      <c r="AJ110" s="39">
        <v>6</v>
      </c>
      <c r="AK110" s="39">
        <v>7</v>
      </c>
      <c r="AL110" s="39">
        <v>8</v>
      </c>
      <c r="AM110" s="39">
        <v>9</v>
      </c>
      <c r="AN110" s="39">
        <v>10</v>
      </c>
      <c r="AO110" s="39">
        <v>11</v>
      </c>
      <c r="AP110" s="39">
        <v>12</v>
      </c>
      <c r="AQ110" s="39">
        <v>13</v>
      </c>
      <c r="AR110" s="39">
        <v>14</v>
      </c>
      <c r="AS110" s="39">
        <v>15</v>
      </c>
      <c r="AT110" s="39">
        <v>16</v>
      </c>
      <c r="AU110" s="39">
        <v>17</v>
      </c>
      <c r="AV110" s="39">
        <v>18</v>
      </c>
      <c r="AW110" s="39">
        <v>19</v>
      </c>
      <c r="AX110" s="39">
        <v>20</v>
      </c>
      <c r="AY110" s="39">
        <v>21</v>
      </c>
      <c r="AZ110" s="39">
        <v>22</v>
      </c>
      <c r="BA110" s="39">
        <v>23</v>
      </c>
      <c r="BB110" s="26"/>
      <c r="BC110" s="133" t="s">
        <v>144</v>
      </c>
      <c r="BD110" s="304" t="s">
        <v>145</v>
      </c>
      <c r="BE110" s="304"/>
      <c r="BF110" s="304"/>
      <c r="BG110" s="304"/>
      <c r="BH110" s="304"/>
    </row>
    <row r="111" spans="1:60" s="27" customFormat="1" ht="15" customHeight="1" x14ac:dyDescent="0.3">
      <c r="A111" s="14"/>
      <c r="B111" s="14"/>
      <c r="C111" s="25"/>
      <c r="D111" s="25"/>
      <c r="E111" s="40" t="s">
        <v>17</v>
      </c>
      <c r="F111" s="40" t="s">
        <v>18</v>
      </c>
      <c r="G111" s="40" t="s">
        <v>19</v>
      </c>
      <c r="H111" s="40" t="s">
        <v>20</v>
      </c>
      <c r="I111" s="40" t="s">
        <v>21</v>
      </c>
      <c r="J111" s="40" t="s">
        <v>22</v>
      </c>
      <c r="K111" s="40" t="s">
        <v>23</v>
      </c>
      <c r="L111" s="40" t="s">
        <v>24</v>
      </c>
      <c r="M111" s="40" t="s">
        <v>25</v>
      </c>
      <c r="N111" s="40" t="s">
        <v>26</v>
      </c>
      <c r="O111" s="40" t="s">
        <v>27</v>
      </c>
      <c r="P111" s="40" t="s">
        <v>28</v>
      </c>
      <c r="Q111" s="40" t="s">
        <v>29</v>
      </c>
      <c r="R111" s="40" t="s">
        <v>30</v>
      </c>
      <c r="S111" s="40" t="s">
        <v>31</v>
      </c>
      <c r="T111" s="40" t="s">
        <v>32</v>
      </c>
      <c r="U111" s="40" t="s">
        <v>33</v>
      </c>
      <c r="V111" s="40" t="s">
        <v>34</v>
      </c>
      <c r="W111" s="40" t="s">
        <v>35</v>
      </c>
      <c r="X111" s="40" t="s">
        <v>36</v>
      </c>
      <c r="Y111" s="40" t="s">
        <v>37</v>
      </c>
      <c r="Z111" s="40" t="s">
        <v>38</v>
      </c>
      <c r="AA111" s="40" t="s">
        <v>39</v>
      </c>
      <c r="AB111" s="40" t="s">
        <v>40</v>
      </c>
      <c r="AC111" s="25"/>
      <c r="AD111" s="40" t="s">
        <v>17</v>
      </c>
      <c r="AE111" s="40" t="s">
        <v>18</v>
      </c>
      <c r="AF111" s="40" t="s">
        <v>19</v>
      </c>
      <c r="AG111" s="40" t="s">
        <v>20</v>
      </c>
      <c r="AH111" s="40" t="s">
        <v>21</v>
      </c>
      <c r="AI111" s="40" t="s">
        <v>22</v>
      </c>
      <c r="AJ111" s="40" t="s">
        <v>23</v>
      </c>
      <c r="AK111" s="40" t="s">
        <v>24</v>
      </c>
      <c r="AL111" s="40" t="s">
        <v>25</v>
      </c>
      <c r="AM111" s="40" t="s">
        <v>26</v>
      </c>
      <c r="AN111" s="40" t="s">
        <v>27</v>
      </c>
      <c r="AO111" s="40" t="s">
        <v>28</v>
      </c>
      <c r="AP111" s="40" t="s">
        <v>29</v>
      </c>
      <c r="AQ111" s="40" t="s">
        <v>30</v>
      </c>
      <c r="AR111" s="40" t="s">
        <v>31</v>
      </c>
      <c r="AS111" s="40" t="s">
        <v>32</v>
      </c>
      <c r="AT111" s="40" t="s">
        <v>33</v>
      </c>
      <c r="AU111" s="40" t="s">
        <v>34</v>
      </c>
      <c r="AV111" s="40" t="s">
        <v>35</v>
      </c>
      <c r="AW111" s="40" t="s">
        <v>36</v>
      </c>
      <c r="AX111" s="40" t="s">
        <v>37</v>
      </c>
      <c r="AY111" s="40" t="s">
        <v>38</v>
      </c>
      <c r="AZ111" s="40" t="s">
        <v>39</v>
      </c>
      <c r="BA111" s="40" t="s">
        <v>40</v>
      </c>
      <c r="BB111" s="26"/>
      <c r="BC111" s="136"/>
    </row>
    <row r="112" spans="1:60" x14ac:dyDescent="0.3">
      <c r="A112" s="14"/>
      <c r="B112" s="14"/>
      <c r="C112" s="23" t="s">
        <v>41</v>
      </c>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41"/>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1"/>
      <c r="BC112" s="62"/>
      <c r="BD112" s="10"/>
      <c r="BE112" s="10"/>
      <c r="BF112" s="10"/>
      <c r="BG112" s="10"/>
      <c r="BH112" s="10"/>
    </row>
    <row r="113" spans="1:60" x14ac:dyDescent="0.3">
      <c r="A113" s="14"/>
      <c r="B113" s="14"/>
      <c r="C113" s="23" t="s">
        <v>42</v>
      </c>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41"/>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1"/>
      <c r="BC113" s="62"/>
      <c r="BD113" s="10"/>
      <c r="BE113" s="10"/>
      <c r="BF113" s="10"/>
      <c r="BG113" s="10"/>
      <c r="BH113" s="10"/>
    </row>
    <row r="114" spans="1:60" x14ac:dyDescent="0.3">
      <c r="A114" s="14"/>
      <c r="B114" s="14"/>
      <c r="C114" s="23" t="s">
        <v>43</v>
      </c>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41"/>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1"/>
      <c r="BC114" s="62"/>
      <c r="BD114" s="10"/>
      <c r="BE114" s="10"/>
      <c r="BF114" s="10"/>
      <c r="BG114" s="10"/>
      <c r="BH114" s="10"/>
    </row>
    <row r="115" spans="1:60" x14ac:dyDescent="0.3">
      <c r="A115" s="14"/>
      <c r="B115" s="14"/>
      <c r="C115" s="23" t="s">
        <v>44</v>
      </c>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41"/>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1"/>
      <c r="BC115" s="62"/>
      <c r="BD115" s="10"/>
      <c r="BE115" s="10"/>
      <c r="BF115" s="10"/>
      <c r="BG115" s="10"/>
      <c r="BH115" s="10"/>
    </row>
    <row r="116" spans="1:60" x14ac:dyDescent="0.3">
      <c r="A116" s="14"/>
      <c r="B116" s="14"/>
      <c r="C116" s="23" t="s">
        <v>45</v>
      </c>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41"/>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1"/>
      <c r="BC116" s="129"/>
      <c r="BD116" s="14"/>
      <c r="BE116" s="14"/>
      <c r="BF116" s="14"/>
      <c r="BG116" s="14"/>
      <c r="BH116" s="14"/>
    </row>
    <row r="117" spans="1:60" x14ac:dyDescent="0.3">
      <c r="A117" s="14"/>
      <c r="B117" s="14"/>
      <c r="C117" s="23" t="s">
        <v>46</v>
      </c>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41"/>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1"/>
      <c r="BC117" s="129"/>
      <c r="BD117" s="14"/>
      <c r="BE117" s="14"/>
      <c r="BF117" s="14"/>
      <c r="BG117" s="14"/>
      <c r="BH117" s="14"/>
    </row>
    <row r="118" spans="1:60" ht="69.900000000000006" customHeight="1" x14ac:dyDescent="0.3">
      <c r="A118" s="14"/>
      <c r="B118" s="14"/>
      <c r="C118" s="24" t="s">
        <v>70</v>
      </c>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c r="AA118" s="307"/>
      <c r="AB118" s="307"/>
      <c r="AC118" s="32"/>
      <c r="AD118" s="307"/>
      <c r="AE118" s="307"/>
      <c r="AF118" s="307"/>
      <c r="AG118" s="307"/>
      <c r="AH118" s="307"/>
      <c r="AI118" s="307"/>
      <c r="AJ118" s="307"/>
      <c r="AK118" s="307"/>
      <c r="AL118" s="307"/>
      <c r="AM118" s="307"/>
      <c r="AN118" s="307"/>
      <c r="AO118" s="307"/>
      <c r="AP118" s="307"/>
      <c r="AQ118" s="307"/>
      <c r="AR118" s="307"/>
      <c r="AS118" s="307"/>
      <c r="AT118" s="307"/>
      <c r="AU118" s="307"/>
      <c r="AV118" s="307"/>
      <c r="AW118" s="307"/>
      <c r="AX118" s="307"/>
      <c r="AY118" s="307"/>
      <c r="AZ118" s="307"/>
      <c r="BA118" s="307"/>
      <c r="BB118" s="11"/>
      <c r="BC118" s="129"/>
      <c r="BD118" s="14"/>
      <c r="BE118" s="14"/>
      <c r="BF118" s="14"/>
      <c r="BG118" s="14"/>
      <c r="BH118" s="14"/>
    </row>
    <row r="119" spans="1:60" ht="43.5" customHeight="1" x14ac:dyDescent="0.3">
      <c r="A119" s="14"/>
      <c r="B119" s="14"/>
      <c r="C119" s="24" t="s">
        <v>47</v>
      </c>
      <c r="E119" s="312"/>
      <c r="F119" s="313"/>
      <c r="G119" s="313"/>
      <c r="H119" s="313"/>
      <c r="I119" s="313"/>
      <c r="J119" s="313"/>
      <c r="K119" s="313"/>
      <c r="L119" s="313"/>
      <c r="M119" s="313"/>
      <c r="N119" s="313"/>
      <c r="O119" s="313"/>
      <c r="P119" s="314"/>
      <c r="Q119" s="315"/>
      <c r="R119" s="313"/>
      <c r="S119" s="313"/>
      <c r="T119" s="313"/>
      <c r="U119" s="313"/>
      <c r="V119" s="313"/>
      <c r="W119" s="313"/>
      <c r="X119" s="313"/>
      <c r="Y119" s="313"/>
      <c r="Z119" s="313"/>
      <c r="AA119" s="313"/>
      <c r="AB119" s="313"/>
      <c r="AC119" s="32"/>
      <c r="AD119" s="312"/>
      <c r="AE119" s="313"/>
      <c r="AF119" s="313"/>
      <c r="AG119" s="313"/>
      <c r="AH119" s="313"/>
      <c r="AI119" s="313"/>
      <c r="AJ119" s="313"/>
      <c r="AK119" s="313"/>
      <c r="AL119" s="313"/>
      <c r="AM119" s="313"/>
      <c r="AN119" s="313"/>
      <c r="AO119" s="314"/>
      <c r="AP119" s="315"/>
      <c r="AQ119" s="313"/>
      <c r="AR119" s="313"/>
      <c r="AS119" s="313"/>
      <c r="AT119" s="313"/>
      <c r="AU119" s="313"/>
      <c r="AV119" s="313"/>
      <c r="AW119" s="313"/>
      <c r="AX119" s="313"/>
      <c r="AY119" s="313"/>
      <c r="AZ119" s="313"/>
      <c r="BA119" s="313"/>
      <c r="BB119" s="11"/>
      <c r="BC119" s="129"/>
      <c r="BD119" s="14"/>
      <c r="BE119" s="14"/>
      <c r="BF119" s="14"/>
      <c r="BG119" s="14"/>
      <c r="BH119" s="14"/>
    </row>
    <row r="120" spans="1:60" s="15" customFormat="1" ht="18" x14ac:dyDescent="0.35">
      <c r="A120" s="29"/>
      <c r="B120" s="29"/>
      <c r="E120" s="16">
        <v>21</v>
      </c>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D120" s="16">
        <v>22</v>
      </c>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8"/>
      <c r="BC120" s="137"/>
      <c r="BD120" s="29"/>
      <c r="BE120" s="29"/>
      <c r="BF120" s="29"/>
      <c r="BG120" s="29"/>
      <c r="BH120" s="29"/>
    </row>
    <row r="121" spans="1:60" s="27" customFormat="1" x14ac:dyDescent="0.3">
      <c r="A121" s="14"/>
      <c r="B121" s="14"/>
      <c r="C121" s="25"/>
      <c r="D121" s="25"/>
      <c r="E121" s="39">
        <v>0</v>
      </c>
      <c r="F121" s="39">
        <v>1</v>
      </c>
      <c r="G121" s="39">
        <v>2</v>
      </c>
      <c r="H121" s="39">
        <v>3</v>
      </c>
      <c r="I121" s="39">
        <v>4</v>
      </c>
      <c r="J121" s="39">
        <v>5</v>
      </c>
      <c r="K121" s="39">
        <v>6</v>
      </c>
      <c r="L121" s="39">
        <v>7</v>
      </c>
      <c r="M121" s="39">
        <v>8</v>
      </c>
      <c r="N121" s="39">
        <v>9</v>
      </c>
      <c r="O121" s="39">
        <v>10</v>
      </c>
      <c r="P121" s="39">
        <v>11</v>
      </c>
      <c r="Q121" s="39">
        <v>12</v>
      </c>
      <c r="R121" s="39">
        <v>13</v>
      </c>
      <c r="S121" s="39">
        <v>14</v>
      </c>
      <c r="T121" s="39">
        <v>15</v>
      </c>
      <c r="U121" s="39">
        <v>16</v>
      </c>
      <c r="V121" s="39">
        <v>17</v>
      </c>
      <c r="W121" s="39">
        <v>18</v>
      </c>
      <c r="X121" s="39">
        <v>19</v>
      </c>
      <c r="Y121" s="39">
        <v>20</v>
      </c>
      <c r="Z121" s="39">
        <v>21</v>
      </c>
      <c r="AA121" s="39">
        <v>22</v>
      </c>
      <c r="AB121" s="39">
        <v>23</v>
      </c>
      <c r="AC121" s="25"/>
      <c r="AD121" s="39">
        <v>0</v>
      </c>
      <c r="AE121" s="39">
        <v>1</v>
      </c>
      <c r="AF121" s="39">
        <v>2</v>
      </c>
      <c r="AG121" s="39">
        <v>3</v>
      </c>
      <c r="AH121" s="39">
        <v>4</v>
      </c>
      <c r="AI121" s="39">
        <v>5</v>
      </c>
      <c r="AJ121" s="39">
        <v>6</v>
      </c>
      <c r="AK121" s="39">
        <v>7</v>
      </c>
      <c r="AL121" s="39">
        <v>8</v>
      </c>
      <c r="AM121" s="39">
        <v>9</v>
      </c>
      <c r="AN121" s="39">
        <v>10</v>
      </c>
      <c r="AO121" s="39">
        <v>11</v>
      </c>
      <c r="AP121" s="39">
        <v>12</v>
      </c>
      <c r="AQ121" s="39">
        <v>13</v>
      </c>
      <c r="AR121" s="39">
        <v>14</v>
      </c>
      <c r="AS121" s="39">
        <v>15</v>
      </c>
      <c r="AT121" s="39">
        <v>16</v>
      </c>
      <c r="AU121" s="39">
        <v>17</v>
      </c>
      <c r="AV121" s="39">
        <v>18</v>
      </c>
      <c r="AW121" s="39">
        <v>19</v>
      </c>
      <c r="AX121" s="39">
        <v>20</v>
      </c>
      <c r="AY121" s="39">
        <v>21</v>
      </c>
      <c r="AZ121" s="39">
        <v>22</v>
      </c>
      <c r="BA121" s="39">
        <v>23</v>
      </c>
      <c r="BB121" s="26"/>
      <c r="BC121" s="129"/>
      <c r="BD121" s="14"/>
      <c r="BE121" s="14"/>
      <c r="BF121" s="14"/>
      <c r="BG121" s="14"/>
      <c r="BH121" s="14"/>
    </row>
    <row r="122" spans="1:60" s="27" customFormat="1" ht="15" customHeight="1" x14ac:dyDescent="0.3">
      <c r="A122" s="14"/>
      <c r="B122" s="14"/>
      <c r="C122" s="25"/>
      <c r="D122" s="25"/>
      <c r="E122" s="40" t="s">
        <v>17</v>
      </c>
      <c r="F122" s="40" t="s">
        <v>18</v>
      </c>
      <c r="G122" s="40" t="s">
        <v>19</v>
      </c>
      <c r="H122" s="40" t="s">
        <v>20</v>
      </c>
      <c r="I122" s="40" t="s">
        <v>21</v>
      </c>
      <c r="J122" s="40" t="s">
        <v>22</v>
      </c>
      <c r="K122" s="40" t="s">
        <v>23</v>
      </c>
      <c r="L122" s="40" t="s">
        <v>24</v>
      </c>
      <c r="M122" s="40" t="s">
        <v>25</v>
      </c>
      <c r="N122" s="40" t="s">
        <v>26</v>
      </c>
      <c r="O122" s="40" t="s">
        <v>27</v>
      </c>
      <c r="P122" s="40" t="s">
        <v>28</v>
      </c>
      <c r="Q122" s="40" t="s">
        <v>29</v>
      </c>
      <c r="R122" s="40" t="s">
        <v>30</v>
      </c>
      <c r="S122" s="40" t="s">
        <v>31</v>
      </c>
      <c r="T122" s="40" t="s">
        <v>32</v>
      </c>
      <c r="U122" s="40" t="s">
        <v>33</v>
      </c>
      <c r="V122" s="40" t="s">
        <v>34</v>
      </c>
      <c r="W122" s="40" t="s">
        <v>35</v>
      </c>
      <c r="X122" s="40" t="s">
        <v>36</v>
      </c>
      <c r="Y122" s="40" t="s">
        <v>37</v>
      </c>
      <c r="Z122" s="40" t="s">
        <v>38</v>
      </c>
      <c r="AA122" s="40" t="s">
        <v>39</v>
      </c>
      <c r="AB122" s="40" t="s">
        <v>40</v>
      </c>
      <c r="AC122" s="25"/>
      <c r="AD122" s="40" t="s">
        <v>17</v>
      </c>
      <c r="AE122" s="40" t="s">
        <v>18</v>
      </c>
      <c r="AF122" s="40" t="s">
        <v>19</v>
      </c>
      <c r="AG122" s="40" t="s">
        <v>20</v>
      </c>
      <c r="AH122" s="40" t="s">
        <v>21</v>
      </c>
      <c r="AI122" s="40" t="s">
        <v>22</v>
      </c>
      <c r="AJ122" s="40" t="s">
        <v>23</v>
      </c>
      <c r="AK122" s="40" t="s">
        <v>24</v>
      </c>
      <c r="AL122" s="40" t="s">
        <v>25</v>
      </c>
      <c r="AM122" s="40" t="s">
        <v>26</v>
      </c>
      <c r="AN122" s="40" t="s">
        <v>27</v>
      </c>
      <c r="AO122" s="40" t="s">
        <v>28</v>
      </c>
      <c r="AP122" s="40" t="s">
        <v>29</v>
      </c>
      <c r="AQ122" s="40" t="s">
        <v>30</v>
      </c>
      <c r="AR122" s="40" t="s">
        <v>31</v>
      </c>
      <c r="AS122" s="40" t="s">
        <v>32</v>
      </c>
      <c r="AT122" s="40" t="s">
        <v>33</v>
      </c>
      <c r="AU122" s="40" t="s">
        <v>34</v>
      </c>
      <c r="AV122" s="40" t="s">
        <v>35</v>
      </c>
      <c r="AW122" s="40" t="s">
        <v>36</v>
      </c>
      <c r="AX122" s="40" t="s">
        <v>37</v>
      </c>
      <c r="AY122" s="40" t="s">
        <v>38</v>
      </c>
      <c r="AZ122" s="40" t="s">
        <v>39</v>
      </c>
      <c r="BA122" s="40" t="s">
        <v>40</v>
      </c>
      <c r="BB122" s="26"/>
      <c r="BC122" s="129"/>
      <c r="BD122" s="14"/>
      <c r="BE122" s="14"/>
      <c r="BF122" s="14"/>
      <c r="BG122" s="14"/>
      <c r="BH122" s="14"/>
    </row>
    <row r="123" spans="1:60" x14ac:dyDescent="0.3">
      <c r="A123" s="14"/>
      <c r="B123" s="14"/>
      <c r="C123" s="23" t="s">
        <v>41</v>
      </c>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41"/>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1"/>
      <c r="BC123" s="129"/>
      <c r="BD123" s="14"/>
      <c r="BE123" s="14"/>
      <c r="BF123" s="14"/>
      <c r="BG123" s="14"/>
      <c r="BH123" s="14"/>
    </row>
    <row r="124" spans="1:60" x14ac:dyDescent="0.3">
      <c r="A124" s="14"/>
      <c r="B124" s="14"/>
      <c r="C124" s="23" t="s">
        <v>42</v>
      </c>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41"/>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1"/>
      <c r="BC124" s="129"/>
      <c r="BD124" s="14"/>
      <c r="BE124" s="14"/>
      <c r="BF124" s="14"/>
      <c r="BG124" s="14"/>
      <c r="BH124" s="14"/>
    </row>
    <row r="125" spans="1:60" x14ac:dyDescent="0.3">
      <c r="A125" s="14"/>
      <c r="B125" s="14"/>
      <c r="C125" s="23" t="s">
        <v>43</v>
      </c>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41"/>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1"/>
      <c r="BC125" s="129"/>
      <c r="BD125" s="14"/>
      <c r="BE125" s="14"/>
      <c r="BF125" s="14"/>
      <c r="BG125" s="14"/>
      <c r="BH125" s="14"/>
    </row>
    <row r="126" spans="1:60" x14ac:dyDescent="0.3">
      <c r="A126" s="14"/>
      <c r="B126" s="14"/>
      <c r="C126" s="23" t="s">
        <v>44</v>
      </c>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41"/>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1"/>
      <c r="BC126" s="129"/>
      <c r="BD126" s="14"/>
      <c r="BE126" s="14"/>
      <c r="BF126" s="14"/>
      <c r="BG126" s="14"/>
      <c r="BH126" s="14"/>
    </row>
    <row r="127" spans="1:60" x14ac:dyDescent="0.3">
      <c r="A127" s="14"/>
      <c r="B127" s="14"/>
      <c r="C127" s="23" t="s">
        <v>45</v>
      </c>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41"/>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1"/>
      <c r="BC127" s="129"/>
      <c r="BD127" s="14"/>
      <c r="BE127" s="14"/>
      <c r="BF127" s="14"/>
      <c r="BG127" s="14"/>
      <c r="BH127" s="14"/>
    </row>
    <row r="128" spans="1:60" x14ac:dyDescent="0.3">
      <c r="A128" s="14"/>
      <c r="B128" s="14"/>
      <c r="C128" s="23" t="s">
        <v>46</v>
      </c>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41"/>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1"/>
      <c r="BC128" s="129"/>
      <c r="BD128" s="14"/>
      <c r="BE128" s="14"/>
      <c r="BF128" s="14"/>
      <c r="BG128" s="14"/>
      <c r="BH128" s="14"/>
    </row>
    <row r="129" spans="1:60" ht="69.900000000000006" customHeight="1" x14ac:dyDescent="0.3">
      <c r="A129" s="14"/>
      <c r="B129" s="14"/>
      <c r="C129" s="24" t="s">
        <v>70</v>
      </c>
      <c r="E129" s="307"/>
      <c r="F129" s="307"/>
      <c r="G129" s="307"/>
      <c r="H129" s="307"/>
      <c r="I129" s="307"/>
      <c r="J129" s="307"/>
      <c r="K129" s="307"/>
      <c r="L129" s="307"/>
      <c r="M129" s="307"/>
      <c r="N129" s="307"/>
      <c r="O129" s="307"/>
      <c r="P129" s="307"/>
      <c r="Q129" s="307"/>
      <c r="R129" s="307"/>
      <c r="S129" s="307"/>
      <c r="T129" s="307"/>
      <c r="U129" s="307"/>
      <c r="V129" s="307"/>
      <c r="W129" s="307"/>
      <c r="X129" s="307"/>
      <c r="Y129" s="307"/>
      <c r="Z129" s="307"/>
      <c r="AA129" s="307"/>
      <c r="AB129" s="307"/>
      <c r="AC129" s="32"/>
      <c r="AD129" s="307"/>
      <c r="AE129" s="307"/>
      <c r="AF129" s="307"/>
      <c r="AG129" s="307"/>
      <c r="AH129" s="307"/>
      <c r="AI129" s="307"/>
      <c r="AJ129" s="307"/>
      <c r="AK129" s="307"/>
      <c r="AL129" s="307"/>
      <c r="AM129" s="307"/>
      <c r="AN129" s="307"/>
      <c r="AO129" s="307"/>
      <c r="AP129" s="307"/>
      <c r="AQ129" s="307"/>
      <c r="AR129" s="307"/>
      <c r="AS129" s="307"/>
      <c r="AT129" s="307"/>
      <c r="AU129" s="307"/>
      <c r="AV129" s="307"/>
      <c r="AW129" s="307"/>
      <c r="AX129" s="307"/>
      <c r="AY129" s="307"/>
      <c r="AZ129" s="307"/>
      <c r="BA129" s="307"/>
      <c r="BB129" s="11"/>
      <c r="BC129" s="129"/>
      <c r="BD129" s="14"/>
      <c r="BE129" s="14"/>
      <c r="BF129" s="14"/>
      <c r="BG129" s="14"/>
      <c r="BH129" s="14"/>
    </row>
    <row r="130" spans="1:60" ht="43.5" customHeight="1" x14ac:dyDescent="0.3">
      <c r="A130" s="14"/>
      <c r="B130" s="14"/>
      <c r="C130" s="24" t="s">
        <v>47</v>
      </c>
      <c r="E130" s="312"/>
      <c r="F130" s="313"/>
      <c r="G130" s="313"/>
      <c r="H130" s="313"/>
      <c r="I130" s="313"/>
      <c r="J130" s="313"/>
      <c r="K130" s="313"/>
      <c r="L130" s="313"/>
      <c r="M130" s="313"/>
      <c r="N130" s="313"/>
      <c r="O130" s="313"/>
      <c r="P130" s="314"/>
      <c r="Q130" s="315"/>
      <c r="R130" s="313"/>
      <c r="S130" s="313"/>
      <c r="T130" s="313"/>
      <c r="U130" s="313"/>
      <c r="V130" s="313"/>
      <c r="W130" s="313"/>
      <c r="X130" s="313"/>
      <c r="Y130" s="313"/>
      <c r="Z130" s="313"/>
      <c r="AA130" s="313"/>
      <c r="AB130" s="313"/>
      <c r="AC130" s="32"/>
      <c r="AD130" s="312"/>
      <c r="AE130" s="313"/>
      <c r="AF130" s="313"/>
      <c r="AG130" s="313"/>
      <c r="AH130" s="313"/>
      <c r="AI130" s="313"/>
      <c r="AJ130" s="313"/>
      <c r="AK130" s="313"/>
      <c r="AL130" s="313"/>
      <c r="AM130" s="313"/>
      <c r="AN130" s="313"/>
      <c r="AO130" s="314"/>
      <c r="AP130" s="315"/>
      <c r="AQ130" s="313"/>
      <c r="AR130" s="313"/>
      <c r="AS130" s="313"/>
      <c r="AT130" s="313"/>
      <c r="AU130" s="313"/>
      <c r="AV130" s="313"/>
      <c r="AW130" s="313"/>
      <c r="AX130" s="313"/>
      <c r="AY130" s="313"/>
      <c r="AZ130" s="313"/>
      <c r="BA130" s="313"/>
      <c r="BB130" s="11"/>
      <c r="BC130" s="129"/>
      <c r="BD130" s="14"/>
      <c r="BE130" s="14"/>
      <c r="BF130" s="14"/>
      <c r="BG130" s="14"/>
      <c r="BH130" s="14"/>
    </row>
    <row r="131" spans="1:60" s="15" customFormat="1" ht="18" x14ac:dyDescent="0.35">
      <c r="A131" s="29"/>
      <c r="B131" s="29"/>
      <c r="E131" s="16">
        <v>23</v>
      </c>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D131" s="16">
        <v>24</v>
      </c>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8"/>
      <c r="BC131" s="137"/>
      <c r="BD131" s="29"/>
      <c r="BE131" s="29"/>
      <c r="BF131" s="29"/>
      <c r="BG131" s="29"/>
      <c r="BH131" s="29"/>
    </row>
    <row r="132" spans="1:60" s="27" customFormat="1" x14ac:dyDescent="0.3">
      <c r="A132" s="14"/>
      <c r="B132" s="14"/>
      <c r="C132" s="25"/>
      <c r="D132" s="25"/>
      <c r="E132" s="39">
        <v>0</v>
      </c>
      <c r="F132" s="39">
        <v>1</v>
      </c>
      <c r="G132" s="39">
        <v>2</v>
      </c>
      <c r="H132" s="39">
        <v>3</v>
      </c>
      <c r="I132" s="39">
        <v>4</v>
      </c>
      <c r="J132" s="39">
        <v>5</v>
      </c>
      <c r="K132" s="39">
        <v>6</v>
      </c>
      <c r="L132" s="39">
        <v>7</v>
      </c>
      <c r="M132" s="39">
        <v>8</v>
      </c>
      <c r="N132" s="39">
        <v>9</v>
      </c>
      <c r="O132" s="39">
        <v>10</v>
      </c>
      <c r="P132" s="39">
        <v>11</v>
      </c>
      <c r="Q132" s="39">
        <v>12</v>
      </c>
      <c r="R132" s="39">
        <v>13</v>
      </c>
      <c r="S132" s="39">
        <v>14</v>
      </c>
      <c r="T132" s="39">
        <v>15</v>
      </c>
      <c r="U132" s="39">
        <v>16</v>
      </c>
      <c r="V132" s="39">
        <v>17</v>
      </c>
      <c r="W132" s="39">
        <v>18</v>
      </c>
      <c r="X132" s="39">
        <v>19</v>
      </c>
      <c r="Y132" s="39">
        <v>20</v>
      </c>
      <c r="Z132" s="39">
        <v>21</v>
      </c>
      <c r="AA132" s="39">
        <v>22</v>
      </c>
      <c r="AB132" s="39">
        <v>23</v>
      </c>
      <c r="AC132" s="25"/>
      <c r="AD132" s="39">
        <v>0</v>
      </c>
      <c r="AE132" s="39">
        <v>1</v>
      </c>
      <c r="AF132" s="39">
        <v>2</v>
      </c>
      <c r="AG132" s="39">
        <v>3</v>
      </c>
      <c r="AH132" s="39">
        <v>4</v>
      </c>
      <c r="AI132" s="39">
        <v>5</v>
      </c>
      <c r="AJ132" s="39">
        <v>6</v>
      </c>
      <c r="AK132" s="39">
        <v>7</v>
      </c>
      <c r="AL132" s="39">
        <v>8</v>
      </c>
      <c r="AM132" s="39">
        <v>9</v>
      </c>
      <c r="AN132" s="39">
        <v>10</v>
      </c>
      <c r="AO132" s="39">
        <v>11</v>
      </c>
      <c r="AP132" s="39">
        <v>12</v>
      </c>
      <c r="AQ132" s="39">
        <v>13</v>
      </c>
      <c r="AR132" s="39">
        <v>14</v>
      </c>
      <c r="AS132" s="39">
        <v>15</v>
      </c>
      <c r="AT132" s="39">
        <v>16</v>
      </c>
      <c r="AU132" s="39">
        <v>17</v>
      </c>
      <c r="AV132" s="39">
        <v>18</v>
      </c>
      <c r="AW132" s="39">
        <v>19</v>
      </c>
      <c r="AX132" s="39">
        <v>20</v>
      </c>
      <c r="AY132" s="39">
        <v>21</v>
      </c>
      <c r="AZ132" s="39">
        <v>22</v>
      </c>
      <c r="BA132" s="39">
        <v>23</v>
      </c>
      <c r="BB132" s="26"/>
      <c r="BC132" s="129"/>
      <c r="BD132" s="14"/>
      <c r="BE132" s="14"/>
      <c r="BF132" s="14"/>
      <c r="BG132" s="14"/>
      <c r="BH132" s="14"/>
    </row>
    <row r="133" spans="1:60" s="27" customFormat="1" ht="15" customHeight="1" x14ac:dyDescent="0.3">
      <c r="A133" s="14"/>
      <c r="B133" s="14"/>
      <c r="C133" s="25"/>
      <c r="D133" s="25"/>
      <c r="E133" s="40" t="s">
        <v>17</v>
      </c>
      <c r="F133" s="40" t="s">
        <v>18</v>
      </c>
      <c r="G133" s="40" t="s">
        <v>19</v>
      </c>
      <c r="H133" s="40" t="s">
        <v>20</v>
      </c>
      <c r="I133" s="40" t="s">
        <v>21</v>
      </c>
      <c r="J133" s="40" t="s">
        <v>22</v>
      </c>
      <c r="K133" s="40" t="s">
        <v>23</v>
      </c>
      <c r="L133" s="40" t="s">
        <v>24</v>
      </c>
      <c r="M133" s="40" t="s">
        <v>25</v>
      </c>
      <c r="N133" s="40" t="s">
        <v>26</v>
      </c>
      <c r="O133" s="40" t="s">
        <v>27</v>
      </c>
      <c r="P133" s="40" t="s">
        <v>28</v>
      </c>
      <c r="Q133" s="40" t="s">
        <v>29</v>
      </c>
      <c r="R133" s="40" t="s">
        <v>30</v>
      </c>
      <c r="S133" s="40" t="s">
        <v>31</v>
      </c>
      <c r="T133" s="40" t="s">
        <v>32</v>
      </c>
      <c r="U133" s="40" t="s">
        <v>33</v>
      </c>
      <c r="V133" s="40" t="s">
        <v>34</v>
      </c>
      <c r="W133" s="40" t="s">
        <v>35</v>
      </c>
      <c r="X133" s="40" t="s">
        <v>36</v>
      </c>
      <c r="Y133" s="40" t="s">
        <v>37</v>
      </c>
      <c r="Z133" s="40" t="s">
        <v>38</v>
      </c>
      <c r="AA133" s="40" t="s">
        <v>39</v>
      </c>
      <c r="AB133" s="40" t="s">
        <v>40</v>
      </c>
      <c r="AC133" s="25"/>
      <c r="AD133" s="40" t="s">
        <v>17</v>
      </c>
      <c r="AE133" s="40" t="s">
        <v>18</v>
      </c>
      <c r="AF133" s="40" t="s">
        <v>19</v>
      </c>
      <c r="AG133" s="40" t="s">
        <v>20</v>
      </c>
      <c r="AH133" s="40" t="s">
        <v>21</v>
      </c>
      <c r="AI133" s="40" t="s">
        <v>22</v>
      </c>
      <c r="AJ133" s="40" t="s">
        <v>23</v>
      </c>
      <c r="AK133" s="40" t="s">
        <v>24</v>
      </c>
      <c r="AL133" s="40" t="s">
        <v>25</v>
      </c>
      <c r="AM133" s="40" t="s">
        <v>26</v>
      </c>
      <c r="AN133" s="40" t="s">
        <v>27</v>
      </c>
      <c r="AO133" s="40" t="s">
        <v>28</v>
      </c>
      <c r="AP133" s="40" t="s">
        <v>29</v>
      </c>
      <c r="AQ133" s="40" t="s">
        <v>30</v>
      </c>
      <c r="AR133" s="40" t="s">
        <v>31</v>
      </c>
      <c r="AS133" s="40" t="s">
        <v>32</v>
      </c>
      <c r="AT133" s="40" t="s">
        <v>33</v>
      </c>
      <c r="AU133" s="40" t="s">
        <v>34</v>
      </c>
      <c r="AV133" s="40" t="s">
        <v>35</v>
      </c>
      <c r="AW133" s="40" t="s">
        <v>36</v>
      </c>
      <c r="AX133" s="40" t="s">
        <v>37</v>
      </c>
      <c r="AY133" s="40" t="s">
        <v>38</v>
      </c>
      <c r="AZ133" s="40" t="s">
        <v>39</v>
      </c>
      <c r="BA133" s="40" t="s">
        <v>40</v>
      </c>
      <c r="BB133" s="26"/>
      <c r="BC133" s="129"/>
      <c r="BD133" s="14"/>
      <c r="BE133" s="14"/>
      <c r="BF133" s="14"/>
      <c r="BG133" s="14"/>
      <c r="BH133" s="14"/>
    </row>
    <row r="134" spans="1:60" x14ac:dyDescent="0.3">
      <c r="A134" s="14"/>
      <c r="B134" s="14"/>
      <c r="C134" s="23" t="s">
        <v>41</v>
      </c>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41"/>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1"/>
      <c r="BC134" s="129"/>
      <c r="BD134" s="14"/>
      <c r="BE134" s="14"/>
      <c r="BF134" s="14"/>
      <c r="BG134" s="14"/>
      <c r="BH134" s="14"/>
    </row>
    <row r="135" spans="1:60" x14ac:dyDescent="0.3">
      <c r="A135" s="14"/>
      <c r="B135" s="14"/>
      <c r="C135" s="23" t="s">
        <v>42</v>
      </c>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41"/>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1"/>
      <c r="BC135" s="129"/>
      <c r="BD135" s="14"/>
      <c r="BE135" s="14"/>
      <c r="BF135" s="14"/>
      <c r="BG135" s="14"/>
      <c r="BH135" s="14"/>
    </row>
    <row r="136" spans="1:60" x14ac:dyDescent="0.3">
      <c r="A136" s="14"/>
      <c r="B136" s="14"/>
      <c r="C136" s="23" t="s">
        <v>43</v>
      </c>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41"/>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1"/>
      <c r="BC136" s="129"/>
      <c r="BD136" s="14"/>
      <c r="BE136" s="14"/>
      <c r="BF136" s="14"/>
      <c r="BG136" s="14"/>
      <c r="BH136" s="14"/>
    </row>
    <row r="137" spans="1:60" x14ac:dyDescent="0.3">
      <c r="A137" s="14"/>
      <c r="B137" s="14"/>
      <c r="C137" s="23" t="s">
        <v>44</v>
      </c>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41"/>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1"/>
      <c r="BC137" s="129"/>
      <c r="BD137" s="14"/>
      <c r="BE137" s="14"/>
      <c r="BF137" s="14"/>
      <c r="BG137" s="14"/>
      <c r="BH137" s="14"/>
    </row>
    <row r="138" spans="1:60" x14ac:dyDescent="0.3">
      <c r="A138" s="14"/>
      <c r="B138" s="14"/>
      <c r="C138" s="23" t="s">
        <v>45</v>
      </c>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41"/>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1"/>
      <c r="BC138" s="129"/>
      <c r="BD138" s="14"/>
      <c r="BE138" s="14"/>
      <c r="BF138" s="14"/>
      <c r="BG138" s="14"/>
      <c r="BH138" s="14"/>
    </row>
    <row r="139" spans="1:60" x14ac:dyDescent="0.3">
      <c r="A139" s="14"/>
      <c r="B139" s="14"/>
      <c r="C139" s="23" t="s">
        <v>46</v>
      </c>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41"/>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1"/>
      <c r="BC139" s="129"/>
      <c r="BD139" s="14"/>
      <c r="BE139" s="14"/>
      <c r="BF139" s="14"/>
      <c r="BG139" s="14"/>
      <c r="BH139" s="14"/>
    </row>
    <row r="140" spans="1:60" ht="80.25" customHeight="1" x14ac:dyDescent="0.3">
      <c r="A140" s="14"/>
      <c r="B140" s="14"/>
      <c r="C140" s="24" t="s">
        <v>70</v>
      </c>
      <c r="E140" s="307"/>
      <c r="F140" s="307"/>
      <c r="G140" s="307"/>
      <c r="H140" s="307"/>
      <c r="I140" s="307"/>
      <c r="J140" s="307"/>
      <c r="K140" s="307"/>
      <c r="L140" s="307"/>
      <c r="M140" s="307"/>
      <c r="N140" s="307"/>
      <c r="O140" s="307"/>
      <c r="P140" s="307"/>
      <c r="Q140" s="307"/>
      <c r="R140" s="307"/>
      <c r="S140" s="307"/>
      <c r="T140" s="307"/>
      <c r="U140" s="307"/>
      <c r="V140" s="307"/>
      <c r="W140" s="307"/>
      <c r="X140" s="307"/>
      <c r="Y140" s="307"/>
      <c r="Z140" s="307"/>
      <c r="AA140" s="307"/>
      <c r="AB140" s="307"/>
      <c r="AC140" s="32"/>
      <c r="AD140" s="307"/>
      <c r="AE140" s="307"/>
      <c r="AF140" s="307"/>
      <c r="AG140" s="307"/>
      <c r="AH140" s="307"/>
      <c r="AI140" s="307"/>
      <c r="AJ140" s="307"/>
      <c r="AK140" s="307"/>
      <c r="AL140" s="307"/>
      <c r="AM140" s="307"/>
      <c r="AN140" s="307"/>
      <c r="AO140" s="307"/>
      <c r="AP140" s="307"/>
      <c r="AQ140" s="307"/>
      <c r="AR140" s="307"/>
      <c r="AS140" s="307"/>
      <c r="AT140" s="307"/>
      <c r="AU140" s="307"/>
      <c r="AV140" s="307"/>
      <c r="AW140" s="307"/>
      <c r="AX140" s="307"/>
      <c r="AY140" s="307"/>
      <c r="AZ140" s="307"/>
      <c r="BA140" s="307"/>
      <c r="BB140" s="11"/>
      <c r="BC140" s="129"/>
      <c r="BD140" s="14"/>
      <c r="BE140" s="14"/>
      <c r="BF140" s="14"/>
      <c r="BG140" s="14"/>
      <c r="BH140" s="14"/>
    </row>
    <row r="141" spans="1:60" ht="43.5" customHeight="1" x14ac:dyDescent="0.3">
      <c r="A141" s="14"/>
      <c r="B141" s="14"/>
      <c r="C141" s="24" t="s">
        <v>47</v>
      </c>
      <c r="E141" s="312"/>
      <c r="F141" s="313"/>
      <c r="G141" s="313"/>
      <c r="H141" s="313"/>
      <c r="I141" s="313"/>
      <c r="J141" s="313"/>
      <c r="K141" s="313"/>
      <c r="L141" s="313"/>
      <c r="M141" s="313"/>
      <c r="N141" s="313"/>
      <c r="O141" s="313"/>
      <c r="P141" s="314"/>
      <c r="Q141" s="315"/>
      <c r="R141" s="313"/>
      <c r="S141" s="313"/>
      <c r="T141" s="313"/>
      <c r="U141" s="313"/>
      <c r="V141" s="313"/>
      <c r="W141" s="313"/>
      <c r="X141" s="313"/>
      <c r="Y141" s="313"/>
      <c r="Z141" s="313"/>
      <c r="AA141" s="313"/>
      <c r="AB141" s="313"/>
      <c r="AC141" s="32"/>
      <c r="AD141" s="312"/>
      <c r="AE141" s="313"/>
      <c r="AF141" s="313"/>
      <c r="AG141" s="313"/>
      <c r="AH141" s="313"/>
      <c r="AI141" s="313"/>
      <c r="AJ141" s="313"/>
      <c r="AK141" s="313"/>
      <c r="AL141" s="313"/>
      <c r="AM141" s="313"/>
      <c r="AN141" s="313"/>
      <c r="AO141" s="314"/>
      <c r="AP141" s="315"/>
      <c r="AQ141" s="313"/>
      <c r="AR141" s="313"/>
      <c r="AS141" s="313"/>
      <c r="AT141" s="313"/>
      <c r="AU141" s="313"/>
      <c r="AV141" s="313"/>
      <c r="AW141" s="313"/>
      <c r="AX141" s="313"/>
      <c r="AY141" s="313"/>
      <c r="AZ141" s="313"/>
      <c r="BA141" s="313"/>
      <c r="BB141" s="11"/>
      <c r="BC141" s="129"/>
      <c r="BD141" s="14"/>
      <c r="BE141" s="14"/>
      <c r="BF141" s="14"/>
      <c r="BG141" s="14"/>
      <c r="BH141" s="14"/>
    </row>
    <row r="142" spans="1:60" x14ac:dyDescent="0.3">
      <c r="A142" s="14"/>
      <c r="B142" s="14"/>
      <c r="BB142" s="11"/>
      <c r="BC142" s="129"/>
      <c r="BD142" s="14"/>
      <c r="BE142" s="14"/>
      <c r="BF142" s="14"/>
      <c r="BG142" s="14"/>
      <c r="BH142" s="14"/>
    </row>
    <row r="143" spans="1:60" ht="16.2" thickBot="1" x14ac:dyDescent="0.35">
      <c r="A143" s="14"/>
      <c r="B143" s="14"/>
      <c r="C143" s="306" t="s">
        <v>13</v>
      </c>
      <c r="D143" s="306"/>
      <c r="E143" s="306"/>
      <c r="F143" s="306"/>
      <c r="G143" s="306"/>
      <c r="H143" s="306"/>
      <c r="I143" s="306"/>
      <c r="J143" s="306"/>
      <c r="N143" s="12" t="s">
        <v>14</v>
      </c>
      <c r="O143" s="13"/>
      <c r="P143" s="305" t="str">
        <f>P2</f>
        <v>EQ - Utah Technical Center</v>
      </c>
      <c r="Q143" s="305"/>
      <c r="R143" s="305"/>
      <c r="S143" s="305"/>
      <c r="T143" s="305"/>
      <c r="U143" s="305"/>
      <c r="V143" s="12" t="s">
        <v>15</v>
      </c>
      <c r="W143" s="13"/>
      <c r="X143" s="13"/>
      <c r="Y143" s="13"/>
      <c r="Z143" s="305" t="str">
        <f>Z2</f>
        <v>Month 2025</v>
      </c>
      <c r="AA143" s="305"/>
      <c r="AB143" s="305"/>
      <c r="AC143" s="305"/>
      <c r="AD143" s="305"/>
      <c r="AE143" s="305"/>
      <c r="AZ143" s="10" t="s">
        <v>16</v>
      </c>
      <c r="BA143" s="10">
        <v>4</v>
      </c>
      <c r="BB143" s="11"/>
      <c r="BC143" s="129"/>
      <c r="BD143" s="14"/>
      <c r="BE143" s="14"/>
      <c r="BF143" s="14"/>
      <c r="BG143" s="14"/>
      <c r="BH143" s="14"/>
    </row>
    <row r="144" spans="1:60" x14ac:dyDescent="0.3">
      <c r="A144" s="14"/>
      <c r="B144" s="14"/>
      <c r="C144" s="306"/>
      <c r="D144" s="306"/>
      <c r="E144" s="306"/>
      <c r="F144" s="306"/>
      <c r="G144" s="306"/>
      <c r="H144" s="306"/>
      <c r="I144" s="306"/>
      <c r="J144" s="306"/>
      <c r="N144" s="12"/>
      <c r="V144" s="12"/>
      <c r="BB144" s="11"/>
      <c r="BC144" s="129"/>
      <c r="BD144" s="14"/>
      <c r="BE144" s="14"/>
      <c r="BF144" s="14"/>
      <c r="BG144" s="14"/>
      <c r="BH144" s="14"/>
    </row>
    <row r="145" spans="1:60" s="15" customFormat="1" ht="18" x14ac:dyDescent="0.35">
      <c r="A145" s="29"/>
      <c r="B145" s="29"/>
      <c r="E145" s="16">
        <v>25</v>
      </c>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D145" s="16">
        <v>26</v>
      </c>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8"/>
      <c r="BC145" s="130"/>
      <c r="BD145" s="316" t="s">
        <v>60</v>
      </c>
      <c r="BE145" s="316"/>
      <c r="BF145" s="316"/>
      <c r="BG145" s="316"/>
      <c r="BH145" s="316"/>
    </row>
    <row r="146" spans="1:60" s="27" customFormat="1" x14ac:dyDescent="0.3">
      <c r="A146" s="14"/>
      <c r="B146" s="14"/>
      <c r="C146" s="25"/>
      <c r="D146" s="25"/>
      <c r="E146" s="39">
        <v>0</v>
      </c>
      <c r="F146" s="39">
        <v>1</v>
      </c>
      <c r="G146" s="39">
        <v>2</v>
      </c>
      <c r="H146" s="39">
        <v>3</v>
      </c>
      <c r="I146" s="39">
        <v>4</v>
      </c>
      <c r="J146" s="39">
        <v>5</v>
      </c>
      <c r="K146" s="39">
        <v>6</v>
      </c>
      <c r="L146" s="39">
        <v>7</v>
      </c>
      <c r="M146" s="39">
        <v>8</v>
      </c>
      <c r="N146" s="39">
        <v>9</v>
      </c>
      <c r="O146" s="39">
        <v>10</v>
      </c>
      <c r="P146" s="39">
        <v>11</v>
      </c>
      <c r="Q146" s="39">
        <v>12</v>
      </c>
      <c r="R146" s="39">
        <v>13</v>
      </c>
      <c r="S146" s="39">
        <v>14</v>
      </c>
      <c r="T146" s="39">
        <v>15</v>
      </c>
      <c r="U146" s="39">
        <v>16</v>
      </c>
      <c r="V146" s="39">
        <v>17</v>
      </c>
      <c r="W146" s="39">
        <v>18</v>
      </c>
      <c r="X146" s="39">
        <v>19</v>
      </c>
      <c r="Y146" s="39">
        <v>20</v>
      </c>
      <c r="Z146" s="39">
        <v>21</v>
      </c>
      <c r="AA146" s="39">
        <v>22</v>
      </c>
      <c r="AB146" s="39">
        <v>23</v>
      </c>
      <c r="AC146" s="25"/>
      <c r="AD146" s="39">
        <v>0</v>
      </c>
      <c r="AE146" s="39">
        <v>1</v>
      </c>
      <c r="AF146" s="39">
        <v>2</v>
      </c>
      <c r="AG146" s="39">
        <v>3</v>
      </c>
      <c r="AH146" s="39">
        <v>4</v>
      </c>
      <c r="AI146" s="39">
        <v>5</v>
      </c>
      <c r="AJ146" s="39">
        <v>6</v>
      </c>
      <c r="AK146" s="39">
        <v>7</v>
      </c>
      <c r="AL146" s="39">
        <v>8</v>
      </c>
      <c r="AM146" s="39">
        <v>9</v>
      </c>
      <c r="AN146" s="39">
        <v>10</v>
      </c>
      <c r="AO146" s="39">
        <v>11</v>
      </c>
      <c r="AP146" s="39">
        <v>12</v>
      </c>
      <c r="AQ146" s="39">
        <v>13</v>
      </c>
      <c r="AR146" s="39">
        <v>14</v>
      </c>
      <c r="AS146" s="39">
        <v>15</v>
      </c>
      <c r="AT146" s="39">
        <v>16</v>
      </c>
      <c r="AU146" s="39">
        <v>17</v>
      </c>
      <c r="AV146" s="39">
        <v>18</v>
      </c>
      <c r="AW146" s="39">
        <v>19</v>
      </c>
      <c r="AX146" s="39">
        <v>20</v>
      </c>
      <c r="AY146" s="39">
        <v>21</v>
      </c>
      <c r="AZ146" s="39">
        <v>22</v>
      </c>
      <c r="BA146" s="39">
        <v>23</v>
      </c>
      <c r="BB146" s="26"/>
      <c r="BC146" s="28"/>
      <c r="BD146" s="317" t="s">
        <v>61</v>
      </c>
      <c r="BE146" s="317"/>
      <c r="BF146" s="317"/>
      <c r="BG146" s="317"/>
      <c r="BH146" s="317"/>
    </row>
    <row r="147" spans="1:60" s="27" customFormat="1" ht="15" customHeight="1" x14ac:dyDescent="0.3">
      <c r="A147" s="14"/>
      <c r="B147" s="14"/>
      <c r="C147" s="25"/>
      <c r="D147" s="25"/>
      <c r="E147" s="40" t="s">
        <v>17</v>
      </c>
      <c r="F147" s="40" t="s">
        <v>18</v>
      </c>
      <c r="G147" s="40" t="s">
        <v>19</v>
      </c>
      <c r="H147" s="40" t="s">
        <v>20</v>
      </c>
      <c r="I147" s="40" t="s">
        <v>21</v>
      </c>
      <c r="J147" s="40" t="s">
        <v>22</v>
      </c>
      <c r="K147" s="40" t="s">
        <v>23</v>
      </c>
      <c r="L147" s="40" t="s">
        <v>24</v>
      </c>
      <c r="M147" s="40" t="s">
        <v>25</v>
      </c>
      <c r="N147" s="40" t="s">
        <v>26</v>
      </c>
      <c r="O147" s="40" t="s">
        <v>27</v>
      </c>
      <c r="P147" s="40" t="s">
        <v>28</v>
      </c>
      <c r="Q147" s="40" t="s">
        <v>29</v>
      </c>
      <c r="R147" s="40" t="s">
        <v>30</v>
      </c>
      <c r="S147" s="40" t="s">
        <v>31</v>
      </c>
      <c r="T147" s="40" t="s">
        <v>32</v>
      </c>
      <c r="U147" s="40" t="s">
        <v>33</v>
      </c>
      <c r="V147" s="40" t="s">
        <v>34</v>
      </c>
      <c r="W147" s="40" t="s">
        <v>35</v>
      </c>
      <c r="X147" s="40" t="s">
        <v>36</v>
      </c>
      <c r="Y147" s="40" t="s">
        <v>37</v>
      </c>
      <c r="Z147" s="40" t="s">
        <v>38</v>
      </c>
      <c r="AA147" s="40" t="s">
        <v>39</v>
      </c>
      <c r="AB147" s="40" t="s">
        <v>40</v>
      </c>
      <c r="AC147" s="25"/>
      <c r="AD147" s="40" t="s">
        <v>17</v>
      </c>
      <c r="AE147" s="40" t="s">
        <v>18</v>
      </c>
      <c r="AF147" s="40" t="s">
        <v>19</v>
      </c>
      <c r="AG147" s="40" t="s">
        <v>20</v>
      </c>
      <c r="AH147" s="40" t="s">
        <v>21</v>
      </c>
      <c r="AI147" s="40" t="s">
        <v>22</v>
      </c>
      <c r="AJ147" s="40" t="s">
        <v>23</v>
      </c>
      <c r="AK147" s="40" t="s">
        <v>24</v>
      </c>
      <c r="AL147" s="40" t="s">
        <v>25</v>
      </c>
      <c r="AM147" s="40" t="s">
        <v>26</v>
      </c>
      <c r="AN147" s="40" t="s">
        <v>27</v>
      </c>
      <c r="AO147" s="40" t="s">
        <v>28</v>
      </c>
      <c r="AP147" s="40" t="s">
        <v>29</v>
      </c>
      <c r="AQ147" s="40" t="s">
        <v>30</v>
      </c>
      <c r="AR147" s="40" t="s">
        <v>31</v>
      </c>
      <c r="AS147" s="40" t="s">
        <v>32</v>
      </c>
      <c r="AT147" s="40" t="s">
        <v>33</v>
      </c>
      <c r="AU147" s="40" t="s">
        <v>34</v>
      </c>
      <c r="AV147" s="40" t="s">
        <v>35</v>
      </c>
      <c r="AW147" s="40" t="s">
        <v>36</v>
      </c>
      <c r="AX147" s="40" t="s">
        <v>37</v>
      </c>
      <c r="AY147" s="40" t="s">
        <v>38</v>
      </c>
      <c r="AZ147" s="40" t="s">
        <v>39</v>
      </c>
      <c r="BA147" s="40" t="s">
        <v>40</v>
      </c>
      <c r="BB147" s="26"/>
      <c r="BC147" s="125"/>
      <c r="BD147" s="308" t="s">
        <v>62</v>
      </c>
      <c r="BE147" s="308"/>
      <c r="BF147" s="308"/>
      <c r="BG147" s="308"/>
      <c r="BH147" s="308"/>
    </row>
    <row r="148" spans="1:60" x14ac:dyDescent="0.3">
      <c r="A148" s="14"/>
      <c r="B148" s="14"/>
      <c r="C148" s="23" t="s">
        <v>41</v>
      </c>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41"/>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1"/>
      <c r="BC148" s="126"/>
      <c r="BD148" s="308" t="s">
        <v>63</v>
      </c>
      <c r="BE148" s="308"/>
      <c r="BF148" s="308"/>
      <c r="BG148" s="308"/>
      <c r="BH148" s="308"/>
    </row>
    <row r="149" spans="1:60" x14ac:dyDescent="0.3">
      <c r="A149" s="14"/>
      <c r="B149" s="14"/>
      <c r="C149" s="23" t="s">
        <v>42</v>
      </c>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41"/>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1"/>
      <c r="BC149" s="127"/>
      <c r="BD149" s="309" t="s">
        <v>140</v>
      </c>
      <c r="BE149" s="310"/>
      <c r="BF149" s="310"/>
      <c r="BG149" s="310"/>
      <c r="BH149" s="311"/>
    </row>
    <row r="150" spans="1:60" x14ac:dyDescent="0.3">
      <c r="A150" s="14"/>
      <c r="B150" s="14"/>
      <c r="C150" s="23" t="s">
        <v>43</v>
      </c>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41"/>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1"/>
      <c r="BC150" s="131"/>
      <c r="BD150" s="308" t="s">
        <v>64</v>
      </c>
      <c r="BE150" s="308"/>
      <c r="BF150" s="308"/>
      <c r="BG150" s="308"/>
      <c r="BH150" s="308"/>
    </row>
    <row r="151" spans="1:60" x14ac:dyDescent="0.3">
      <c r="A151" s="14"/>
      <c r="B151" s="14"/>
      <c r="C151" s="23" t="s">
        <v>44</v>
      </c>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41"/>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1"/>
      <c r="BC151" s="128"/>
      <c r="BD151" s="308" t="s">
        <v>65</v>
      </c>
      <c r="BE151" s="308"/>
      <c r="BF151" s="308"/>
      <c r="BG151" s="308"/>
      <c r="BH151" s="308"/>
    </row>
    <row r="152" spans="1:60" x14ac:dyDescent="0.3">
      <c r="A152" s="14"/>
      <c r="B152" s="14"/>
      <c r="C152" s="23" t="s">
        <v>45</v>
      </c>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41"/>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1"/>
      <c r="BC152" s="132"/>
      <c r="BD152" s="304" t="s">
        <v>89</v>
      </c>
      <c r="BE152" s="304"/>
      <c r="BF152" s="304"/>
      <c r="BG152" s="304"/>
      <c r="BH152" s="304"/>
    </row>
    <row r="153" spans="1:60" x14ac:dyDescent="0.3">
      <c r="A153" s="14"/>
      <c r="B153" s="14"/>
      <c r="C153" s="23" t="s">
        <v>46</v>
      </c>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43"/>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1"/>
      <c r="BC153" s="97" t="s">
        <v>83</v>
      </c>
      <c r="BD153" s="304" t="s">
        <v>82</v>
      </c>
      <c r="BE153" s="304"/>
      <c r="BF153" s="304"/>
      <c r="BG153" s="304"/>
      <c r="BH153" s="304"/>
    </row>
    <row r="154" spans="1:60" ht="69.900000000000006" customHeight="1" x14ac:dyDescent="0.3">
      <c r="A154" s="14"/>
      <c r="B154" s="14"/>
      <c r="C154" s="24" t="s">
        <v>70</v>
      </c>
      <c r="E154" s="307"/>
      <c r="F154" s="307"/>
      <c r="G154" s="307"/>
      <c r="H154" s="307"/>
      <c r="I154" s="307"/>
      <c r="J154" s="307"/>
      <c r="K154" s="307"/>
      <c r="L154" s="307"/>
      <c r="M154" s="307"/>
      <c r="N154" s="307"/>
      <c r="O154" s="307"/>
      <c r="P154" s="307"/>
      <c r="Q154" s="307"/>
      <c r="R154" s="307"/>
      <c r="S154" s="307"/>
      <c r="T154" s="307"/>
      <c r="U154" s="307"/>
      <c r="V154" s="307"/>
      <c r="W154" s="307"/>
      <c r="X154" s="307"/>
      <c r="Y154" s="307"/>
      <c r="Z154" s="307"/>
      <c r="AA154" s="307"/>
      <c r="AB154" s="307"/>
      <c r="AC154" s="32"/>
      <c r="AD154" s="307"/>
      <c r="AE154" s="307"/>
      <c r="AF154" s="307"/>
      <c r="AG154" s="307"/>
      <c r="AH154" s="307"/>
      <c r="AI154" s="307"/>
      <c r="AJ154" s="307"/>
      <c r="AK154" s="307"/>
      <c r="AL154" s="307"/>
      <c r="AM154" s="307"/>
      <c r="AN154" s="307"/>
      <c r="AO154" s="307"/>
      <c r="AP154" s="307"/>
      <c r="AQ154" s="307"/>
      <c r="AR154" s="307"/>
      <c r="AS154" s="307"/>
      <c r="AT154" s="307"/>
      <c r="AU154" s="307"/>
      <c r="AV154" s="307"/>
      <c r="AW154" s="307"/>
      <c r="AX154" s="307"/>
      <c r="AY154" s="307"/>
      <c r="AZ154" s="307"/>
      <c r="BA154" s="307"/>
      <c r="BB154" s="11"/>
      <c r="BC154" s="133" t="s">
        <v>90</v>
      </c>
      <c r="BD154" s="304" t="s">
        <v>91</v>
      </c>
      <c r="BE154" s="304"/>
      <c r="BF154" s="304"/>
      <c r="BG154" s="304"/>
      <c r="BH154" s="304"/>
    </row>
    <row r="155" spans="1:60" ht="43.5" customHeight="1" x14ac:dyDescent="0.3">
      <c r="A155" s="14"/>
      <c r="B155" s="14"/>
      <c r="C155" s="24" t="s">
        <v>47</v>
      </c>
      <c r="E155" s="312"/>
      <c r="F155" s="313"/>
      <c r="G155" s="313"/>
      <c r="H155" s="313"/>
      <c r="I155" s="313"/>
      <c r="J155" s="313"/>
      <c r="K155" s="313"/>
      <c r="L155" s="313"/>
      <c r="M155" s="313"/>
      <c r="N155" s="313"/>
      <c r="O155" s="313"/>
      <c r="P155" s="314"/>
      <c r="Q155" s="315"/>
      <c r="R155" s="313"/>
      <c r="S155" s="313"/>
      <c r="T155" s="313"/>
      <c r="U155" s="313"/>
      <c r="V155" s="313"/>
      <c r="W155" s="313"/>
      <c r="X155" s="313"/>
      <c r="Y155" s="313"/>
      <c r="Z155" s="313"/>
      <c r="AA155" s="313"/>
      <c r="AB155" s="313"/>
      <c r="AC155" s="32"/>
      <c r="AD155" s="312"/>
      <c r="AE155" s="313"/>
      <c r="AF155" s="313"/>
      <c r="AG155" s="313"/>
      <c r="AH155" s="313"/>
      <c r="AI155" s="313"/>
      <c r="AJ155" s="313"/>
      <c r="AK155" s="313"/>
      <c r="AL155" s="313"/>
      <c r="AM155" s="313"/>
      <c r="AN155" s="313"/>
      <c r="AO155" s="314"/>
      <c r="AP155" s="315"/>
      <c r="AQ155" s="313"/>
      <c r="AR155" s="313"/>
      <c r="AS155" s="313"/>
      <c r="AT155" s="313"/>
      <c r="AU155" s="313"/>
      <c r="AV155" s="313"/>
      <c r="AW155" s="313"/>
      <c r="AX155" s="313"/>
      <c r="AY155" s="313"/>
      <c r="AZ155" s="313"/>
      <c r="BA155" s="313"/>
      <c r="BB155" s="11"/>
      <c r="BC155" s="134"/>
      <c r="BD155" s="309" t="s">
        <v>139</v>
      </c>
      <c r="BE155" s="310"/>
      <c r="BF155" s="310"/>
      <c r="BG155" s="310"/>
      <c r="BH155" s="311"/>
    </row>
    <row r="156" spans="1:60" s="15" customFormat="1" ht="18" x14ac:dyDescent="0.35">
      <c r="A156" s="29"/>
      <c r="B156" s="29"/>
      <c r="E156" s="16">
        <v>27</v>
      </c>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D156" s="16">
        <v>28</v>
      </c>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8"/>
      <c r="BC156" s="135"/>
      <c r="BD156" s="304" t="s">
        <v>141</v>
      </c>
      <c r="BE156" s="304"/>
      <c r="BF156" s="304"/>
      <c r="BG156" s="304"/>
      <c r="BH156" s="304"/>
    </row>
    <row r="157" spans="1:60" s="27" customFormat="1" x14ac:dyDescent="0.3">
      <c r="A157" s="14"/>
      <c r="B157" s="14"/>
      <c r="C157" s="25"/>
      <c r="D157" s="25"/>
      <c r="E157" s="39">
        <v>0</v>
      </c>
      <c r="F157" s="39">
        <v>1</v>
      </c>
      <c r="G157" s="39">
        <v>2</v>
      </c>
      <c r="H157" s="39">
        <v>3</v>
      </c>
      <c r="I157" s="39">
        <v>4</v>
      </c>
      <c r="J157" s="39">
        <v>5</v>
      </c>
      <c r="K157" s="39">
        <v>6</v>
      </c>
      <c r="L157" s="39">
        <v>7</v>
      </c>
      <c r="M157" s="39">
        <v>8</v>
      </c>
      <c r="N157" s="39">
        <v>9</v>
      </c>
      <c r="O157" s="39">
        <v>10</v>
      </c>
      <c r="P157" s="39">
        <v>11</v>
      </c>
      <c r="Q157" s="39">
        <v>12</v>
      </c>
      <c r="R157" s="39">
        <v>13</v>
      </c>
      <c r="S157" s="39">
        <v>14</v>
      </c>
      <c r="T157" s="39">
        <v>15</v>
      </c>
      <c r="U157" s="39">
        <v>16</v>
      </c>
      <c r="V157" s="39">
        <v>17</v>
      </c>
      <c r="W157" s="39">
        <v>18</v>
      </c>
      <c r="X157" s="39">
        <v>19</v>
      </c>
      <c r="Y157" s="39">
        <v>20</v>
      </c>
      <c r="Z157" s="39">
        <v>21</v>
      </c>
      <c r="AA157" s="39">
        <v>22</v>
      </c>
      <c r="AB157" s="39">
        <v>23</v>
      </c>
      <c r="AC157" s="25"/>
      <c r="AD157" s="39">
        <v>0</v>
      </c>
      <c r="AE157" s="39">
        <v>1</v>
      </c>
      <c r="AF157" s="39">
        <v>2</v>
      </c>
      <c r="AG157" s="39">
        <v>3</v>
      </c>
      <c r="AH157" s="39">
        <v>4</v>
      </c>
      <c r="AI157" s="39">
        <v>5</v>
      </c>
      <c r="AJ157" s="39">
        <v>6</v>
      </c>
      <c r="AK157" s="39">
        <v>7</v>
      </c>
      <c r="AL157" s="39">
        <v>8</v>
      </c>
      <c r="AM157" s="39">
        <v>9</v>
      </c>
      <c r="AN157" s="39">
        <v>10</v>
      </c>
      <c r="AO157" s="39">
        <v>11</v>
      </c>
      <c r="AP157" s="39">
        <v>12</v>
      </c>
      <c r="AQ157" s="39">
        <v>13</v>
      </c>
      <c r="AR157" s="39">
        <v>14</v>
      </c>
      <c r="AS157" s="39">
        <v>15</v>
      </c>
      <c r="AT157" s="39">
        <v>16</v>
      </c>
      <c r="AU157" s="39">
        <v>17</v>
      </c>
      <c r="AV157" s="39">
        <v>18</v>
      </c>
      <c r="AW157" s="39">
        <v>19</v>
      </c>
      <c r="AX157" s="39">
        <v>20</v>
      </c>
      <c r="AY157" s="39">
        <v>21</v>
      </c>
      <c r="AZ157" s="39">
        <v>22</v>
      </c>
      <c r="BA157" s="39">
        <v>23</v>
      </c>
      <c r="BC157" s="133" t="s">
        <v>144</v>
      </c>
      <c r="BD157" s="304" t="s">
        <v>145</v>
      </c>
      <c r="BE157" s="304"/>
      <c r="BF157" s="304"/>
      <c r="BG157" s="304"/>
      <c r="BH157" s="304"/>
    </row>
    <row r="158" spans="1:60" s="27" customFormat="1" ht="15" customHeight="1" x14ac:dyDescent="0.3">
      <c r="A158" s="14"/>
      <c r="B158" s="14"/>
      <c r="C158" s="25"/>
      <c r="D158" s="25"/>
      <c r="E158" s="40" t="s">
        <v>17</v>
      </c>
      <c r="F158" s="40" t="s">
        <v>18</v>
      </c>
      <c r="G158" s="40" t="s">
        <v>19</v>
      </c>
      <c r="H158" s="40" t="s">
        <v>20</v>
      </c>
      <c r="I158" s="40" t="s">
        <v>21</v>
      </c>
      <c r="J158" s="40" t="s">
        <v>22</v>
      </c>
      <c r="K158" s="40" t="s">
        <v>23</v>
      </c>
      <c r="L158" s="40" t="s">
        <v>24</v>
      </c>
      <c r="M158" s="40" t="s">
        <v>25</v>
      </c>
      <c r="N158" s="40" t="s">
        <v>26</v>
      </c>
      <c r="O158" s="40" t="s">
        <v>27</v>
      </c>
      <c r="P158" s="40" t="s">
        <v>28</v>
      </c>
      <c r="Q158" s="40" t="s">
        <v>29</v>
      </c>
      <c r="R158" s="40" t="s">
        <v>30</v>
      </c>
      <c r="S158" s="40" t="s">
        <v>31</v>
      </c>
      <c r="T158" s="40" t="s">
        <v>32</v>
      </c>
      <c r="U158" s="40" t="s">
        <v>33</v>
      </c>
      <c r="V158" s="40" t="s">
        <v>34</v>
      </c>
      <c r="W158" s="40" t="s">
        <v>35</v>
      </c>
      <c r="X158" s="40" t="s">
        <v>36</v>
      </c>
      <c r="Y158" s="40" t="s">
        <v>37</v>
      </c>
      <c r="Z158" s="40" t="s">
        <v>38</v>
      </c>
      <c r="AA158" s="40" t="s">
        <v>39</v>
      </c>
      <c r="AB158" s="40" t="s">
        <v>40</v>
      </c>
      <c r="AC158" s="25"/>
      <c r="AD158" s="40" t="s">
        <v>17</v>
      </c>
      <c r="AE158" s="40" t="s">
        <v>18</v>
      </c>
      <c r="AF158" s="40" t="s">
        <v>19</v>
      </c>
      <c r="AG158" s="40" t="s">
        <v>20</v>
      </c>
      <c r="AH158" s="40" t="s">
        <v>21</v>
      </c>
      <c r="AI158" s="40" t="s">
        <v>22</v>
      </c>
      <c r="AJ158" s="40" t="s">
        <v>23</v>
      </c>
      <c r="AK158" s="40" t="s">
        <v>24</v>
      </c>
      <c r="AL158" s="40" t="s">
        <v>25</v>
      </c>
      <c r="AM158" s="40" t="s">
        <v>26</v>
      </c>
      <c r="AN158" s="40" t="s">
        <v>27</v>
      </c>
      <c r="AO158" s="40" t="s">
        <v>28</v>
      </c>
      <c r="AP158" s="40" t="s">
        <v>29</v>
      </c>
      <c r="AQ158" s="40" t="s">
        <v>30</v>
      </c>
      <c r="AR158" s="40" t="s">
        <v>31</v>
      </c>
      <c r="AS158" s="40" t="s">
        <v>32</v>
      </c>
      <c r="AT158" s="40" t="s">
        <v>33</v>
      </c>
      <c r="AU158" s="40" t="s">
        <v>34</v>
      </c>
      <c r="AV158" s="40" t="s">
        <v>35</v>
      </c>
      <c r="AW158" s="40" t="s">
        <v>36</v>
      </c>
      <c r="AX158" s="40" t="s">
        <v>37</v>
      </c>
      <c r="AY158" s="40" t="s">
        <v>38</v>
      </c>
      <c r="AZ158" s="40" t="s">
        <v>39</v>
      </c>
      <c r="BA158" s="40" t="s">
        <v>40</v>
      </c>
      <c r="BC158" s="136"/>
    </row>
    <row r="159" spans="1:60" x14ac:dyDescent="0.3">
      <c r="A159" s="14"/>
      <c r="B159" s="14"/>
      <c r="C159" s="23" t="s">
        <v>41</v>
      </c>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41"/>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C159" s="62"/>
      <c r="BD159" s="10"/>
      <c r="BE159" s="10"/>
      <c r="BF159" s="10"/>
      <c r="BG159" s="10"/>
      <c r="BH159" s="10"/>
    </row>
    <row r="160" spans="1:60" x14ac:dyDescent="0.3">
      <c r="A160" s="14"/>
      <c r="B160" s="14"/>
      <c r="C160" s="23" t="s">
        <v>42</v>
      </c>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41"/>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C160" s="62"/>
      <c r="BD160" s="10"/>
      <c r="BE160" s="10"/>
      <c r="BF160" s="10"/>
      <c r="BG160" s="10"/>
      <c r="BH160" s="10"/>
    </row>
    <row r="161" spans="1:60" x14ac:dyDescent="0.3">
      <c r="A161" s="14"/>
      <c r="B161" s="14"/>
      <c r="C161" s="23" t="s">
        <v>43</v>
      </c>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41"/>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C161" s="62"/>
      <c r="BD161" s="10"/>
      <c r="BE161" s="10"/>
      <c r="BF161" s="10"/>
      <c r="BG161" s="10"/>
      <c r="BH161" s="10"/>
    </row>
    <row r="162" spans="1:60" x14ac:dyDescent="0.3">
      <c r="A162" s="14"/>
      <c r="B162" s="14"/>
      <c r="C162" s="23" t="s">
        <v>44</v>
      </c>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41"/>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C162" s="62"/>
      <c r="BD162" s="10"/>
      <c r="BE162" s="10"/>
      <c r="BF162" s="10"/>
      <c r="BG162" s="10"/>
      <c r="BH162" s="10"/>
    </row>
    <row r="163" spans="1:60" x14ac:dyDescent="0.3">
      <c r="A163" s="14"/>
      <c r="B163" s="14"/>
      <c r="C163" s="23" t="s">
        <v>45</v>
      </c>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41"/>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4"/>
      <c r="BC163" s="129"/>
      <c r="BD163" s="14"/>
      <c r="BE163" s="14"/>
      <c r="BF163" s="14"/>
      <c r="BG163" s="14"/>
      <c r="BH163" s="14"/>
    </row>
    <row r="164" spans="1:60" x14ac:dyDescent="0.3">
      <c r="A164" s="14"/>
      <c r="B164" s="14"/>
      <c r="C164" s="23" t="s">
        <v>46</v>
      </c>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43"/>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4"/>
      <c r="BC164" s="129"/>
      <c r="BD164" s="14"/>
      <c r="BE164" s="14"/>
      <c r="BF164" s="14"/>
      <c r="BG164" s="14"/>
      <c r="BH164" s="14"/>
    </row>
    <row r="165" spans="1:60" ht="69.900000000000006" customHeight="1" x14ac:dyDescent="0.3">
      <c r="A165" s="14"/>
      <c r="B165" s="14"/>
      <c r="C165" s="24" t="s">
        <v>70</v>
      </c>
      <c r="E165" s="307"/>
      <c r="F165" s="307"/>
      <c r="G165" s="307"/>
      <c r="H165" s="307"/>
      <c r="I165" s="307"/>
      <c r="J165" s="307"/>
      <c r="K165" s="307"/>
      <c r="L165" s="307"/>
      <c r="M165" s="307"/>
      <c r="N165" s="307"/>
      <c r="O165" s="307"/>
      <c r="P165" s="307"/>
      <c r="Q165" s="307"/>
      <c r="R165" s="307"/>
      <c r="S165" s="307"/>
      <c r="T165" s="307"/>
      <c r="U165" s="307"/>
      <c r="V165" s="307"/>
      <c r="W165" s="307"/>
      <c r="X165" s="307"/>
      <c r="Y165" s="307"/>
      <c r="Z165" s="307"/>
      <c r="AA165" s="307"/>
      <c r="AB165" s="307"/>
      <c r="AC165" s="32"/>
      <c r="AD165" s="307"/>
      <c r="AE165" s="307"/>
      <c r="AF165" s="307"/>
      <c r="AG165" s="307"/>
      <c r="AH165" s="307"/>
      <c r="AI165" s="307"/>
      <c r="AJ165" s="307"/>
      <c r="AK165" s="307"/>
      <c r="AL165" s="307"/>
      <c r="AM165" s="307"/>
      <c r="AN165" s="307"/>
      <c r="AO165" s="307"/>
      <c r="AP165" s="307"/>
      <c r="AQ165" s="307"/>
      <c r="AR165" s="307"/>
      <c r="AS165" s="307"/>
      <c r="AT165" s="307"/>
      <c r="AU165" s="307"/>
      <c r="AV165" s="307"/>
      <c r="AW165" s="307"/>
      <c r="AX165" s="307"/>
      <c r="AY165" s="307"/>
      <c r="AZ165" s="307"/>
      <c r="BA165" s="307"/>
      <c r="BB165" s="11"/>
      <c r="BC165" s="129"/>
      <c r="BD165" s="14"/>
      <c r="BE165" s="14"/>
      <c r="BF165" s="14"/>
      <c r="BG165" s="14"/>
      <c r="BH165" s="14"/>
    </row>
    <row r="166" spans="1:60" ht="43.5" customHeight="1" x14ac:dyDescent="0.3">
      <c r="A166" s="14"/>
      <c r="B166" s="14"/>
      <c r="C166" s="24" t="s">
        <v>47</v>
      </c>
      <c r="E166" s="312"/>
      <c r="F166" s="313"/>
      <c r="G166" s="313"/>
      <c r="H166" s="313"/>
      <c r="I166" s="313"/>
      <c r="J166" s="313"/>
      <c r="K166" s="313"/>
      <c r="L166" s="313"/>
      <c r="M166" s="313"/>
      <c r="N166" s="313"/>
      <c r="O166" s="313"/>
      <c r="P166" s="314"/>
      <c r="Q166" s="315"/>
      <c r="R166" s="313"/>
      <c r="S166" s="313"/>
      <c r="T166" s="313"/>
      <c r="U166" s="313"/>
      <c r="V166" s="313"/>
      <c r="W166" s="313"/>
      <c r="X166" s="313"/>
      <c r="Y166" s="313"/>
      <c r="Z166" s="313"/>
      <c r="AA166" s="313"/>
      <c r="AB166" s="313"/>
      <c r="AC166" s="32"/>
      <c r="AD166" s="312"/>
      <c r="AE166" s="313"/>
      <c r="AF166" s="313"/>
      <c r="AG166" s="313"/>
      <c r="AH166" s="313"/>
      <c r="AI166" s="313"/>
      <c r="AJ166" s="313"/>
      <c r="AK166" s="313"/>
      <c r="AL166" s="313"/>
      <c r="AM166" s="313"/>
      <c r="AN166" s="313"/>
      <c r="AO166" s="314"/>
      <c r="AP166" s="315"/>
      <c r="AQ166" s="313"/>
      <c r="AR166" s="313"/>
      <c r="AS166" s="313"/>
      <c r="AT166" s="313"/>
      <c r="AU166" s="313"/>
      <c r="AV166" s="313"/>
      <c r="AW166" s="313"/>
      <c r="AX166" s="313"/>
      <c r="AY166" s="313"/>
      <c r="AZ166" s="313"/>
      <c r="BA166" s="313"/>
      <c r="BB166" s="11"/>
      <c r="BC166" s="129"/>
      <c r="BD166" s="14"/>
      <c r="BE166" s="14"/>
      <c r="BF166" s="14"/>
      <c r="BG166" s="14"/>
      <c r="BH166" s="14"/>
    </row>
    <row r="167" spans="1:60" s="15" customFormat="1" ht="18" x14ac:dyDescent="0.35">
      <c r="A167" s="29"/>
      <c r="B167" s="29"/>
      <c r="E167" s="16">
        <v>29</v>
      </c>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D167" s="16">
        <v>30</v>
      </c>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8"/>
      <c r="BC167" s="137"/>
      <c r="BD167" s="29"/>
      <c r="BE167" s="29"/>
      <c r="BF167" s="29"/>
      <c r="BG167" s="29"/>
      <c r="BH167" s="29"/>
    </row>
    <row r="168" spans="1:60" s="27" customFormat="1" x14ac:dyDescent="0.3">
      <c r="A168" s="14"/>
      <c r="B168" s="14"/>
      <c r="C168" s="25"/>
      <c r="D168" s="25"/>
      <c r="E168" s="39">
        <v>0</v>
      </c>
      <c r="F168" s="39">
        <v>1</v>
      </c>
      <c r="G168" s="39">
        <v>2</v>
      </c>
      <c r="H168" s="39">
        <v>3</v>
      </c>
      <c r="I168" s="39">
        <v>4</v>
      </c>
      <c r="J168" s="39">
        <v>5</v>
      </c>
      <c r="K168" s="39">
        <v>6</v>
      </c>
      <c r="L168" s="39">
        <v>7</v>
      </c>
      <c r="M168" s="39">
        <v>8</v>
      </c>
      <c r="N168" s="39">
        <v>9</v>
      </c>
      <c r="O168" s="39">
        <v>10</v>
      </c>
      <c r="P168" s="39">
        <v>11</v>
      </c>
      <c r="Q168" s="39">
        <v>12</v>
      </c>
      <c r="R168" s="39">
        <v>13</v>
      </c>
      <c r="S168" s="39">
        <v>14</v>
      </c>
      <c r="T168" s="39">
        <v>15</v>
      </c>
      <c r="U168" s="39">
        <v>16</v>
      </c>
      <c r="V168" s="39">
        <v>17</v>
      </c>
      <c r="W168" s="39">
        <v>18</v>
      </c>
      <c r="X168" s="39">
        <v>19</v>
      </c>
      <c r="Y168" s="39">
        <v>20</v>
      </c>
      <c r="Z168" s="39">
        <v>21</v>
      </c>
      <c r="AA168" s="39">
        <v>22</v>
      </c>
      <c r="AB168" s="39">
        <v>23</v>
      </c>
      <c r="AC168" s="25"/>
      <c r="AD168" s="39">
        <v>0</v>
      </c>
      <c r="AE168" s="39">
        <v>1</v>
      </c>
      <c r="AF168" s="39">
        <v>2</v>
      </c>
      <c r="AG168" s="39">
        <v>3</v>
      </c>
      <c r="AH168" s="39">
        <v>4</v>
      </c>
      <c r="AI168" s="39">
        <v>5</v>
      </c>
      <c r="AJ168" s="39">
        <v>6</v>
      </c>
      <c r="AK168" s="39">
        <v>7</v>
      </c>
      <c r="AL168" s="39">
        <v>8</v>
      </c>
      <c r="AM168" s="39">
        <v>9</v>
      </c>
      <c r="AN168" s="39">
        <v>10</v>
      </c>
      <c r="AO168" s="39">
        <v>11</v>
      </c>
      <c r="AP168" s="39">
        <v>12</v>
      </c>
      <c r="AQ168" s="39">
        <v>13</v>
      </c>
      <c r="AR168" s="39">
        <v>14</v>
      </c>
      <c r="AS168" s="39">
        <v>15</v>
      </c>
      <c r="AT168" s="39">
        <v>16</v>
      </c>
      <c r="AU168" s="39">
        <v>17</v>
      </c>
      <c r="AV168" s="39">
        <v>18</v>
      </c>
      <c r="AW168" s="39">
        <v>19</v>
      </c>
      <c r="AX168" s="39">
        <v>20</v>
      </c>
      <c r="AY168" s="39">
        <v>21</v>
      </c>
      <c r="AZ168" s="39">
        <v>22</v>
      </c>
      <c r="BA168" s="39">
        <v>23</v>
      </c>
      <c r="BB168" s="26"/>
      <c r="BC168" s="129"/>
      <c r="BD168" s="14"/>
      <c r="BE168" s="14"/>
      <c r="BF168" s="14"/>
      <c r="BG168" s="14"/>
      <c r="BH168" s="14"/>
    </row>
    <row r="169" spans="1:60" s="27" customFormat="1" ht="15" customHeight="1" x14ac:dyDescent="0.3">
      <c r="A169" s="14"/>
      <c r="B169" s="14"/>
      <c r="C169" s="25"/>
      <c r="D169" s="25"/>
      <c r="E169" s="40" t="s">
        <v>17</v>
      </c>
      <c r="F169" s="40" t="s">
        <v>18</v>
      </c>
      <c r="G169" s="40" t="s">
        <v>19</v>
      </c>
      <c r="H169" s="40" t="s">
        <v>20</v>
      </c>
      <c r="I169" s="40" t="s">
        <v>21</v>
      </c>
      <c r="J169" s="40" t="s">
        <v>22</v>
      </c>
      <c r="K169" s="40" t="s">
        <v>23</v>
      </c>
      <c r="L169" s="40" t="s">
        <v>24</v>
      </c>
      <c r="M169" s="40" t="s">
        <v>25</v>
      </c>
      <c r="N169" s="40" t="s">
        <v>26</v>
      </c>
      <c r="O169" s="40" t="s">
        <v>27</v>
      </c>
      <c r="P169" s="40" t="s">
        <v>28</v>
      </c>
      <c r="Q169" s="40" t="s">
        <v>29</v>
      </c>
      <c r="R169" s="40" t="s">
        <v>30</v>
      </c>
      <c r="S169" s="40" t="s">
        <v>31</v>
      </c>
      <c r="T169" s="40" t="s">
        <v>32</v>
      </c>
      <c r="U169" s="40" t="s">
        <v>33</v>
      </c>
      <c r="V169" s="40" t="s">
        <v>34</v>
      </c>
      <c r="W169" s="40" t="s">
        <v>35</v>
      </c>
      <c r="X169" s="40" t="s">
        <v>36</v>
      </c>
      <c r="Y169" s="40" t="s">
        <v>37</v>
      </c>
      <c r="Z169" s="40" t="s">
        <v>38</v>
      </c>
      <c r="AA169" s="40" t="s">
        <v>39</v>
      </c>
      <c r="AB169" s="40" t="s">
        <v>40</v>
      </c>
      <c r="AC169" s="25"/>
      <c r="AD169" s="40" t="s">
        <v>17</v>
      </c>
      <c r="AE169" s="40" t="s">
        <v>18</v>
      </c>
      <c r="AF169" s="40" t="s">
        <v>19</v>
      </c>
      <c r="AG169" s="40" t="s">
        <v>20</v>
      </c>
      <c r="AH169" s="40" t="s">
        <v>21</v>
      </c>
      <c r="AI169" s="40" t="s">
        <v>22</v>
      </c>
      <c r="AJ169" s="40" t="s">
        <v>23</v>
      </c>
      <c r="AK169" s="40" t="s">
        <v>24</v>
      </c>
      <c r="AL169" s="40" t="s">
        <v>25</v>
      </c>
      <c r="AM169" s="40" t="s">
        <v>26</v>
      </c>
      <c r="AN169" s="40" t="s">
        <v>27</v>
      </c>
      <c r="AO169" s="40" t="s">
        <v>28</v>
      </c>
      <c r="AP169" s="40" t="s">
        <v>29</v>
      </c>
      <c r="AQ169" s="40" t="s">
        <v>30</v>
      </c>
      <c r="AR169" s="40" t="s">
        <v>31</v>
      </c>
      <c r="AS169" s="40" t="s">
        <v>32</v>
      </c>
      <c r="AT169" s="40" t="s">
        <v>33</v>
      </c>
      <c r="AU169" s="40" t="s">
        <v>34</v>
      </c>
      <c r="AV169" s="40" t="s">
        <v>35</v>
      </c>
      <c r="AW169" s="40" t="s">
        <v>36</v>
      </c>
      <c r="AX169" s="40" t="s">
        <v>37</v>
      </c>
      <c r="AY169" s="40" t="s">
        <v>38</v>
      </c>
      <c r="AZ169" s="40" t="s">
        <v>39</v>
      </c>
      <c r="BA169" s="40" t="s">
        <v>40</v>
      </c>
      <c r="BB169" s="26"/>
      <c r="BC169" s="129"/>
      <c r="BD169" s="14"/>
      <c r="BE169" s="14"/>
      <c r="BF169" s="14"/>
      <c r="BG169" s="14"/>
      <c r="BH169" s="14"/>
    </row>
    <row r="170" spans="1:60" x14ac:dyDescent="0.3">
      <c r="A170" s="14"/>
      <c r="B170" s="14"/>
      <c r="C170" s="23" t="s">
        <v>41</v>
      </c>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41"/>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1"/>
      <c r="BC170" s="129"/>
      <c r="BD170" s="14"/>
      <c r="BE170" s="14"/>
      <c r="BF170" s="14"/>
      <c r="BG170" s="14"/>
      <c r="BH170" s="14"/>
    </row>
    <row r="171" spans="1:60" x14ac:dyDescent="0.3">
      <c r="A171" s="14"/>
      <c r="B171" s="14"/>
      <c r="C171" s="23" t="s">
        <v>42</v>
      </c>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41"/>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1"/>
      <c r="BC171" s="129"/>
      <c r="BD171" s="14"/>
      <c r="BE171" s="14"/>
      <c r="BF171" s="14"/>
      <c r="BG171" s="14"/>
      <c r="BH171" s="14"/>
    </row>
    <row r="172" spans="1:60" x14ac:dyDescent="0.3">
      <c r="A172" s="14"/>
      <c r="B172" s="14"/>
      <c r="C172" s="23" t="s">
        <v>43</v>
      </c>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41"/>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1"/>
      <c r="BC172" s="129"/>
      <c r="BD172" s="14"/>
      <c r="BE172" s="14"/>
      <c r="BF172" s="14"/>
      <c r="BG172" s="14"/>
      <c r="BH172" s="14"/>
    </row>
    <row r="173" spans="1:60" x14ac:dyDescent="0.3">
      <c r="A173" s="14"/>
      <c r="B173" s="14"/>
      <c r="C173" s="23" t="s">
        <v>44</v>
      </c>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41"/>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1"/>
      <c r="BC173" s="129"/>
      <c r="BD173" s="14"/>
      <c r="BE173" s="14"/>
      <c r="BF173" s="14"/>
      <c r="BG173" s="14"/>
      <c r="BH173" s="14"/>
    </row>
    <row r="174" spans="1:60" x14ac:dyDescent="0.3">
      <c r="A174" s="14"/>
      <c r="B174" s="14"/>
      <c r="C174" s="23" t="s">
        <v>45</v>
      </c>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41"/>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1"/>
      <c r="BC174" s="129"/>
      <c r="BD174" s="14"/>
      <c r="BE174" s="14"/>
      <c r="BF174" s="14"/>
      <c r="BG174" s="14"/>
      <c r="BH174" s="14"/>
    </row>
    <row r="175" spans="1:60" x14ac:dyDescent="0.3">
      <c r="A175" s="14"/>
      <c r="B175" s="14"/>
      <c r="C175" s="23" t="s">
        <v>46</v>
      </c>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41"/>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1"/>
      <c r="BC175" s="129"/>
      <c r="BD175" s="14"/>
      <c r="BE175" s="14"/>
      <c r="BF175" s="14"/>
      <c r="BG175" s="14"/>
      <c r="BH175" s="14"/>
    </row>
    <row r="176" spans="1:60" ht="69.900000000000006" customHeight="1" x14ac:dyDescent="0.3">
      <c r="A176" s="14"/>
      <c r="B176" s="14"/>
      <c r="C176" s="24" t="s">
        <v>70</v>
      </c>
      <c r="E176" s="307"/>
      <c r="F176" s="307"/>
      <c r="G176" s="307"/>
      <c r="H176" s="307"/>
      <c r="I176" s="307"/>
      <c r="J176" s="307"/>
      <c r="K176" s="307"/>
      <c r="L176" s="307"/>
      <c r="M176" s="307"/>
      <c r="N176" s="307"/>
      <c r="O176" s="307"/>
      <c r="P176" s="307"/>
      <c r="Q176" s="307"/>
      <c r="R176" s="307"/>
      <c r="S176" s="307"/>
      <c r="T176" s="307"/>
      <c r="U176" s="307"/>
      <c r="V176" s="307"/>
      <c r="W176" s="307"/>
      <c r="X176" s="307"/>
      <c r="Y176" s="307"/>
      <c r="Z176" s="307"/>
      <c r="AA176" s="307"/>
      <c r="AB176" s="307"/>
      <c r="AC176" s="114"/>
      <c r="AD176" s="307"/>
      <c r="AE176" s="307"/>
      <c r="AF176" s="307"/>
      <c r="AG176" s="307"/>
      <c r="AH176" s="307"/>
      <c r="AI176" s="307"/>
      <c r="AJ176" s="307"/>
      <c r="AK176" s="307"/>
      <c r="AL176" s="307"/>
      <c r="AM176" s="307"/>
      <c r="AN176" s="307"/>
      <c r="AO176" s="307"/>
      <c r="AP176" s="307"/>
      <c r="AQ176" s="307"/>
      <c r="AR176" s="307"/>
      <c r="AS176" s="307"/>
      <c r="AT176" s="307"/>
      <c r="AU176" s="307"/>
      <c r="AV176" s="307"/>
      <c r="AW176" s="307"/>
      <c r="AX176" s="307"/>
      <c r="AY176" s="307"/>
      <c r="AZ176" s="307"/>
      <c r="BA176" s="307"/>
      <c r="BB176" s="11"/>
      <c r="BC176" s="129"/>
      <c r="BD176" s="14"/>
      <c r="BE176" s="14"/>
      <c r="BF176" s="14"/>
      <c r="BG176" s="14"/>
      <c r="BH176" s="14"/>
    </row>
    <row r="177" spans="1:60" ht="43.5" customHeight="1" x14ac:dyDescent="0.3">
      <c r="A177" s="14"/>
      <c r="B177" s="14"/>
      <c r="C177" s="24" t="s">
        <v>47</v>
      </c>
      <c r="E177" s="312"/>
      <c r="F177" s="313"/>
      <c r="G177" s="313"/>
      <c r="H177" s="313"/>
      <c r="I177" s="313"/>
      <c r="J177" s="313"/>
      <c r="K177" s="313"/>
      <c r="L177" s="313"/>
      <c r="M177" s="313"/>
      <c r="N177" s="313"/>
      <c r="O177" s="313"/>
      <c r="P177" s="314"/>
      <c r="Q177" s="315"/>
      <c r="R177" s="313"/>
      <c r="S177" s="313"/>
      <c r="T177" s="313"/>
      <c r="U177" s="313"/>
      <c r="V177" s="313"/>
      <c r="W177" s="313"/>
      <c r="X177" s="313"/>
      <c r="Y177" s="313"/>
      <c r="Z177" s="313"/>
      <c r="AA177" s="313"/>
      <c r="AB177" s="313"/>
      <c r="AC177" s="114"/>
      <c r="AD177" s="312"/>
      <c r="AE177" s="313"/>
      <c r="AF177" s="313"/>
      <c r="AG177" s="313"/>
      <c r="AH177" s="313"/>
      <c r="AI177" s="313"/>
      <c r="AJ177" s="313"/>
      <c r="AK177" s="313"/>
      <c r="AL177" s="313"/>
      <c r="AM177" s="313"/>
      <c r="AN177" s="313"/>
      <c r="AO177" s="314"/>
      <c r="AP177" s="315"/>
      <c r="AQ177" s="313"/>
      <c r="AR177" s="313"/>
      <c r="AS177" s="313"/>
      <c r="AT177" s="313"/>
      <c r="AU177" s="313"/>
      <c r="AV177" s="313"/>
      <c r="AW177" s="313"/>
      <c r="AX177" s="313"/>
      <c r="AY177" s="313"/>
      <c r="AZ177" s="313"/>
      <c r="BA177" s="313"/>
      <c r="BB177" s="11"/>
      <c r="BC177" s="129"/>
      <c r="BD177" s="14"/>
      <c r="BE177" s="14"/>
      <c r="BF177" s="14"/>
      <c r="BG177" s="14"/>
      <c r="BH177" s="14"/>
    </row>
    <row r="178" spans="1:60" s="15" customFormat="1" ht="18" x14ac:dyDescent="0.35">
      <c r="A178" s="29"/>
      <c r="B178" s="29"/>
      <c r="E178" s="16">
        <v>31</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8"/>
      <c r="AD178" s="318" t="s">
        <v>92</v>
      </c>
      <c r="AE178" s="318"/>
      <c r="AF178" s="318"/>
      <c r="AG178" s="318"/>
      <c r="AH178" s="318"/>
      <c r="AI178" s="318"/>
      <c r="AJ178" s="318"/>
      <c r="AK178" s="318"/>
      <c r="AL178" s="318"/>
      <c r="AM178" s="318"/>
      <c r="AN178" s="318"/>
      <c r="AO178" s="318"/>
      <c r="AP178" s="318"/>
      <c r="AQ178" s="318"/>
      <c r="AR178" s="318"/>
      <c r="AS178" s="318"/>
      <c r="AT178" s="318"/>
      <c r="AU178" s="318"/>
      <c r="AV178" s="318"/>
      <c r="AW178" s="318"/>
      <c r="AX178" s="318"/>
      <c r="AY178" s="318"/>
      <c r="AZ178" s="318"/>
      <c r="BA178" s="318"/>
      <c r="BB178" s="18"/>
      <c r="BC178" s="137"/>
      <c r="BD178" s="29"/>
      <c r="BE178" s="29"/>
      <c r="BF178" s="29"/>
      <c r="BG178" s="29"/>
      <c r="BH178" s="29"/>
    </row>
    <row r="179" spans="1:60" s="27" customFormat="1" ht="15.75" customHeight="1" x14ac:dyDescent="0.35">
      <c r="A179" s="14"/>
      <c r="B179" s="14"/>
      <c r="C179" s="25"/>
      <c r="D179" s="25"/>
      <c r="E179" s="39">
        <v>0</v>
      </c>
      <c r="F179" s="39">
        <v>1</v>
      </c>
      <c r="G179" s="39">
        <v>2</v>
      </c>
      <c r="H179" s="39">
        <v>3</v>
      </c>
      <c r="I179" s="39">
        <v>4</v>
      </c>
      <c r="J179" s="39">
        <v>5</v>
      </c>
      <c r="K179" s="39">
        <v>6</v>
      </c>
      <c r="L179" s="39">
        <v>7</v>
      </c>
      <c r="M179" s="39">
        <v>8</v>
      </c>
      <c r="N179" s="39">
        <v>9</v>
      </c>
      <c r="O179" s="39">
        <v>10</v>
      </c>
      <c r="P179" s="39">
        <v>11</v>
      </c>
      <c r="Q179" s="39">
        <v>12</v>
      </c>
      <c r="R179" s="39">
        <v>13</v>
      </c>
      <c r="S179" s="39">
        <v>14</v>
      </c>
      <c r="T179" s="39">
        <v>15</v>
      </c>
      <c r="U179" s="39">
        <v>16</v>
      </c>
      <c r="V179" s="39">
        <v>17</v>
      </c>
      <c r="W179" s="39">
        <v>18</v>
      </c>
      <c r="X179" s="39">
        <v>19</v>
      </c>
      <c r="Y179" s="39">
        <v>20</v>
      </c>
      <c r="Z179" s="39">
        <v>21</v>
      </c>
      <c r="AA179" s="39">
        <v>22</v>
      </c>
      <c r="AB179" s="39">
        <v>23</v>
      </c>
      <c r="AC179" s="26"/>
      <c r="AD179" s="319"/>
      <c r="AE179" s="319"/>
      <c r="AF179" s="319"/>
      <c r="AG179" s="319"/>
      <c r="AH179" s="319"/>
      <c r="AI179" s="319"/>
      <c r="AJ179" s="319"/>
      <c r="AK179" s="319"/>
      <c r="AL179" s="319"/>
      <c r="AM179" s="319"/>
      <c r="AN179" s="319"/>
      <c r="AO179" s="319"/>
      <c r="AP179" s="319"/>
      <c r="AQ179" s="319"/>
      <c r="AR179" s="319"/>
      <c r="AS179" s="319"/>
      <c r="AT179" s="319"/>
      <c r="AU179" s="319"/>
      <c r="AV179" s="319"/>
      <c r="AW179" s="319"/>
      <c r="AX179" s="319"/>
      <c r="AY179" s="319"/>
      <c r="AZ179" s="319"/>
      <c r="BA179" s="319"/>
      <c r="BB179" s="18"/>
      <c r="BC179" s="129"/>
      <c r="BD179" s="14"/>
      <c r="BE179" s="14"/>
      <c r="BF179" s="14"/>
      <c r="BG179" s="14"/>
      <c r="BH179" s="14"/>
    </row>
    <row r="180" spans="1:60" s="27" customFormat="1" ht="15" customHeight="1" x14ac:dyDescent="0.35">
      <c r="B180" s="14"/>
      <c r="C180" s="25"/>
      <c r="D180" s="25"/>
      <c r="E180" s="40" t="s">
        <v>17</v>
      </c>
      <c r="F180" s="40" t="s">
        <v>18</v>
      </c>
      <c r="G180" s="40" t="s">
        <v>19</v>
      </c>
      <c r="H180" s="40" t="s">
        <v>20</v>
      </c>
      <c r="I180" s="40" t="s">
        <v>21</v>
      </c>
      <c r="J180" s="40" t="s">
        <v>22</v>
      </c>
      <c r="K180" s="40" t="s">
        <v>23</v>
      </c>
      <c r="L180" s="40" t="s">
        <v>24</v>
      </c>
      <c r="M180" s="40" t="s">
        <v>25</v>
      </c>
      <c r="N180" s="40" t="s">
        <v>26</v>
      </c>
      <c r="O180" s="40" t="s">
        <v>27</v>
      </c>
      <c r="P180" s="40" t="s">
        <v>28</v>
      </c>
      <c r="Q180" s="40" t="s">
        <v>29</v>
      </c>
      <c r="R180" s="40" t="s">
        <v>30</v>
      </c>
      <c r="S180" s="40" t="s">
        <v>31</v>
      </c>
      <c r="T180" s="40" t="s">
        <v>32</v>
      </c>
      <c r="U180" s="40" t="s">
        <v>33</v>
      </c>
      <c r="V180" s="40" t="s">
        <v>34</v>
      </c>
      <c r="W180" s="40" t="s">
        <v>35</v>
      </c>
      <c r="X180" s="40" t="s">
        <v>36</v>
      </c>
      <c r="Y180" s="40" t="s">
        <v>37</v>
      </c>
      <c r="Z180" s="40" t="s">
        <v>38</v>
      </c>
      <c r="AA180" s="40" t="s">
        <v>39</v>
      </c>
      <c r="AB180" s="40" t="s">
        <v>40</v>
      </c>
      <c r="AC180" s="26"/>
      <c r="AD180" s="319"/>
      <c r="AE180" s="319"/>
      <c r="AF180" s="319"/>
      <c r="AG180" s="319"/>
      <c r="AH180" s="319"/>
      <c r="AI180" s="319"/>
      <c r="AJ180" s="319"/>
      <c r="AK180" s="319"/>
      <c r="AL180" s="319"/>
      <c r="AM180" s="319"/>
      <c r="AN180" s="319"/>
      <c r="AO180" s="319"/>
      <c r="AP180" s="319"/>
      <c r="AQ180" s="319"/>
      <c r="AR180" s="319"/>
      <c r="AS180" s="319"/>
      <c r="AT180" s="319"/>
      <c r="AU180" s="319"/>
      <c r="AV180" s="319"/>
      <c r="AW180" s="319"/>
      <c r="AX180" s="319"/>
      <c r="AY180" s="319"/>
      <c r="AZ180" s="319"/>
      <c r="BA180" s="319"/>
      <c r="BB180" s="18"/>
      <c r="BC180" s="136"/>
      <c r="BE180" s="14"/>
      <c r="BF180" s="14"/>
      <c r="BG180" s="14"/>
      <c r="BH180" s="14"/>
    </row>
    <row r="181" spans="1:60" ht="15.75" customHeight="1" x14ac:dyDescent="0.35">
      <c r="A181" s="10"/>
      <c r="B181" s="14"/>
      <c r="C181" s="23" t="s">
        <v>41</v>
      </c>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1"/>
      <c r="AD181" s="319"/>
      <c r="AE181" s="319"/>
      <c r="AF181" s="319"/>
      <c r="AG181" s="319"/>
      <c r="AH181" s="319"/>
      <c r="AI181" s="319"/>
      <c r="AJ181" s="319"/>
      <c r="AK181" s="319"/>
      <c r="AL181" s="319"/>
      <c r="AM181" s="319"/>
      <c r="AN181" s="319"/>
      <c r="AO181" s="319"/>
      <c r="AP181" s="319"/>
      <c r="AQ181" s="319"/>
      <c r="AR181" s="319"/>
      <c r="AS181" s="319"/>
      <c r="AT181" s="319"/>
      <c r="AU181" s="319"/>
      <c r="AV181" s="319"/>
      <c r="AW181" s="319"/>
      <c r="AX181" s="319"/>
      <c r="AY181" s="319"/>
      <c r="AZ181" s="319"/>
      <c r="BA181" s="319"/>
      <c r="BB181" s="18"/>
      <c r="BC181" s="62"/>
      <c r="BD181" s="10"/>
      <c r="BE181" s="14"/>
      <c r="BF181" s="14"/>
      <c r="BG181" s="14"/>
      <c r="BH181" s="14"/>
    </row>
    <row r="182" spans="1:60" ht="15.75" customHeight="1" x14ac:dyDescent="0.35">
      <c r="A182" s="10"/>
      <c r="B182" s="14"/>
      <c r="C182" s="23" t="s">
        <v>42</v>
      </c>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1"/>
      <c r="AD182" s="319"/>
      <c r="AE182" s="319"/>
      <c r="AF182" s="319"/>
      <c r="AG182" s="319"/>
      <c r="AH182" s="319"/>
      <c r="AI182" s="319"/>
      <c r="AJ182" s="319"/>
      <c r="AK182" s="319"/>
      <c r="AL182" s="319"/>
      <c r="AM182" s="319"/>
      <c r="AN182" s="319"/>
      <c r="AO182" s="319"/>
      <c r="AP182" s="319"/>
      <c r="AQ182" s="319"/>
      <c r="AR182" s="319"/>
      <c r="AS182" s="319"/>
      <c r="AT182" s="319"/>
      <c r="AU182" s="319"/>
      <c r="AV182" s="319"/>
      <c r="AW182" s="319"/>
      <c r="AX182" s="319"/>
      <c r="AY182" s="319"/>
      <c r="AZ182" s="319"/>
      <c r="BA182" s="319"/>
      <c r="BB182" s="18"/>
      <c r="BC182" s="62"/>
      <c r="BD182" s="10"/>
      <c r="BE182" s="14"/>
      <c r="BF182" s="14"/>
      <c r="BG182" s="14"/>
      <c r="BH182" s="14"/>
    </row>
    <row r="183" spans="1:60" ht="15.75" customHeight="1" x14ac:dyDescent="0.35">
      <c r="A183" s="14"/>
      <c r="B183" s="14"/>
      <c r="C183" s="23" t="s">
        <v>43</v>
      </c>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1"/>
      <c r="AD183" s="319"/>
      <c r="AE183" s="319"/>
      <c r="AF183" s="319"/>
      <c r="AG183" s="319"/>
      <c r="AH183" s="319"/>
      <c r="AI183" s="319"/>
      <c r="AJ183" s="319"/>
      <c r="AK183" s="319"/>
      <c r="AL183" s="319"/>
      <c r="AM183" s="319"/>
      <c r="AN183" s="319"/>
      <c r="AO183" s="319"/>
      <c r="AP183" s="319"/>
      <c r="AQ183" s="319"/>
      <c r="AR183" s="319"/>
      <c r="AS183" s="319"/>
      <c r="AT183" s="319"/>
      <c r="AU183" s="319"/>
      <c r="AV183" s="319"/>
      <c r="AW183" s="319"/>
      <c r="AX183" s="319"/>
      <c r="AY183" s="319"/>
      <c r="AZ183" s="319"/>
      <c r="BA183" s="319"/>
      <c r="BB183" s="18"/>
      <c r="BC183" s="129"/>
      <c r="BD183" s="14"/>
      <c r="BE183" s="14"/>
      <c r="BF183" s="14"/>
      <c r="BG183" s="14"/>
      <c r="BH183" s="14"/>
    </row>
    <row r="184" spans="1:60" ht="15.75" customHeight="1" x14ac:dyDescent="0.35">
      <c r="A184" s="14"/>
      <c r="B184" s="14"/>
      <c r="C184" s="23" t="s">
        <v>44</v>
      </c>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1"/>
      <c r="AD184" s="319"/>
      <c r="AE184" s="319"/>
      <c r="AF184" s="319"/>
      <c r="AG184" s="319"/>
      <c r="AH184" s="319"/>
      <c r="AI184" s="319"/>
      <c r="AJ184" s="319"/>
      <c r="AK184" s="319"/>
      <c r="AL184" s="319"/>
      <c r="AM184" s="319"/>
      <c r="AN184" s="319"/>
      <c r="AO184" s="319"/>
      <c r="AP184" s="319"/>
      <c r="AQ184" s="319"/>
      <c r="AR184" s="319"/>
      <c r="AS184" s="319"/>
      <c r="AT184" s="319"/>
      <c r="AU184" s="319"/>
      <c r="AV184" s="319"/>
      <c r="AW184" s="319"/>
      <c r="AX184" s="319"/>
      <c r="AY184" s="319"/>
      <c r="AZ184" s="319"/>
      <c r="BA184" s="319"/>
      <c r="BB184" s="18"/>
      <c r="BC184" s="129"/>
      <c r="BD184" s="14"/>
      <c r="BE184" s="14"/>
      <c r="BF184" s="14"/>
      <c r="BG184" s="14"/>
      <c r="BH184" s="14"/>
    </row>
    <row r="185" spans="1:60" ht="15.75" customHeight="1" x14ac:dyDescent="0.35">
      <c r="A185" s="14"/>
      <c r="B185" s="14"/>
      <c r="C185" s="23" t="s">
        <v>45</v>
      </c>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1"/>
      <c r="AD185" s="319"/>
      <c r="AE185" s="319"/>
      <c r="AF185" s="319"/>
      <c r="AG185" s="319"/>
      <c r="AH185" s="319"/>
      <c r="AI185" s="319"/>
      <c r="AJ185" s="319"/>
      <c r="AK185" s="319"/>
      <c r="AL185" s="319"/>
      <c r="AM185" s="319"/>
      <c r="AN185" s="319"/>
      <c r="AO185" s="319"/>
      <c r="AP185" s="319"/>
      <c r="AQ185" s="319"/>
      <c r="AR185" s="319"/>
      <c r="AS185" s="319"/>
      <c r="AT185" s="319"/>
      <c r="AU185" s="319"/>
      <c r="AV185" s="319"/>
      <c r="AW185" s="319"/>
      <c r="AX185" s="319"/>
      <c r="AY185" s="319"/>
      <c r="AZ185" s="319"/>
      <c r="BA185" s="319"/>
      <c r="BB185" s="18"/>
      <c r="BC185" s="129"/>
      <c r="BD185" s="14"/>
      <c r="BE185" s="14"/>
      <c r="BF185" s="14"/>
      <c r="BG185" s="14"/>
      <c r="BH185" s="14"/>
    </row>
    <row r="186" spans="1:60" ht="16.5" customHeight="1" x14ac:dyDescent="0.35">
      <c r="A186" s="14"/>
      <c r="B186" s="14"/>
      <c r="C186" s="23" t="s">
        <v>46</v>
      </c>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1"/>
      <c r="AD186" s="319"/>
      <c r="AE186" s="319"/>
      <c r="AF186" s="319"/>
      <c r="AG186" s="319"/>
      <c r="AH186" s="319"/>
      <c r="AI186" s="319"/>
      <c r="AJ186" s="319"/>
      <c r="AK186" s="319"/>
      <c r="AL186" s="319"/>
      <c r="AM186" s="319"/>
      <c r="AN186" s="319"/>
      <c r="AO186" s="319"/>
      <c r="AP186" s="319"/>
      <c r="AQ186" s="319"/>
      <c r="AR186" s="319"/>
      <c r="AS186" s="319"/>
      <c r="AT186" s="319"/>
      <c r="AU186" s="319"/>
      <c r="AV186" s="319"/>
      <c r="AW186" s="319"/>
      <c r="AX186" s="319"/>
      <c r="AY186" s="319"/>
      <c r="AZ186" s="319"/>
      <c r="BA186" s="319"/>
      <c r="BB186" s="18"/>
      <c r="BC186" s="129"/>
      <c r="BD186" s="14"/>
      <c r="BE186" s="14"/>
      <c r="BF186" s="14"/>
      <c r="BG186" s="14"/>
      <c r="BH186" s="14"/>
    </row>
    <row r="187" spans="1:60" ht="66.75" customHeight="1" x14ac:dyDescent="0.35">
      <c r="A187" s="14"/>
      <c r="B187" s="14"/>
      <c r="C187" s="24" t="s">
        <v>70</v>
      </c>
      <c r="E187" s="307"/>
      <c r="F187" s="307"/>
      <c r="G187" s="307"/>
      <c r="H187" s="307"/>
      <c r="I187" s="307"/>
      <c r="J187" s="307"/>
      <c r="K187" s="307"/>
      <c r="L187" s="307"/>
      <c r="M187" s="307"/>
      <c r="N187" s="307"/>
      <c r="O187" s="307"/>
      <c r="P187" s="307"/>
      <c r="Q187" s="307"/>
      <c r="R187" s="307"/>
      <c r="S187" s="307"/>
      <c r="T187" s="307"/>
      <c r="U187" s="307"/>
      <c r="V187" s="307"/>
      <c r="W187" s="307"/>
      <c r="X187" s="307"/>
      <c r="Y187" s="307"/>
      <c r="Z187" s="307"/>
      <c r="AA187" s="307"/>
      <c r="AB187" s="307"/>
      <c r="AC187" s="11"/>
      <c r="AD187" s="319"/>
      <c r="AE187" s="319"/>
      <c r="AF187" s="319"/>
      <c r="AG187" s="319"/>
      <c r="AH187" s="319"/>
      <c r="AI187" s="319"/>
      <c r="AJ187" s="319"/>
      <c r="AK187" s="319"/>
      <c r="AL187" s="319"/>
      <c r="AM187" s="319"/>
      <c r="AN187" s="319"/>
      <c r="AO187" s="319"/>
      <c r="AP187" s="319"/>
      <c r="AQ187" s="319"/>
      <c r="AR187" s="319"/>
      <c r="AS187" s="319"/>
      <c r="AT187" s="319"/>
      <c r="AU187" s="319"/>
      <c r="AV187" s="319"/>
      <c r="AW187" s="319"/>
      <c r="AX187" s="319"/>
      <c r="AY187" s="319"/>
      <c r="AZ187" s="319"/>
      <c r="BA187" s="319"/>
      <c r="BB187" s="18"/>
      <c r="BC187" s="129"/>
      <c r="BD187" s="14"/>
      <c r="BE187" s="14"/>
      <c r="BF187" s="14"/>
      <c r="BG187" s="14"/>
      <c r="BH187" s="14"/>
    </row>
    <row r="188" spans="1:60" ht="43.5" customHeight="1" x14ac:dyDescent="0.35">
      <c r="A188" s="10"/>
      <c r="B188" s="10"/>
      <c r="C188" s="24" t="s">
        <v>47</v>
      </c>
      <c r="E188" s="312"/>
      <c r="F188" s="313"/>
      <c r="G188" s="313"/>
      <c r="H188" s="313"/>
      <c r="I188" s="313"/>
      <c r="J188" s="313"/>
      <c r="K188" s="313"/>
      <c r="L188" s="313"/>
      <c r="M188" s="313"/>
      <c r="N188" s="313"/>
      <c r="O188" s="313"/>
      <c r="P188" s="314"/>
      <c r="Q188" s="315"/>
      <c r="R188" s="313"/>
      <c r="S188" s="313"/>
      <c r="T188" s="313"/>
      <c r="U188" s="313"/>
      <c r="V188" s="313"/>
      <c r="W188" s="313"/>
      <c r="X188" s="313"/>
      <c r="Y188" s="313"/>
      <c r="Z188" s="313"/>
      <c r="AA188" s="313"/>
      <c r="AB188" s="313"/>
      <c r="AC188" s="32"/>
      <c r="AD188" s="319"/>
      <c r="AE188" s="319"/>
      <c r="AF188" s="319"/>
      <c r="AG188" s="319"/>
      <c r="AH188" s="319"/>
      <c r="AI188" s="319"/>
      <c r="AJ188" s="319"/>
      <c r="AK188" s="319"/>
      <c r="AL188" s="319"/>
      <c r="AM188" s="319"/>
      <c r="AN188" s="319"/>
      <c r="AO188" s="319"/>
      <c r="AP188" s="319"/>
      <c r="AQ188" s="319"/>
      <c r="AR188" s="319"/>
      <c r="AS188" s="319"/>
      <c r="AT188" s="319"/>
      <c r="AU188" s="319"/>
      <c r="AV188" s="319"/>
      <c r="AW188" s="319"/>
      <c r="AX188" s="319"/>
      <c r="AY188" s="319"/>
      <c r="AZ188" s="319"/>
      <c r="BA188" s="319"/>
      <c r="BB188" s="18"/>
      <c r="BC188" s="62"/>
      <c r="BD188" s="10"/>
      <c r="BE188" s="10"/>
      <c r="BF188" s="10"/>
      <c r="BG188" s="10"/>
      <c r="BH188" s="10"/>
    </row>
    <row r="189" spans="1:60" x14ac:dyDescent="0.3">
      <c r="C189" s="23"/>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spans="1:60" x14ac:dyDescent="0.3">
      <c r="C190" s="23"/>
    </row>
    <row r="191" spans="1:60" x14ac:dyDescent="0.3">
      <c r="C191" s="23"/>
    </row>
    <row r="192" spans="1:60" x14ac:dyDescent="0.3">
      <c r="C192" s="23"/>
    </row>
    <row r="193" spans="3:3" x14ac:dyDescent="0.3">
      <c r="C193" s="23"/>
    </row>
  </sheetData>
  <mergeCells count="159">
    <mergeCell ref="E188:P188"/>
    <mergeCell ref="Q188:AB188"/>
    <mergeCell ref="E155:P155"/>
    <mergeCell ref="Q155:AB155"/>
    <mergeCell ref="AD155:AO155"/>
    <mergeCell ref="AP155:BA155"/>
    <mergeCell ref="E166:P166"/>
    <mergeCell ref="Q166:AB166"/>
    <mergeCell ref="AD166:AO166"/>
    <mergeCell ref="AP166:BA166"/>
    <mergeCell ref="E177:P177"/>
    <mergeCell ref="Q177:AB177"/>
    <mergeCell ref="AD177:AO177"/>
    <mergeCell ref="AP177:BA177"/>
    <mergeCell ref="AD178:BA178"/>
    <mergeCell ref="AD179:BA188"/>
    <mergeCell ref="E187:AB187"/>
    <mergeCell ref="E119:P119"/>
    <mergeCell ref="Q119:AB119"/>
    <mergeCell ref="AD119:AO119"/>
    <mergeCell ref="AP119:BA119"/>
    <mergeCell ref="E130:P130"/>
    <mergeCell ref="Q130:AB130"/>
    <mergeCell ref="AD130:AO130"/>
    <mergeCell ref="AP130:BA130"/>
    <mergeCell ref="E141:P141"/>
    <mergeCell ref="Q141:AB141"/>
    <mergeCell ref="AD141:AO141"/>
    <mergeCell ref="AP141:BA141"/>
    <mergeCell ref="Q47:AB47"/>
    <mergeCell ref="AD47:AO47"/>
    <mergeCell ref="AP47:BA47"/>
    <mergeCell ref="E61:P61"/>
    <mergeCell ref="Q61:AB61"/>
    <mergeCell ref="AD61:AO61"/>
    <mergeCell ref="AP61:BA61"/>
    <mergeCell ref="P49:U49"/>
    <mergeCell ref="Q83:AB83"/>
    <mergeCell ref="AD83:AO83"/>
    <mergeCell ref="AP83:BA83"/>
    <mergeCell ref="BD61:BH61"/>
    <mergeCell ref="BD99:BH99"/>
    <mergeCell ref="BD101:BH101"/>
    <mergeCell ref="BD100:BH100"/>
    <mergeCell ref="BD110:BH110"/>
    <mergeCell ref="BD63:BH63"/>
    <mergeCell ref="E72:P72"/>
    <mergeCell ref="Q72:AB72"/>
    <mergeCell ref="AD72:AO72"/>
    <mergeCell ref="AP72:BA72"/>
    <mergeCell ref="E83:P83"/>
    <mergeCell ref="AD107:BA107"/>
    <mergeCell ref="AD71:BA71"/>
    <mergeCell ref="E94:P94"/>
    <mergeCell ref="Q94:AB94"/>
    <mergeCell ref="AD94:AO94"/>
    <mergeCell ref="AP94:BA94"/>
    <mergeCell ref="E108:P108"/>
    <mergeCell ref="Q108:AB108"/>
    <mergeCell ref="AD108:AO108"/>
    <mergeCell ref="AP108:BA108"/>
    <mergeCell ref="P96:U96"/>
    <mergeCell ref="Z96:AE96"/>
    <mergeCell ref="C2:J3"/>
    <mergeCell ref="P2:U2"/>
    <mergeCell ref="BD4:BH4"/>
    <mergeCell ref="BD13:BH13"/>
    <mergeCell ref="E46:AB46"/>
    <mergeCell ref="AD46:BA46"/>
    <mergeCell ref="BD14:BH14"/>
    <mergeCell ref="BD8:BH8"/>
    <mergeCell ref="BD15:BH15"/>
    <mergeCell ref="Z2:AE2"/>
    <mergeCell ref="BD5:BH5"/>
    <mergeCell ref="BD6:BH6"/>
    <mergeCell ref="BD7:BH7"/>
    <mergeCell ref="BD9:BH9"/>
    <mergeCell ref="BD10:BH10"/>
    <mergeCell ref="BD12:BH12"/>
    <mergeCell ref="AD35:BA35"/>
    <mergeCell ref="E35:AB35"/>
    <mergeCell ref="AD24:BA24"/>
    <mergeCell ref="E24:AB24"/>
    <mergeCell ref="BD11:BH11"/>
    <mergeCell ref="AD13:BA13"/>
    <mergeCell ref="E13:AB13"/>
    <mergeCell ref="BD16:BH16"/>
    <mergeCell ref="BD51:BH51"/>
    <mergeCell ref="BD148:BH148"/>
    <mergeCell ref="BD150:BH150"/>
    <mergeCell ref="BD151:BH151"/>
    <mergeCell ref="BD152:BH152"/>
    <mergeCell ref="BD153:BH153"/>
    <mergeCell ref="BD154:BH154"/>
    <mergeCell ref="BD107:BH107"/>
    <mergeCell ref="BD106:BH106"/>
    <mergeCell ref="BD105:BH105"/>
    <mergeCell ref="BD104:BH104"/>
    <mergeCell ref="BD52:BH52"/>
    <mergeCell ref="BD145:BH145"/>
    <mergeCell ref="BD146:BH146"/>
    <mergeCell ref="BD147:BH147"/>
    <mergeCell ref="BD103:BH103"/>
    <mergeCell ref="BD98:BH98"/>
    <mergeCell ref="BD102:BH102"/>
    <mergeCell ref="BD108:BH108"/>
    <mergeCell ref="BD109:BH109"/>
    <mergeCell ref="BD54:BH54"/>
    <mergeCell ref="BD56:BH56"/>
    <mergeCell ref="BD55:BH55"/>
    <mergeCell ref="BD59:BH59"/>
    <mergeCell ref="E118:AB118"/>
    <mergeCell ref="E176:AB176"/>
    <mergeCell ref="AD176:BA176"/>
    <mergeCell ref="AD165:BA165"/>
    <mergeCell ref="E165:AB165"/>
    <mergeCell ref="C143:J144"/>
    <mergeCell ref="E140:AB140"/>
    <mergeCell ref="E14:P14"/>
    <mergeCell ref="Q14:AB14"/>
    <mergeCell ref="AD14:AO14"/>
    <mergeCell ref="AP14:BA14"/>
    <mergeCell ref="E25:P25"/>
    <mergeCell ref="Q25:AB25"/>
    <mergeCell ref="AD25:AO25"/>
    <mergeCell ref="AP25:BA25"/>
    <mergeCell ref="E36:P36"/>
    <mergeCell ref="Q36:AB36"/>
    <mergeCell ref="AD36:AO36"/>
    <mergeCell ref="P143:U143"/>
    <mergeCell ref="AD60:BA60"/>
    <mergeCell ref="E71:AB71"/>
    <mergeCell ref="AD118:BA118"/>
    <mergeCell ref="AP36:BA36"/>
    <mergeCell ref="E47:P47"/>
    <mergeCell ref="BD157:BH157"/>
    <mergeCell ref="Z49:AE49"/>
    <mergeCell ref="C49:J50"/>
    <mergeCell ref="Z143:AE143"/>
    <mergeCell ref="E154:AB154"/>
    <mergeCell ref="E107:AB107"/>
    <mergeCell ref="AD82:BA82"/>
    <mergeCell ref="E82:AB82"/>
    <mergeCell ref="C96:J97"/>
    <mergeCell ref="E93:AB93"/>
    <mergeCell ref="AD93:BA93"/>
    <mergeCell ref="E129:AB129"/>
    <mergeCell ref="AD129:BA129"/>
    <mergeCell ref="BD53:BH53"/>
    <mergeCell ref="BD60:BH60"/>
    <mergeCell ref="BD62:BH62"/>
    <mergeCell ref="BD149:BH149"/>
    <mergeCell ref="BD155:BH155"/>
    <mergeCell ref="BD156:BH156"/>
    <mergeCell ref="BD57:BH57"/>
    <mergeCell ref="BD58:BH58"/>
    <mergeCell ref="E60:AB60"/>
    <mergeCell ref="AD154:BA154"/>
    <mergeCell ref="AD140:BA140"/>
  </mergeCells>
  <conditionalFormatting sqref="E13:E14">
    <cfRule type="cellIs" dxfId="315" priority="31" operator="equal">
      <formula>"RP"</formula>
    </cfRule>
  </conditionalFormatting>
  <conditionalFormatting sqref="E24:E25">
    <cfRule type="cellIs" dxfId="314" priority="29" operator="equal">
      <formula>"RP"</formula>
    </cfRule>
  </conditionalFormatting>
  <conditionalFormatting sqref="E35:E36">
    <cfRule type="cellIs" dxfId="313" priority="27" operator="equal">
      <formula>"RP"</formula>
    </cfRule>
  </conditionalFormatting>
  <conditionalFormatting sqref="E46:E47">
    <cfRule type="cellIs" dxfId="312" priority="25" operator="equal">
      <formula>"RP"</formula>
    </cfRule>
  </conditionalFormatting>
  <conditionalFormatting sqref="E60:E61">
    <cfRule type="cellIs" dxfId="311" priority="23" operator="equal">
      <formula>"RP"</formula>
    </cfRule>
  </conditionalFormatting>
  <conditionalFormatting sqref="E71:E72">
    <cfRule type="cellIs" dxfId="310" priority="21" operator="equal">
      <formula>"RP"</formula>
    </cfRule>
  </conditionalFormatting>
  <conditionalFormatting sqref="E82:E83">
    <cfRule type="cellIs" dxfId="309" priority="19" operator="equal">
      <formula>"RP"</formula>
    </cfRule>
  </conditionalFormatting>
  <conditionalFormatting sqref="E93:E94">
    <cfRule type="cellIs" dxfId="308" priority="17" operator="equal">
      <formula>"RP"</formula>
    </cfRule>
  </conditionalFormatting>
  <conditionalFormatting sqref="E107:E108">
    <cfRule type="cellIs" dxfId="307" priority="15" operator="equal">
      <formula>"RP"</formula>
    </cfRule>
  </conditionalFormatting>
  <conditionalFormatting sqref="E118:E119">
    <cfRule type="cellIs" dxfId="306" priority="13" operator="equal">
      <formula>"RP"</formula>
    </cfRule>
  </conditionalFormatting>
  <conditionalFormatting sqref="E129:E130">
    <cfRule type="cellIs" dxfId="305" priority="11" operator="equal">
      <formula>"RP"</formula>
    </cfRule>
  </conditionalFormatting>
  <conditionalFormatting sqref="E140:E141">
    <cfRule type="cellIs" dxfId="304" priority="9" operator="equal">
      <formula>"RP"</formula>
    </cfRule>
  </conditionalFormatting>
  <conditionalFormatting sqref="E154:E155">
    <cfRule type="cellIs" dxfId="303" priority="7" operator="equal">
      <formula>"RP"</formula>
    </cfRule>
  </conditionalFormatting>
  <conditionalFormatting sqref="E165:E166">
    <cfRule type="cellIs" dxfId="302" priority="5" operator="equal">
      <formula>"RP"</formula>
    </cfRule>
  </conditionalFormatting>
  <conditionalFormatting sqref="E176:E177">
    <cfRule type="cellIs" dxfId="301" priority="3" operator="equal">
      <formula>"RP"</formula>
    </cfRule>
  </conditionalFormatting>
  <conditionalFormatting sqref="E187:E188">
    <cfRule type="cellIs" dxfId="300" priority="1" operator="equal">
      <formula>"RP"</formula>
    </cfRule>
  </conditionalFormatting>
  <conditionalFormatting sqref="E9:O9">
    <cfRule type="cellIs" dxfId="299" priority="284" operator="equal">
      <formula>"RP"</formula>
    </cfRule>
  </conditionalFormatting>
  <conditionalFormatting sqref="E20:O20">
    <cfRule type="cellIs" dxfId="298" priority="179" operator="equal">
      <formula>"RP"</formula>
    </cfRule>
  </conditionalFormatting>
  <conditionalFormatting sqref="E31:O31">
    <cfRule type="cellIs" dxfId="297" priority="144" operator="equal">
      <formula>"RP"</formula>
    </cfRule>
  </conditionalFormatting>
  <conditionalFormatting sqref="E42:O42">
    <cfRule type="cellIs" dxfId="296" priority="39" operator="equal">
      <formula>"RP"</formula>
    </cfRule>
  </conditionalFormatting>
  <conditionalFormatting sqref="E56:O56">
    <cfRule type="cellIs" dxfId="295" priority="1519" operator="equal">
      <formula>"RP"</formula>
    </cfRule>
  </conditionalFormatting>
  <conditionalFormatting sqref="E67:O67">
    <cfRule type="cellIs" dxfId="294" priority="986" operator="equal">
      <formula>"RP"</formula>
    </cfRule>
  </conditionalFormatting>
  <conditionalFormatting sqref="E78:O78">
    <cfRule type="cellIs" dxfId="293" priority="951" operator="equal">
      <formula>"RP"</formula>
    </cfRule>
  </conditionalFormatting>
  <conditionalFormatting sqref="E89:O89">
    <cfRule type="cellIs" dxfId="292" priority="846" operator="equal">
      <formula>"RP"</formula>
    </cfRule>
  </conditionalFormatting>
  <conditionalFormatting sqref="E103:O103">
    <cfRule type="cellIs" dxfId="291" priority="811" operator="equal">
      <formula>"RP"</formula>
    </cfRule>
  </conditionalFormatting>
  <conditionalFormatting sqref="E114:O114">
    <cfRule type="cellIs" dxfId="290" priority="706" operator="equal">
      <formula>"RP"</formula>
    </cfRule>
  </conditionalFormatting>
  <conditionalFormatting sqref="E125:O125">
    <cfRule type="cellIs" dxfId="289" priority="671" operator="equal">
      <formula>"RP"</formula>
    </cfRule>
  </conditionalFormatting>
  <conditionalFormatting sqref="E136:O136">
    <cfRule type="cellIs" dxfId="288" priority="601" operator="equal">
      <formula>"RP"</formula>
    </cfRule>
  </conditionalFormatting>
  <conditionalFormatting sqref="E150:O150">
    <cfRule type="cellIs" dxfId="287" priority="496" operator="equal">
      <formula>"RP"</formula>
    </cfRule>
  </conditionalFormatting>
  <conditionalFormatting sqref="E161:O161">
    <cfRule type="cellIs" dxfId="286" priority="461" operator="equal">
      <formula>"RP"</formula>
    </cfRule>
  </conditionalFormatting>
  <conditionalFormatting sqref="E172:O172">
    <cfRule type="cellIs" dxfId="285" priority="356" operator="equal">
      <formula>"RP"</formula>
    </cfRule>
  </conditionalFormatting>
  <conditionalFormatting sqref="E183:O183">
    <cfRule type="cellIs" dxfId="284" priority="321" operator="equal">
      <formula>"RP"</formula>
    </cfRule>
  </conditionalFormatting>
  <conditionalFormatting sqref="E7:AA7">
    <cfRule type="cellIs" dxfId="283" priority="285" operator="equal">
      <formula>"RP"</formula>
    </cfRule>
  </conditionalFormatting>
  <conditionalFormatting sqref="E11:AA12">
    <cfRule type="cellIs" dxfId="282" priority="283" operator="equal">
      <formula>"RP"</formula>
    </cfRule>
  </conditionalFormatting>
  <conditionalFormatting sqref="E18:AA18">
    <cfRule type="cellIs" dxfId="281" priority="180" operator="equal">
      <formula>"RP"</formula>
    </cfRule>
  </conditionalFormatting>
  <conditionalFormatting sqref="E22:AA23">
    <cfRule type="cellIs" dxfId="280" priority="178" operator="equal">
      <formula>"RP"</formula>
    </cfRule>
  </conditionalFormatting>
  <conditionalFormatting sqref="E29:AA29">
    <cfRule type="cellIs" dxfId="279" priority="145" operator="equal">
      <formula>"RP"</formula>
    </cfRule>
  </conditionalFormatting>
  <conditionalFormatting sqref="E33:AA34">
    <cfRule type="cellIs" dxfId="278" priority="143" operator="equal">
      <formula>"RP"</formula>
    </cfRule>
  </conditionalFormatting>
  <conditionalFormatting sqref="E40:AA40">
    <cfRule type="cellIs" dxfId="277" priority="40" operator="equal">
      <formula>"RP"</formula>
    </cfRule>
  </conditionalFormatting>
  <conditionalFormatting sqref="E44:AA45">
    <cfRule type="cellIs" dxfId="276" priority="38" operator="equal">
      <formula>"RP"</formula>
    </cfRule>
  </conditionalFormatting>
  <conditionalFormatting sqref="E54:AA54">
    <cfRule type="cellIs" dxfId="275" priority="1520" operator="equal">
      <formula>"RP"</formula>
    </cfRule>
  </conditionalFormatting>
  <conditionalFormatting sqref="E58:AA59">
    <cfRule type="cellIs" dxfId="274" priority="1518" operator="equal">
      <formula>"RP"</formula>
    </cfRule>
  </conditionalFormatting>
  <conditionalFormatting sqref="E65:AA65">
    <cfRule type="cellIs" dxfId="273" priority="987" operator="equal">
      <formula>"RP"</formula>
    </cfRule>
  </conditionalFormatting>
  <conditionalFormatting sqref="E69:AA70">
    <cfRule type="cellIs" dxfId="272" priority="985" operator="equal">
      <formula>"RP"</formula>
    </cfRule>
  </conditionalFormatting>
  <conditionalFormatting sqref="E76:AA76">
    <cfRule type="cellIs" dxfId="271" priority="952" operator="equal">
      <formula>"RP"</formula>
    </cfRule>
  </conditionalFormatting>
  <conditionalFormatting sqref="E80:AA81">
    <cfRule type="cellIs" dxfId="270" priority="950" operator="equal">
      <formula>"RP"</formula>
    </cfRule>
  </conditionalFormatting>
  <conditionalFormatting sqref="E87:AA87">
    <cfRule type="cellIs" dxfId="269" priority="847" operator="equal">
      <formula>"RP"</formula>
    </cfRule>
  </conditionalFormatting>
  <conditionalFormatting sqref="E91:AA92">
    <cfRule type="cellIs" dxfId="268" priority="845" operator="equal">
      <formula>"RP"</formula>
    </cfRule>
  </conditionalFormatting>
  <conditionalFormatting sqref="E101:AA101">
    <cfRule type="cellIs" dxfId="267" priority="812" operator="equal">
      <formula>"RP"</formula>
    </cfRule>
  </conditionalFormatting>
  <conditionalFormatting sqref="E105:AA106">
    <cfRule type="cellIs" dxfId="266" priority="810" operator="equal">
      <formula>"RP"</formula>
    </cfRule>
  </conditionalFormatting>
  <conditionalFormatting sqref="E112:AA112">
    <cfRule type="cellIs" dxfId="265" priority="707" operator="equal">
      <formula>"RP"</formula>
    </cfRule>
  </conditionalFormatting>
  <conditionalFormatting sqref="E116:AA117">
    <cfRule type="cellIs" dxfId="264" priority="705" operator="equal">
      <formula>"RP"</formula>
    </cfRule>
  </conditionalFormatting>
  <conditionalFormatting sqref="E123:AA123">
    <cfRule type="cellIs" dxfId="263" priority="672" operator="equal">
      <formula>"RP"</formula>
    </cfRule>
  </conditionalFormatting>
  <conditionalFormatting sqref="E127:AA128">
    <cfRule type="cellIs" dxfId="262" priority="670" operator="equal">
      <formula>"RP"</formula>
    </cfRule>
  </conditionalFormatting>
  <conditionalFormatting sqref="E134:AA134">
    <cfRule type="cellIs" dxfId="261" priority="602" operator="equal">
      <formula>"RP"</formula>
    </cfRule>
  </conditionalFormatting>
  <conditionalFormatting sqref="E138:AA139">
    <cfRule type="cellIs" dxfId="260" priority="600" operator="equal">
      <formula>"RP"</formula>
    </cfRule>
  </conditionalFormatting>
  <conditionalFormatting sqref="E148:AA148">
    <cfRule type="cellIs" dxfId="259" priority="497" operator="equal">
      <formula>"RP"</formula>
    </cfRule>
  </conditionalFormatting>
  <conditionalFormatting sqref="E152:AA153">
    <cfRule type="cellIs" dxfId="258" priority="495" operator="equal">
      <formula>"RP"</formula>
    </cfRule>
  </conditionalFormatting>
  <conditionalFormatting sqref="E159:AA159">
    <cfRule type="cellIs" dxfId="257" priority="462" operator="equal">
      <formula>"RP"</formula>
    </cfRule>
  </conditionalFormatting>
  <conditionalFormatting sqref="E163:AA164">
    <cfRule type="cellIs" dxfId="256" priority="460" operator="equal">
      <formula>"RP"</formula>
    </cfRule>
  </conditionalFormatting>
  <conditionalFormatting sqref="E170:AA170">
    <cfRule type="cellIs" dxfId="255" priority="357" operator="equal">
      <formula>"RP"</formula>
    </cfRule>
  </conditionalFormatting>
  <conditionalFormatting sqref="E174:AA175">
    <cfRule type="cellIs" dxfId="254" priority="355" operator="equal">
      <formula>"RP"</formula>
    </cfRule>
  </conditionalFormatting>
  <conditionalFormatting sqref="E181:AA181">
    <cfRule type="cellIs" dxfId="253" priority="322" operator="equal">
      <formula>"RP"</formula>
    </cfRule>
  </conditionalFormatting>
  <conditionalFormatting sqref="E185:AA186">
    <cfRule type="cellIs" dxfId="252" priority="320" operator="equal">
      <formula>"RP"</formula>
    </cfRule>
  </conditionalFormatting>
  <conditionalFormatting sqref="E5:AB12">
    <cfRule type="cellIs" dxfId="251" priority="289" operator="equal">
      <formula>"RP"</formula>
    </cfRule>
  </conditionalFormatting>
  <conditionalFormatting sqref="E16:AB23">
    <cfRule type="cellIs" dxfId="250" priority="184" operator="equal">
      <formula>"RP"</formula>
    </cfRule>
  </conditionalFormatting>
  <conditionalFormatting sqref="E27:AB34">
    <cfRule type="cellIs" dxfId="249" priority="149" operator="equal">
      <formula>"RP"</formula>
    </cfRule>
  </conditionalFormatting>
  <conditionalFormatting sqref="E38:AB45">
    <cfRule type="cellIs" dxfId="248" priority="44" operator="equal">
      <formula>"RP"</formula>
    </cfRule>
  </conditionalFormatting>
  <conditionalFormatting sqref="E52:AB59">
    <cfRule type="cellIs" dxfId="247" priority="1984" operator="equal">
      <formula>"RP"</formula>
    </cfRule>
  </conditionalFormatting>
  <conditionalFormatting sqref="E63:AB70">
    <cfRule type="cellIs" dxfId="246" priority="991" operator="equal">
      <formula>"RP"</formula>
    </cfRule>
  </conditionalFormatting>
  <conditionalFormatting sqref="E74:AB81">
    <cfRule type="cellIs" dxfId="245" priority="956" operator="equal">
      <formula>"RP"</formula>
    </cfRule>
  </conditionalFormatting>
  <conditionalFormatting sqref="E85:AB92">
    <cfRule type="cellIs" dxfId="244" priority="851" operator="equal">
      <formula>"RP"</formula>
    </cfRule>
  </conditionalFormatting>
  <conditionalFormatting sqref="E99:AB106">
    <cfRule type="cellIs" dxfId="243" priority="816" operator="equal">
      <formula>"RP"</formula>
    </cfRule>
  </conditionalFormatting>
  <conditionalFormatting sqref="E110:AB117">
    <cfRule type="cellIs" dxfId="242" priority="711" operator="equal">
      <formula>"RP"</formula>
    </cfRule>
  </conditionalFormatting>
  <conditionalFormatting sqref="E121:AB128">
    <cfRule type="cellIs" dxfId="241" priority="676" operator="equal">
      <formula>"RP"</formula>
    </cfRule>
  </conditionalFormatting>
  <conditionalFormatting sqref="E132:AB139">
    <cfRule type="cellIs" dxfId="240" priority="606" operator="equal">
      <formula>"RP"</formula>
    </cfRule>
  </conditionalFormatting>
  <conditionalFormatting sqref="E146:AB153">
    <cfRule type="cellIs" dxfId="239" priority="501" operator="equal">
      <formula>"RP"</formula>
    </cfRule>
  </conditionalFormatting>
  <conditionalFormatting sqref="E157:AB164">
    <cfRule type="cellIs" dxfId="238" priority="466" operator="equal">
      <formula>"RP"</formula>
    </cfRule>
  </conditionalFormatting>
  <conditionalFormatting sqref="E168:AB175">
    <cfRule type="cellIs" dxfId="237" priority="361" operator="equal">
      <formula>"RP"</formula>
    </cfRule>
  </conditionalFormatting>
  <conditionalFormatting sqref="E179:AB186">
    <cfRule type="cellIs" dxfId="236" priority="326" operator="equal">
      <formula>"RP"</formula>
    </cfRule>
  </conditionalFormatting>
  <conditionalFormatting sqref="E1:BA1 E2:P2 V2:Z2 AF2:BA2 E3:BA4">
    <cfRule type="cellIs" dxfId="235" priority="25604" operator="equal">
      <formula>"RP"</formula>
    </cfRule>
  </conditionalFormatting>
  <conditionalFormatting sqref="E15:BA15">
    <cfRule type="cellIs" dxfId="234" priority="26067" operator="equal">
      <formula>"RP"</formula>
    </cfRule>
  </conditionalFormatting>
  <conditionalFormatting sqref="E26:BA26 E73:BA73 E84:BA84 E95:BA95 E96:P96 V96:Z96 AF96:BA96 E97:BA98 E109:BA109 E120:BA120 E131:BA131 E142:BA142 E143:P143 V143:Z143 AF143:BA143 E144:BA145 E156:BA156 E167:BA167 E178:AD178 E189:BA1048576">
    <cfRule type="cellIs" dxfId="233" priority="26094" operator="equal">
      <formula>"RP"</formula>
    </cfRule>
  </conditionalFormatting>
  <conditionalFormatting sqref="E37:BA37">
    <cfRule type="cellIs" dxfId="232" priority="25613" operator="equal">
      <formula>"RP"</formula>
    </cfRule>
  </conditionalFormatting>
  <conditionalFormatting sqref="E48:BA48 E49:P49 V49:Z49 AF49:BA49 E50:BA51">
    <cfRule type="cellIs" dxfId="231" priority="25605" operator="equal">
      <formula>"RP"</formula>
    </cfRule>
  </conditionalFormatting>
  <conditionalFormatting sqref="E62:BA62 AC63:AC72">
    <cfRule type="cellIs" dxfId="230" priority="25609" operator="equal">
      <formula>"RP"</formula>
    </cfRule>
  </conditionalFormatting>
  <conditionalFormatting sqref="I8">
    <cfRule type="cellIs" dxfId="229" priority="300" operator="equal">
      <formula>"RP"</formula>
    </cfRule>
  </conditionalFormatting>
  <conditionalFormatting sqref="I10">
    <cfRule type="cellIs" dxfId="228" priority="295" operator="equal">
      <formula>"RP"</formula>
    </cfRule>
  </conditionalFormatting>
  <conditionalFormatting sqref="I19">
    <cfRule type="cellIs" dxfId="227" priority="195" operator="equal">
      <formula>"RP"</formula>
    </cfRule>
  </conditionalFormatting>
  <conditionalFormatting sqref="I21">
    <cfRule type="cellIs" dxfId="226" priority="190" operator="equal">
      <formula>"RP"</formula>
    </cfRule>
  </conditionalFormatting>
  <conditionalFormatting sqref="I30">
    <cfRule type="cellIs" dxfId="225" priority="160" operator="equal">
      <formula>"RP"</formula>
    </cfRule>
  </conditionalFormatting>
  <conditionalFormatting sqref="I32">
    <cfRule type="cellIs" dxfId="224" priority="155" operator="equal">
      <formula>"RP"</formula>
    </cfRule>
  </conditionalFormatting>
  <conditionalFormatting sqref="I41">
    <cfRule type="cellIs" dxfId="223" priority="55" operator="equal">
      <formula>"RP"</formula>
    </cfRule>
  </conditionalFormatting>
  <conditionalFormatting sqref="I43">
    <cfRule type="cellIs" dxfId="222" priority="50" operator="equal">
      <formula>"RP"</formula>
    </cfRule>
  </conditionalFormatting>
  <conditionalFormatting sqref="I55">
    <cfRule type="cellIs" dxfId="221" priority="1998" operator="equal">
      <formula>"RP"</formula>
    </cfRule>
  </conditionalFormatting>
  <conditionalFormatting sqref="I57">
    <cfRule type="cellIs" dxfId="220" priority="1993" operator="equal">
      <formula>"RP"</formula>
    </cfRule>
  </conditionalFormatting>
  <conditionalFormatting sqref="I66">
    <cfRule type="cellIs" dxfId="219" priority="1002" operator="equal">
      <formula>"RP"</formula>
    </cfRule>
  </conditionalFormatting>
  <conditionalFormatting sqref="I68">
    <cfRule type="cellIs" dxfId="218" priority="997" operator="equal">
      <formula>"RP"</formula>
    </cfRule>
  </conditionalFormatting>
  <conditionalFormatting sqref="I77">
    <cfRule type="cellIs" dxfId="217" priority="967" operator="equal">
      <formula>"RP"</formula>
    </cfRule>
  </conditionalFormatting>
  <conditionalFormatting sqref="I79">
    <cfRule type="cellIs" dxfId="216" priority="962" operator="equal">
      <formula>"RP"</formula>
    </cfRule>
  </conditionalFormatting>
  <conditionalFormatting sqref="I88">
    <cfRule type="cellIs" dxfId="215" priority="862" operator="equal">
      <formula>"RP"</formula>
    </cfRule>
  </conditionalFormatting>
  <conditionalFormatting sqref="I90">
    <cfRule type="cellIs" dxfId="214" priority="857" operator="equal">
      <formula>"RP"</formula>
    </cfRule>
  </conditionalFormatting>
  <conditionalFormatting sqref="I102">
    <cfRule type="cellIs" dxfId="213" priority="827" operator="equal">
      <formula>"RP"</formula>
    </cfRule>
  </conditionalFormatting>
  <conditionalFormatting sqref="I104">
    <cfRule type="cellIs" dxfId="212" priority="822" operator="equal">
      <formula>"RP"</formula>
    </cfRule>
  </conditionalFormatting>
  <conditionalFormatting sqref="I113">
    <cfRule type="cellIs" dxfId="211" priority="722" operator="equal">
      <formula>"RP"</formula>
    </cfRule>
  </conditionalFormatting>
  <conditionalFormatting sqref="I115">
    <cfRule type="cellIs" dxfId="210" priority="717" operator="equal">
      <formula>"RP"</formula>
    </cfRule>
  </conditionalFormatting>
  <conditionalFormatting sqref="I124">
    <cfRule type="cellIs" dxfId="209" priority="687" operator="equal">
      <formula>"RP"</formula>
    </cfRule>
  </conditionalFormatting>
  <conditionalFormatting sqref="I126">
    <cfRule type="cellIs" dxfId="208" priority="682" operator="equal">
      <formula>"RP"</formula>
    </cfRule>
  </conditionalFormatting>
  <conditionalFormatting sqref="I135">
    <cfRule type="cellIs" dxfId="207" priority="617" operator="equal">
      <formula>"RP"</formula>
    </cfRule>
  </conditionalFormatting>
  <conditionalFormatting sqref="I137">
    <cfRule type="cellIs" dxfId="206" priority="612" operator="equal">
      <formula>"RP"</formula>
    </cfRule>
  </conditionalFormatting>
  <conditionalFormatting sqref="I149">
    <cfRule type="cellIs" dxfId="205" priority="512" operator="equal">
      <formula>"RP"</formula>
    </cfRule>
  </conditionalFormatting>
  <conditionalFormatting sqref="I151">
    <cfRule type="cellIs" dxfId="204" priority="507" operator="equal">
      <formula>"RP"</formula>
    </cfRule>
  </conditionalFormatting>
  <conditionalFormatting sqref="I160">
    <cfRule type="cellIs" dxfId="203" priority="477" operator="equal">
      <formula>"RP"</formula>
    </cfRule>
  </conditionalFormatting>
  <conditionalFormatting sqref="I162">
    <cfRule type="cellIs" dxfId="202" priority="472" operator="equal">
      <formula>"RP"</formula>
    </cfRule>
  </conditionalFormatting>
  <conditionalFormatting sqref="I171">
    <cfRule type="cellIs" dxfId="201" priority="372" operator="equal">
      <formula>"RP"</formula>
    </cfRule>
  </conditionalFormatting>
  <conditionalFormatting sqref="I173">
    <cfRule type="cellIs" dxfId="200" priority="367" operator="equal">
      <formula>"RP"</formula>
    </cfRule>
  </conditionalFormatting>
  <conditionalFormatting sqref="I182">
    <cfRule type="cellIs" dxfId="199" priority="337" operator="equal">
      <formula>"RP"</formula>
    </cfRule>
  </conditionalFormatting>
  <conditionalFormatting sqref="I184">
    <cfRule type="cellIs" dxfId="198" priority="332" operator="equal">
      <formula>"RP"</formula>
    </cfRule>
  </conditionalFormatting>
  <conditionalFormatting sqref="P9:R10">
    <cfRule type="cellIs" dxfId="197" priority="290" operator="equal">
      <formula>"RP"</formula>
    </cfRule>
  </conditionalFormatting>
  <conditionalFormatting sqref="P20:R21">
    <cfRule type="cellIs" dxfId="196" priority="185" operator="equal">
      <formula>"RP"</formula>
    </cfRule>
  </conditionalFormatting>
  <conditionalFormatting sqref="P31:R32">
    <cfRule type="cellIs" dxfId="195" priority="150" operator="equal">
      <formula>"RP"</formula>
    </cfRule>
  </conditionalFormatting>
  <conditionalFormatting sqref="P42:R43">
    <cfRule type="cellIs" dxfId="194" priority="45" operator="equal">
      <formula>"RP"</formula>
    </cfRule>
  </conditionalFormatting>
  <conditionalFormatting sqref="P56:R57">
    <cfRule type="cellIs" dxfId="193" priority="1988" operator="equal">
      <formula>"RP"</formula>
    </cfRule>
  </conditionalFormatting>
  <conditionalFormatting sqref="P67:R68">
    <cfRule type="cellIs" dxfId="192" priority="992" operator="equal">
      <formula>"RP"</formula>
    </cfRule>
  </conditionalFormatting>
  <conditionalFormatting sqref="P78:R79">
    <cfRule type="cellIs" dxfId="191" priority="957" operator="equal">
      <formula>"RP"</formula>
    </cfRule>
  </conditionalFormatting>
  <conditionalFormatting sqref="P89:R90">
    <cfRule type="cellIs" dxfId="190" priority="852" operator="equal">
      <formula>"RP"</formula>
    </cfRule>
  </conditionalFormatting>
  <conditionalFormatting sqref="P103:R104">
    <cfRule type="cellIs" dxfId="189" priority="817" operator="equal">
      <formula>"RP"</formula>
    </cfRule>
  </conditionalFormatting>
  <conditionalFormatting sqref="P114:R115">
    <cfRule type="cellIs" dxfId="188" priority="712" operator="equal">
      <formula>"RP"</formula>
    </cfRule>
  </conditionalFormatting>
  <conditionalFormatting sqref="P125:R126">
    <cfRule type="cellIs" dxfId="187" priority="677" operator="equal">
      <formula>"RP"</formula>
    </cfRule>
  </conditionalFormatting>
  <conditionalFormatting sqref="P136:R137">
    <cfRule type="cellIs" dxfId="186" priority="607" operator="equal">
      <formula>"RP"</formula>
    </cfRule>
  </conditionalFormatting>
  <conditionalFormatting sqref="P150:R151">
    <cfRule type="cellIs" dxfId="185" priority="502" operator="equal">
      <formula>"RP"</formula>
    </cfRule>
  </conditionalFormatting>
  <conditionalFormatting sqref="P161:R162">
    <cfRule type="cellIs" dxfId="184" priority="467" operator="equal">
      <formula>"RP"</formula>
    </cfRule>
  </conditionalFormatting>
  <conditionalFormatting sqref="P172:R173">
    <cfRule type="cellIs" dxfId="183" priority="362" operator="equal">
      <formula>"RP"</formula>
    </cfRule>
  </conditionalFormatting>
  <conditionalFormatting sqref="P183:R184">
    <cfRule type="cellIs" dxfId="182" priority="327" operator="equal">
      <formula>"RP"</formula>
    </cfRule>
  </conditionalFormatting>
  <conditionalFormatting sqref="S9:AA9">
    <cfRule type="cellIs" dxfId="181" priority="308" operator="equal">
      <formula>"RP"</formula>
    </cfRule>
  </conditionalFormatting>
  <conditionalFormatting sqref="S20:AA20">
    <cfRule type="cellIs" dxfId="180" priority="203" operator="equal">
      <formula>"RP"</formula>
    </cfRule>
  </conditionalFormatting>
  <conditionalFormatting sqref="S31:AA31">
    <cfRule type="cellIs" dxfId="179" priority="168" operator="equal">
      <formula>"RP"</formula>
    </cfRule>
  </conditionalFormatting>
  <conditionalFormatting sqref="S42:AA42">
    <cfRule type="cellIs" dxfId="178" priority="63" operator="equal">
      <formula>"RP"</formula>
    </cfRule>
  </conditionalFormatting>
  <conditionalFormatting sqref="S56:AA56">
    <cfRule type="cellIs" dxfId="177" priority="2008" operator="equal">
      <formula>"RP"</formula>
    </cfRule>
  </conditionalFormatting>
  <conditionalFormatting sqref="S67:AA67">
    <cfRule type="cellIs" dxfId="176" priority="1010" operator="equal">
      <formula>"RP"</formula>
    </cfRule>
  </conditionalFormatting>
  <conditionalFormatting sqref="S78:AA78">
    <cfRule type="cellIs" dxfId="175" priority="975" operator="equal">
      <formula>"RP"</formula>
    </cfRule>
  </conditionalFormatting>
  <conditionalFormatting sqref="S89:AA89">
    <cfRule type="cellIs" dxfId="174" priority="870" operator="equal">
      <formula>"RP"</formula>
    </cfRule>
  </conditionalFormatting>
  <conditionalFormatting sqref="S103:AA103">
    <cfRule type="cellIs" dxfId="173" priority="835" operator="equal">
      <formula>"RP"</formula>
    </cfRule>
  </conditionalFormatting>
  <conditionalFormatting sqref="S114:AA114">
    <cfRule type="cellIs" dxfId="172" priority="730" operator="equal">
      <formula>"RP"</formula>
    </cfRule>
  </conditionalFormatting>
  <conditionalFormatting sqref="S125:AA125">
    <cfRule type="cellIs" dxfId="171" priority="695" operator="equal">
      <formula>"RP"</formula>
    </cfRule>
  </conditionalFormatting>
  <conditionalFormatting sqref="S136:AA136">
    <cfRule type="cellIs" dxfId="170" priority="625" operator="equal">
      <formula>"RP"</formula>
    </cfRule>
  </conditionalFormatting>
  <conditionalFormatting sqref="S150:AA150">
    <cfRule type="cellIs" dxfId="169" priority="520" operator="equal">
      <formula>"RP"</formula>
    </cfRule>
  </conditionalFormatting>
  <conditionalFormatting sqref="S161:AA161">
    <cfRule type="cellIs" dxfId="168" priority="485" operator="equal">
      <formula>"RP"</formula>
    </cfRule>
  </conditionalFormatting>
  <conditionalFormatting sqref="S172:AA172">
    <cfRule type="cellIs" dxfId="167" priority="380" operator="equal">
      <formula>"RP"</formula>
    </cfRule>
  </conditionalFormatting>
  <conditionalFormatting sqref="S183:AA183">
    <cfRule type="cellIs" dxfId="166" priority="345" operator="equal">
      <formula>"RP"</formula>
    </cfRule>
  </conditionalFormatting>
  <conditionalFormatting sqref="AC5:AC14">
    <cfRule type="cellIs" dxfId="165" priority="26088" operator="equal">
      <formula>"RP"</formula>
    </cfRule>
  </conditionalFormatting>
  <conditionalFormatting sqref="AC16:AC25">
    <cfRule type="cellIs" dxfId="164" priority="26092" operator="equal">
      <formula>"RP"</formula>
    </cfRule>
  </conditionalFormatting>
  <conditionalFormatting sqref="AC27:AC36">
    <cfRule type="cellIs" dxfId="163" priority="25614" operator="equal">
      <formula>"RP"</formula>
    </cfRule>
  </conditionalFormatting>
  <conditionalFormatting sqref="AC38:AC47">
    <cfRule type="cellIs" dxfId="162" priority="25611" operator="equal">
      <formula>"RP"</formula>
    </cfRule>
  </conditionalFormatting>
  <conditionalFormatting sqref="AC52:AC61">
    <cfRule type="cellIs" dxfId="161" priority="25575" operator="equal">
      <formula>"RP"</formula>
    </cfRule>
  </conditionalFormatting>
  <conditionalFormatting sqref="AC74:AC83">
    <cfRule type="cellIs" dxfId="160" priority="26084" operator="equal">
      <formula>"RP"</formula>
    </cfRule>
  </conditionalFormatting>
  <conditionalFormatting sqref="AC85:AC94">
    <cfRule type="cellIs" dxfId="159" priority="26082" operator="equal">
      <formula>"RP"</formula>
    </cfRule>
  </conditionalFormatting>
  <conditionalFormatting sqref="AC99:AC108">
    <cfRule type="cellIs" dxfId="158" priority="26081" operator="equal">
      <formula>"RP"</formula>
    </cfRule>
  </conditionalFormatting>
  <conditionalFormatting sqref="AC110:AC119">
    <cfRule type="cellIs" dxfId="157" priority="26080" operator="equal">
      <formula>"RP"</formula>
    </cfRule>
  </conditionalFormatting>
  <conditionalFormatting sqref="AC121:AC130">
    <cfRule type="cellIs" dxfId="156" priority="26079" operator="equal">
      <formula>"RP"</formula>
    </cfRule>
  </conditionalFormatting>
  <conditionalFormatting sqref="AC132:AC141">
    <cfRule type="cellIs" dxfId="155" priority="26078" operator="equal">
      <formula>"RP"</formula>
    </cfRule>
  </conditionalFormatting>
  <conditionalFormatting sqref="AC146:AC155">
    <cfRule type="cellIs" dxfId="154" priority="26077" operator="equal">
      <formula>"RP"</formula>
    </cfRule>
  </conditionalFormatting>
  <conditionalFormatting sqref="AC157:AC166">
    <cfRule type="cellIs" dxfId="153" priority="26076" operator="equal">
      <formula>"RP"</formula>
    </cfRule>
  </conditionalFormatting>
  <conditionalFormatting sqref="AC168:AC177">
    <cfRule type="cellIs" dxfId="152" priority="26075" operator="equal">
      <formula>"RP"</formula>
    </cfRule>
  </conditionalFormatting>
  <conditionalFormatting sqref="AC179:AC188">
    <cfRule type="cellIs" dxfId="151" priority="26074" operator="equal">
      <formula>"RP"</formula>
    </cfRule>
  </conditionalFormatting>
  <conditionalFormatting sqref="AD13:AD14">
    <cfRule type="cellIs" dxfId="150" priority="30" operator="equal">
      <formula>"RP"</formula>
    </cfRule>
  </conditionalFormatting>
  <conditionalFormatting sqref="AD24:AD25">
    <cfRule type="cellIs" dxfId="149" priority="28" operator="equal">
      <formula>"RP"</formula>
    </cfRule>
  </conditionalFormatting>
  <conditionalFormatting sqref="AD35:AD36">
    <cfRule type="cellIs" dxfId="148" priority="26" operator="equal">
      <formula>"RP"</formula>
    </cfRule>
  </conditionalFormatting>
  <conditionalFormatting sqref="AD46:AD47">
    <cfRule type="cellIs" dxfId="147" priority="24" operator="equal">
      <formula>"RP"</formula>
    </cfRule>
  </conditionalFormatting>
  <conditionalFormatting sqref="AD60:AD61">
    <cfRule type="cellIs" dxfId="146" priority="22" operator="equal">
      <formula>"RP"</formula>
    </cfRule>
  </conditionalFormatting>
  <conditionalFormatting sqref="AD71:AD72">
    <cfRule type="cellIs" dxfId="145" priority="20" operator="equal">
      <formula>"RP"</formula>
    </cfRule>
  </conditionalFormatting>
  <conditionalFormatting sqref="AD82:AD83">
    <cfRule type="cellIs" dxfId="144" priority="18" operator="equal">
      <formula>"RP"</formula>
    </cfRule>
  </conditionalFormatting>
  <conditionalFormatting sqref="AD93:AD94">
    <cfRule type="cellIs" dxfId="143" priority="16" operator="equal">
      <formula>"RP"</formula>
    </cfRule>
  </conditionalFormatting>
  <conditionalFormatting sqref="AD107:AD108">
    <cfRule type="cellIs" dxfId="142" priority="14" operator="equal">
      <formula>"RP"</formula>
    </cfRule>
  </conditionalFormatting>
  <conditionalFormatting sqref="AD118:AD119">
    <cfRule type="cellIs" dxfId="141" priority="12" operator="equal">
      <formula>"RP"</formula>
    </cfRule>
  </conditionalFormatting>
  <conditionalFormatting sqref="AD129:AD130">
    <cfRule type="cellIs" dxfId="140" priority="10" operator="equal">
      <formula>"RP"</formula>
    </cfRule>
  </conditionalFormatting>
  <conditionalFormatting sqref="AD140:AD141">
    <cfRule type="cellIs" dxfId="139" priority="8" operator="equal">
      <formula>"RP"</formula>
    </cfRule>
  </conditionalFormatting>
  <conditionalFormatting sqref="AD154:AD155">
    <cfRule type="cellIs" dxfId="138" priority="6" operator="equal">
      <formula>"RP"</formula>
    </cfRule>
  </conditionalFormatting>
  <conditionalFormatting sqref="AD165:AD166">
    <cfRule type="cellIs" dxfId="137" priority="4" operator="equal">
      <formula>"RP"</formula>
    </cfRule>
  </conditionalFormatting>
  <conditionalFormatting sqref="AD176:AD177">
    <cfRule type="cellIs" dxfId="136" priority="2" operator="equal">
      <formula>"RP"</formula>
    </cfRule>
  </conditionalFormatting>
  <conditionalFormatting sqref="AD9:AN9">
    <cfRule type="cellIs" dxfId="135" priority="249" operator="equal">
      <formula>"RP"</formula>
    </cfRule>
  </conditionalFormatting>
  <conditionalFormatting sqref="AD20:AN20">
    <cfRule type="cellIs" dxfId="134" priority="214" operator="equal">
      <formula>"RP"</formula>
    </cfRule>
  </conditionalFormatting>
  <conditionalFormatting sqref="AD31:AN31">
    <cfRule type="cellIs" dxfId="133" priority="109" operator="equal">
      <formula>"RP"</formula>
    </cfRule>
  </conditionalFormatting>
  <conditionalFormatting sqref="AD42:AN42">
    <cfRule type="cellIs" dxfId="132" priority="74" operator="equal">
      <formula>"RP"</formula>
    </cfRule>
  </conditionalFormatting>
  <conditionalFormatting sqref="AD56:AN56">
    <cfRule type="cellIs" dxfId="131" priority="1056" operator="equal">
      <formula>"RP"</formula>
    </cfRule>
  </conditionalFormatting>
  <conditionalFormatting sqref="AD67:AN67">
    <cfRule type="cellIs" dxfId="130" priority="1021" operator="equal">
      <formula>"RP"</formula>
    </cfRule>
  </conditionalFormatting>
  <conditionalFormatting sqref="AD78:AN78">
    <cfRule type="cellIs" dxfId="129" priority="916" operator="equal">
      <formula>"RP"</formula>
    </cfRule>
  </conditionalFormatting>
  <conditionalFormatting sqref="AD89:AN89">
    <cfRule type="cellIs" dxfId="128" priority="881" operator="equal">
      <formula>"RP"</formula>
    </cfRule>
  </conditionalFormatting>
  <conditionalFormatting sqref="AD103:AN103">
    <cfRule type="cellIs" dxfId="127" priority="776" operator="equal">
      <formula>"RP"</formula>
    </cfRule>
  </conditionalFormatting>
  <conditionalFormatting sqref="AD114:AN114">
    <cfRule type="cellIs" dxfId="126" priority="741" operator="equal">
      <formula>"RP"</formula>
    </cfRule>
  </conditionalFormatting>
  <conditionalFormatting sqref="AD125:AN125">
    <cfRule type="cellIs" dxfId="125" priority="636" operator="equal">
      <formula>"RP"</formula>
    </cfRule>
  </conditionalFormatting>
  <conditionalFormatting sqref="AD136:AN136">
    <cfRule type="cellIs" dxfId="124" priority="566" operator="equal">
      <formula>"RP"</formula>
    </cfRule>
  </conditionalFormatting>
  <conditionalFormatting sqref="AD150:AN150">
    <cfRule type="cellIs" dxfId="123" priority="531" operator="equal">
      <formula>"RP"</formula>
    </cfRule>
  </conditionalFormatting>
  <conditionalFormatting sqref="AD161:AN161">
    <cfRule type="cellIs" dxfId="122" priority="426" operator="equal">
      <formula>"RP"</formula>
    </cfRule>
  </conditionalFormatting>
  <conditionalFormatting sqref="AD172:AN172">
    <cfRule type="cellIs" dxfId="121" priority="391" operator="equal">
      <formula>"RP"</formula>
    </cfRule>
  </conditionalFormatting>
  <conditionalFormatting sqref="AD7:AZ7">
    <cfRule type="cellIs" dxfId="120" priority="250" operator="equal">
      <formula>"RP"</formula>
    </cfRule>
  </conditionalFormatting>
  <conditionalFormatting sqref="AD11:AZ12">
    <cfRule type="cellIs" dxfId="119" priority="248" operator="equal">
      <formula>"RP"</formula>
    </cfRule>
  </conditionalFormatting>
  <conditionalFormatting sqref="AD18:AZ18">
    <cfRule type="cellIs" dxfId="118" priority="215" operator="equal">
      <formula>"RP"</formula>
    </cfRule>
  </conditionalFormatting>
  <conditionalFormatting sqref="AD22:AZ23">
    <cfRule type="cellIs" dxfId="117" priority="213" operator="equal">
      <formula>"RP"</formula>
    </cfRule>
  </conditionalFormatting>
  <conditionalFormatting sqref="AD29:AZ29">
    <cfRule type="cellIs" dxfId="116" priority="110" operator="equal">
      <formula>"RP"</formula>
    </cfRule>
  </conditionalFormatting>
  <conditionalFormatting sqref="AD33:AZ34">
    <cfRule type="cellIs" dxfId="115" priority="108" operator="equal">
      <formula>"RP"</formula>
    </cfRule>
  </conditionalFormatting>
  <conditionalFormatting sqref="AD40:AZ40">
    <cfRule type="cellIs" dxfId="114" priority="75" operator="equal">
      <formula>"RP"</formula>
    </cfRule>
  </conditionalFormatting>
  <conditionalFormatting sqref="AD44:AZ45">
    <cfRule type="cellIs" dxfId="113" priority="73" operator="equal">
      <formula>"RP"</formula>
    </cfRule>
  </conditionalFormatting>
  <conditionalFormatting sqref="AD54:AZ54">
    <cfRule type="cellIs" dxfId="112" priority="1057" operator="equal">
      <formula>"RP"</formula>
    </cfRule>
  </conditionalFormatting>
  <conditionalFormatting sqref="AD58:AZ59">
    <cfRule type="cellIs" dxfId="111" priority="1055" operator="equal">
      <formula>"RP"</formula>
    </cfRule>
  </conditionalFormatting>
  <conditionalFormatting sqref="AD65:AZ65">
    <cfRule type="cellIs" dxfId="110" priority="1022" operator="equal">
      <formula>"RP"</formula>
    </cfRule>
  </conditionalFormatting>
  <conditionalFormatting sqref="AD69:AZ70">
    <cfRule type="cellIs" dxfId="109" priority="1020" operator="equal">
      <formula>"RP"</formula>
    </cfRule>
  </conditionalFormatting>
  <conditionalFormatting sqref="AD76:AZ76">
    <cfRule type="cellIs" dxfId="108" priority="917" operator="equal">
      <formula>"RP"</formula>
    </cfRule>
  </conditionalFormatting>
  <conditionalFormatting sqref="AD80:AZ81">
    <cfRule type="cellIs" dxfId="107" priority="915" operator="equal">
      <formula>"RP"</formula>
    </cfRule>
  </conditionalFormatting>
  <conditionalFormatting sqref="AD87:AZ87">
    <cfRule type="cellIs" dxfId="106" priority="882" operator="equal">
      <formula>"RP"</formula>
    </cfRule>
  </conditionalFormatting>
  <conditionalFormatting sqref="AD91:AZ92">
    <cfRule type="cellIs" dxfId="105" priority="880" operator="equal">
      <formula>"RP"</formula>
    </cfRule>
  </conditionalFormatting>
  <conditionalFormatting sqref="AD101:AZ101">
    <cfRule type="cellIs" dxfId="104" priority="777" operator="equal">
      <formula>"RP"</formula>
    </cfRule>
  </conditionalFormatting>
  <conditionalFormatting sqref="AD105:AZ106">
    <cfRule type="cellIs" dxfId="103" priority="775" operator="equal">
      <formula>"RP"</formula>
    </cfRule>
  </conditionalFormatting>
  <conditionalFormatting sqref="AD112:AZ112">
    <cfRule type="cellIs" dxfId="102" priority="742" operator="equal">
      <formula>"RP"</formula>
    </cfRule>
  </conditionalFormatting>
  <conditionalFormatting sqref="AD116:AZ117">
    <cfRule type="cellIs" dxfId="101" priority="740" operator="equal">
      <formula>"RP"</formula>
    </cfRule>
  </conditionalFormatting>
  <conditionalFormatting sqref="AD123:AZ123">
    <cfRule type="cellIs" dxfId="100" priority="637" operator="equal">
      <formula>"RP"</formula>
    </cfRule>
  </conditionalFormatting>
  <conditionalFormatting sqref="AD127:AZ128">
    <cfRule type="cellIs" dxfId="99" priority="635" operator="equal">
      <formula>"RP"</formula>
    </cfRule>
  </conditionalFormatting>
  <conditionalFormatting sqref="AD134:AZ134">
    <cfRule type="cellIs" dxfId="98" priority="567" operator="equal">
      <formula>"RP"</formula>
    </cfRule>
  </conditionalFormatting>
  <conditionalFormatting sqref="AD138:AZ139">
    <cfRule type="cellIs" dxfId="97" priority="565" operator="equal">
      <formula>"RP"</formula>
    </cfRule>
  </conditionalFormatting>
  <conditionalFormatting sqref="AD148:AZ148">
    <cfRule type="cellIs" dxfId="96" priority="532" operator="equal">
      <formula>"RP"</formula>
    </cfRule>
  </conditionalFormatting>
  <conditionalFormatting sqref="AD152:AZ153">
    <cfRule type="cellIs" dxfId="95" priority="530" operator="equal">
      <formula>"RP"</formula>
    </cfRule>
  </conditionalFormatting>
  <conditionalFormatting sqref="AD159:AZ159">
    <cfRule type="cellIs" dxfId="94" priority="427" operator="equal">
      <formula>"RP"</formula>
    </cfRule>
  </conditionalFormatting>
  <conditionalFormatting sqref="AD163:AZ164">
    <cfRule type="cellIs" dxfId="93" priority="425" operator="equal">
      <formula>"RP"</formula>
    </cfRule>
  </conditionalFormatting>
  <conditionalFormatting sqref="AD170:AZ170">
    <cfRule type="cellIs" dxfId="92" priority="392" operator="equal">
      <formula>"RP"</formula>
    </cfRule>
  </conditionalFormatting>
  <conditionalFormatting sqref="AD174:AZ175">
    <cfRule type="cellIs" dxfId="91" priority="390" operator="equal">
      <formula>"RP"</formula>
    </cfRule>
  </conditionalFormatting>
  <conditionalFormatting sqref="AD5:BA12">
    <cfRule type="cellIs" dxfId="90" priority="254" operator="equal">
      <formula>"RP"</formula>
    </cfRule>
  </conditionalFormatting>
  <conditionalFormatting sqref="AD16:BA23">
    <cfRule type="cellIs" dxfId="89" priority="219" operator="equal">
      <formula>"RP"</formula>
    </cfRule>
  </conditionalFormatting>
  <conditionalFormatting sqref="AD27:BA34">
    <cfRule type="cellIs" dxfId="88" priority="114" operator="equal">
      <formula>"RP"</formula>
    </cfRule>
  </conditionalFormatting>
  <conditionalFormatting sqref="AD38:BA45">
    <cfRule type="cellIs" dxfId="87" priority="79" operator="equal">
      <formula>"RP"</formula>
    </cfRule>
  </conditionalFormatting>
  <conditionalFormatting sqref="AD52:BA59">
    <cfRule type="cellIs" dxfId="86" priority="1061" operator="equal">
      <formula>"RP"</formula>
    </cfRule>
  </conditionalFormatting>
  <conditionalFormatting sqref="AD63:BA70">
    <cfRule type="cellIs" dxfId="85" priority="1026" operator="equal">
      <formula>"RP"</formula>
    </cfRule>
  </conditionalFormatting>
  <conditionalFormatting sqref="AD74:BA81">
    <cfRule type="cellIs" dxfId="84" priority="921" operator="equal">
      <formula>"RP"</formula>
    </cfRule>
  </conditionalFormatting>
  <conditionalFormatting sqref="AD85:BA92">
    <cfRule type="cellIs" dxfId="83" priority="886" operator="equal">
      <formula>"RP"</formula>
    </cfRule>
  </conditionalFormatting>
  <conditionalFormatting sqref="AD99:BA106">
    <cfRule type="cellIs" dxfId="82" priority="781" operator="equal">
      <formula>"RP"</formula>
    </cfRule>
  </conditionalFormatting>
  <conditionalFormatting sqref="AD110:BA117">
    <cfRule type="cellIs" dxfId="81" priority="746" operator="equal">
      <formula>"RP"</formula>
    </cfRule>
  </conditionalFormatting>
  <conditionalFormatting sqref="AD121:BA128">
    <cfRule type="cellIs" dxfId="80" priority="641" operator="equal">
      <formula>"RP"</formula>
    </cfRule>
  </conditionalFormatting>
  <conditionalFormatting sqref="AD132:BA139">
    <cfRule type="cellIs" dxfId="79" priority="571" operator="equal">
      <formula>"RP"</formula>
    </cfRule>
  </conditionalFormatting>
  <conditionalFormatting sqref="AD146:BA153">
    <cfRule type="cellIs" dxfId="78" priority="536" operator="equal">
      <formula>"RP"</formula>
    </cfRule>
  </conditionalFormatting>
  <conditionalFormatting sqref="AD157:BA164">
    <cfRule type="cellIs" dxfId="77" priority="431" operator="equal">
      <formula>"RP"</formula>
    </cfRule>
  </conditionalFormatting>
  <conditionalFormatting sqref="AD168:BA175">
    <cfRule type="cellIs" dxfId="76" priority="396" operator="equal">
      <formula>"RP"</formula>
    </cfRule>
  </conditionalFormatting>
  <conditionalFormatting sqref="AH8">
    <cfRule type="cellIs" dxfId="75" priority="265" operator="equal">
      <formula>"RP"</formula>
    </cfRule>
  </conditionalFormatting>
  <conditionalFormatting sqref="AH10">
    <cfRule type="cellIs" dxfId="74" priority="260" operator="equal">
      <formula>"RP"</formula>
    </cfRule>
  </conditionalFormatting>
  <conditionalFormatting sqref="AH19">
    <cfRule type="cellIs" dxfId="73" priority="230" operator="equal">
      <formula>"RP"</formula>
    </cfRule>
  </conditionalFormatting>
  <conditionalFormatting sqref="AH21">
    <cfRule type="cellIs" dxfId="72" priority="225" operator="equal">
      <formula>"RP"</formula>
    </cfRule>
  </conditionalFormatting>
  <conditionalFormatting sqref="AH30">
    <cfRule type="cellIs" dxfId="71" priority="125" operator="equal">
      <formula>"RP"</formula>
    </cfRule>
  </conditionalFormatting>
  <conditionalFormatting sqref="AH32">
    <cfRule type="cellIs" dxfId="70" priority="120" operator="equal">
      <formula>"RP"</formula>
    </cfRule>
  </conditionalFormatting>
  <conditionalFormatting sqref="AH41">
    <cfRule type="cellIs" dxfId="69" priority="90" operator="equal">
      <formula>"RP"</formula>
    </cfRule>
  </conditionalFormatting>
  <conditionalFormatting sqref="AH43">
    <cfRule type="cellIs" dxfId="68" priority="85" operator="equal">
      <formula>"RP"</formula>
    </cfRule>
  </conditionalFormatting>
  <conditionalFormatting sqref="AH55">
    <cfRule type="cellIs" dxfId="67" priority="1072" operator="equal">
      <formula>"RP"</formula>
    </cfRule>
  </conditionalFormatting>
  <conditionalFormatting sqref="AH57">
    <cfRule type="cellIs" dxfId="66" priority="1067" operator="equal">
      <formula>"RP"</formula>
    </cfRule>
  </conditionalFormatting>
  <conditionalFormatting sqref="AH66">
    <cfRule type="cellIs" dxfId="65" priority="1037" operator="equal">
      <formula>"RP"</formula>
    </cfRule>
  </conditionalFormatting>
  <conditionalFormatting sqref="AH68">
    <cfRule type="cellIs" dxfId="64" priority="1032" operator="equal">
      <formula>"RP"</formula>
    </cfRule>
  </conditionalFormatting>
  <conditionalFormatting sqref="AH77">
    <cfRule type="cellIs" dxfId="63" priority="932" operator="equal">
      <formula>"RP"</formula>
    </cfRule>
  </conditionalFormatting>
  <conditionalFormatting sqref="AH79">
    <cfRule type="cellIs" dxfId="62" priority="927" operator="equal">
      <formula>"RP"</formula>
    </cfRule>
  </conditionalFormatting>
  <conditionalFormatting sqref="AH88">
    <cfRule type="cellIs" dxfId="61" priority="897" operator="equal">
      <formula>"RP"</formula>
    </cfRule>
  </conditionalFormatting>
  <conditionalFormatting sqref="AH90">
    <cfRule type="cellIs" dxfId="60" priority="892" operator="equal">
      <formula>"RP"</formula>
    </cfRule>
  </conditionalFormatting>
  <conditionalFormatting sqref="AH102">
    <cfRule type="cellIs" dxfId="59" priority="792" operator="equal">
      <formula>"RP"</formula>
    </cfRule>
  </conditionalFormatting>
  <conditionalFormatting sqref="AH104">
    <cfRule type="cellIs" dxfId="58" priority="787" operator="equal">
      <formula>"RP"</formula>
    </cfRule>
  </conditionalFormatting>
  <conditionalFormatting sqref="AH113">
    <cfRule type="cellIs" dxfId="57" priority="757" operator="equal">
      <formula>"RP"</formula>
    </cfRule>
  </conditionalFormatting>
  <conditionalFormatting sqref="AH115">
    <cfRule type="cellIs" dxfId="56" priority="752" operator="equal">
      <formula>"RP"</formula>
    </cfRule>
  </conditionalFormatting>
  <conditionalFormatting sqref="AH124">
    <cfRule type="cellIs" dxfId="55" priority="652" operator="equal">
      <formula>"RP"</formula>
    </cfRule>
  </conditionalFormatting>
  <conditionalFormatting sqref="AH126">
    <cfRule type="cellIs" dxfId="54" priority="647" operator="equal">
      <formula>"RP"</formula>
    </cfRule>
  </conditionalFormatting>
  <conditionalFormatting sqref="AH135">
    <cfRule type="cellIs" dxfId="53" priority="582" operator="equal">
      <formula>"RP"</formula>
    </cfRule>
  </conditionalFormatting>
  <conditionalFormatting sqref="AH137">
    <cfRule type="cellIs" dxfId="52" priority="577" operator="equal">
      <formula>"RP"</formula>
    </cfRule>
  </conditionalFormatting>
  <conditionalFormatting sqref="AH149">
    <cfRule type="cellIs" dxfId="51" priority="547" operator="equal">
      <formula>"RP"</formula>
    </cfRule>
  </conditionalFormatting>
  <conditionalFormatting sqref="AH151">
    <cfRule type="cellIs" dxfId="50" priority="542" operator="equal">
      <formula>"RP"</formula>
    </cfRule>
  </conditionalFormatting>
  <conditionalFormatting sqref="AH160">
    <cfRule type="cellIs" dxfId="49" priority="442" operator="equal">
      <formula>"RP"</formula>
    </cfRule>
  </conditionalFormatting>
  <conditionalFormatting sqref="AH162">
    <cfRule type="cellIs" dxfId="48" priority="437" operator="equal">
      <formula>"RP"</formula>
    </cfRule>
  </conditionalFormatting>
  <conditionalFormatting sqref="AH171">
    <cfRule type="cellIs" dxfId="47" priority="407" operator="equal">
      <formula>"RP"</formula>
    </cfRule>
  </conditionalFormatting>
  <conditionalFormatting sqref="AH173">
    <cfRule type="cellIs" dxfId="46" priority="402" operator="equal">
      <formula>"RP"</formula>
    </cfRule>
  </conditionalFormatting>
  <conditionalFormatting sqref="AO9:AQ10">
    <cfRule type="cellIs" dxfId="45" priority="255" operator="equal">
      <formula>"RP"</formula>
    </cfRule>
  </conditionalFormatting>
  <conditionalFormatting sqref="AO20:AQ21">
    <cfRule type="cellIs" dxfId="44" priority="220" operator="equal">
      <formula>"RP"</formula>
    </cfRule>
  </conditionalFormatting>
  <conditionalFormatting sqref="AO31:AQ32">
    <cfRule type="cellIs" dxfId="43" priority="115" operator="equal">
      <formula>"RP"</formula>
    </cfRule>
  </conditionalFormatting>
  <conditionalFormatting sqref="AO42:AQ43">
    <cfRule type="cellIs" dxfId="42" priority="80" operator="equal">
      <formula>"RP"</formula>
    </cfRule>
  </conditionalFormatting>
  <conditionalFormatting sqref="AO56:AQ57">
    <cfRule type="cellIs" dxfId="41" priority="1062" operator="equal">
      <formula>"RP"</formula>
    </cfRule>
  </conditionalFormatting>
  <conditionalFormatting sqref="AO67:AQ68">
    <cfRule type="cellIs" dxfId="40" priority="1027" operator="equal">
      <formula>"RP"</formula>
    </cfRule>
  </conditionalFormatting>
  <conditionalFormatting sqref="AO78:AQ79">
    <cfRule type="cellIs" dxfId="39" priority="922" operator="equal">
      <formula>"RP"</formula>
    </cfRule>
  </conditionalFormatting>
  <conditionalFormatting sqref="AO89:AQ90">
    <cfRule type="cellIs" dxfId="38" priority="887" operator="equal">
      <formula>"RP"</formula>
    </cfRule>
  </conditionalFormatting>
  <conditionalFormatting sqref="AO103:AQ104">
    <cfRule type="cellIs" dxfId="37" priority="782" operator="equal">
      <formula>"RP"</formula>
    </cfRule>
  </conditionalFormatting>
  <conditionalFormatting sqref="AO114:AQ115">
    <cfRule type="cellIs" dxfId="36" priority="747" operator="equal">
      <formula>"RP"</formula>
    </cfRule>
  </conditionalFormatting>
  <conditionalFormatting sqref="AO125:AQ126">
    <cfRule type="cellIs" dxfId="35" priority="642" operator="equal">
      <formula>"RP"</formula>
    </cfRule>
  </conditionalFormatting>
  <conditionalFormatting sqref="AO136:AQ137">
    <cfRule type="cellIs" dxfId="34" priority="572" operator="equal">
      <formula>"RP"</formula>
    </cfRule>
  </conditionalFormatting>
  <conditionalFormatting sqref="AO150:AQ151">
    <cfRule type="cellIs" dxfId="33" priority="537" operator="equal">
      <formula>"RP"</formula>
    </cfRule>
  </conditionalFormatting>
  <conditionalFormatting sqref="AO161:AQ162">
    <cfRule type="cellIs" dxfId="32" priority="432" operator="equal">
      <formula>"RP"</formula>
    </cfRule>
  </conditionalFormatting>
  <conditionalFormatting sqref="AO172:AQ173">
    <cfRule type="cellIs" dxfId="31" priority="397" operator="equal">
      <formula>"RP"</formula>
    </cfRule>
  </conditionalFormatting>
  <conditionalFormatting sqref="AR9:AZ9">
    <cfRule type="cellIs" dxfId="30" priority="273" operator="equal">
      <formula>"RP"</formula>
    </cfRule>
  </conditionalFormatting>
  <conditionalFormatting sqref="AR20:AZ20">
    <cfRule type="cellIs" dxfId="29" priority="238" operator="equal">
      <formula>"RP"</formula>
    </cfRule>
  </conditionalFormatting>
  <conditionalFormatting sqref="AR31:AZ31">
    <cfRule type="cellIs" dxfId="28" priority="133" operator="equal">
      <formula>"RP"</formula>
    </cfRule>
  </conditionalFormatting>
  <conditionalFormatting sqref="AR42:AZ42">
    <cfRule type="cellIs" dxfId="27" priority="98" operator="equal">
      <formula>"RP"</formula>
    </cfRule>
  </conditionalFormatting>
  <conditionalFormatting sqref="AR56:AZ56">
    <cfRule type="cellIs" dxfId="26" priority="1080" operator="equal">
      <formula>"RP"</formula>
    </cfRule>
  </conditionalFormatting>
  <conditionalFormatting sqref="AR67:AZ67">
    <cfRule type="cellIs" dxfId="25" priority="1045" operator="equal">
      <formula>"RP"</formula>
    </cfRule>
  </conditionalFormatting>
  <conditionalFormatting sqref="AR78:AZ78">
    <cfRule type="cellIs" dxfId="24" priority="940" operator="equal">
      <formula>"RP"</formula>
    </cfRule>
  </conditionalFormatting>
  <conditionalFormatting sqref="AR89:AZ89">
    <cfRule type="cellIs" dxfId="23" priority="905" operator="equal">
      <formula>"RP"</formula>
    </cfRule>
  </conditionalFormatting>
  <conditionalFormatting sqref="AR103:AZ103">
    <cfRule type="cellIs" dxfId="22" priority="800" operator="equal">
      <formula>"RP"</formula>
    </cfRule>
  </conditionalFormatting>
  <conditionalFormatting sqref="AR114:AZ114">
    <cfRule type="cellIs" dxfId="21" priority="765" operator="equal">
      <formula>"RP"</formula>
    </cfRule>
  </conditionalFormatting>
  <conditionalFormatting sqref="AR125:AZ125">
    <cfRule type="cellIs" dxfId="20" priority="660" operator="equal">
      <formula>"RP"</formula>
    </cfRule>
  </conditionalFormatting>
  <conditionalFormatting sqref="AR136:AZ136">
    <cfRule type="cellIs" dxfId="19" priority="590" operator="equal">
      <formula>"RP"</formula>
    </cfRule>
  </conditionalFormatting>
  <conditionalFormatting sqref="AR150:AZ150">
    <cfRule type="cellIs" dxfId="18" priority="555" operator="equal">
      <formula>"RP"</formula>
    </cfRule>
  </conditionalFormatting>
  <conditionalFormatting sqref="AR161:AZ161">
    <cfRule type="cellIs" dxfId="17" priority="450" operator="equal">
      <formula>"RP"</formula>
    </cfRule>
  </conditionalFormatting>
  <conditionalFormatting sqref="AR172:AZ172">
    <cfRule type="cellIs" dxfId="16" priority="415" operator="equal">
      <formula>"RP"</formula>
    </cfRule>
  </conditionalFormatting>
  <conditionalFormatting sqref="BC4:BD16">
    <cfRule type="cellIs" dxfId="15" priority="33" operator="equal">
      <formula>"RP"</formula>
    </cfRule>
  </conditionalFormatting>
  <conditionalFormatting sqref="BC51:BD63">
    <cfRule type="cellIs" dxfId="14" priority="35" operator="equal">
      <formula>"RP"</formula>
    </cfRule>
  </conditionalFormatting>
  <conditionalFormatting sqref="BC98:BD110">
    <cfRule type="cellIs" dxfId="13" priority="37" operator="equal">
      <formula>"RP"</formula>
    </cfRule>
  </conditionalFormatting>
  <conditionalFormatting sqref="BC145:BD157">
    <cfRule type="cellIs" dxfId="12" priority="10157" operator="equal">
      <formula>"RP"</formula>
    </cfRule>
  </conditionalFormatting>
  <conditionalFormatting sqref="BD11">
    <cfRule type="cellIs" dxfId="11" priority="25983" operator="equal">
      <formula>"RP"</formula>
    </cfRule>
  </conditionalFormatting>
  <conditionalFormatting sqref="BD13">
    <cfRule type="cellIs" dxfId="10" priority="25980" operator="equal">
      <formula>"RP"</formula>
    </cfRule>
  </conditionalFormatting>
  <conditionalFormatting sqref="BD15:BD16">
    <cfRule type="cellIs" dxfId="9" priority="32" operator="equal">
      <formula>"RP"</formula>
    </cfRule>
  </conditionalFormatting>
  <conditionalFormatting sqref="BD58">
    <cfRule type="cellIs" dxfId="8" priority="19982" operator="equal">
      <formula>"RP"</formula>
    </cfRule>
  </conditionalFormatting>
  <conditionalFormatting sqref="BD60">
    <cfRule type="cellIs" dxfId="7" priority="19981" operator="equal">
      <formula>"RP"</formula>
    </cfRule>
  </conditionalFormatting>
  <conditionalFormatting sqref="BD62:BD63">
    <cfRule type="cellIs" dxfId="6" priority="34" operator="equal">
      <formula>"RP"</formula>
    </cfRule>
  </conditionalFormatting>
  <conditionalFormatting sqref="BD105">
    <cfRule type="cellIs" dxfId="5" priority="19976" operator="equal">
      <formula>"RP"</formula>
    </cfRule>
  </conditionalFormatting>
  <conditionalFormatting sqref="BD107">
    <cfRule type="cellIs" dxfId="4" priority="19975" operator="equal">
      <formula>"RP"</formula>
    </cfRule>
  </conditionalFormatting>
  <conditionalFormatting sqref="BD109:BD110">
    <cfRule type="cellIs" dxfId="3" priority="36" operator="equal">
      <formula>"RP"</formula>
    </cfRule>
  </conditionalFormatting>
  <conditionalFormatting sqref="BD152">
    <cfRule type="cellIs" dxfId="2" priority="19970" operator="equal">
      <formula>"RP"</formula>
    </cfRule>
  </conditionalFormatting>
  <conditionalFormatting sqref="BD154">
    <cfRule type="cellIs" dxfId="1" priority="19969" operator="equal">
      <formula>"RP"</formula>
    </cfRule>
  </conditionalFormatting>
  <conditionalFormatting sqref="BD156:BD157">
    <cfRule type="cellIs" dxfId="0" priority="10156" operator="equal">
      <formula>"RP"</formula>
    </cfRule>
  </conditionalFormatting>
  <pageMargins left="0.17" right="0.17" top="0.57999999999999996" bottom="0.35" header="0.19" footer="0.19"/>
  <pageSetup scale="50" fitToHeight="0" orientation="landscape" horizontalDpi="360" verticalDpi="360" r:id="rId1"/>
  <headerFooter alignWithMargins="0"/>
  <rowBreaks count="3" manualBreakCount="3">
    <brk id="47" min="2" max="59" man="1"/>
    <brk id="94" min="2" max="59" man="1"/>
    <brk id="141" min="2" max="5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4A13-39F9-48D6-A50C-855B12ECFBFC}">
  <sheetPr>
    <tabColor rgb="FFFF0000"/>
  </sheetPr>
  <dimension ref="A1:XEZ80"/>
  <sheetViews>
    <sheetView topLeftCell="F1" zoomScale="80" zoomScaleNormal="80" workbookViewId="0">
      <selection activeCell="T6" sqref="T6"/>
    </sheetView>
  </sheetViews>
  <sheetFormatPr defaultRowHeight="14.4" x14ac:dyDescent="0.3"/>
  <cols>
    <col min="1" max="1" width="13.44140625" customWidth="1"/>
    <col min="2" max="2" width="17.33203125" customWidth="1"/>
    <col min="3" max="3" width="26.109375" customWidth="1"/>
    <col min="10" max="10" width="12.6640625" bestFit="1" customWidth="1"/>
    <col min="12" max="12" width="6.44140625" customWidth="1"/>
    <col min="13" max="13" width="12.44140625" customWidth="1"/>
    <col min="15" max="15" width="59.44140625" customWidth="1"/>
    <col min="18" max="18" width="12.88671875" bestFit="1" customWidth="1"/>
    <col min="19" max="19" width="39.33203125" bestFit="1" customWidth="1"/>
  </cols>
  <sheetData>
    <row r="1" spans="1:16380" ht="23.4" x14ac:dyDescent="0.3">
      <c r="A1" s="323" t="s">
        <v>148</v>
      </c>
      <c r="B1" s="324"/>
      <c r="C1" s="324"/>
      <c r="D1" s="324"/>
      <c r="E1" s="324"/>
      <c r="F1" s="324"/>
      <c r="G1" s="324"/>
      <c r="H1" s="324"/>
      <c r="I1" s="324"/>
      <c r="J1" s="324"/>
      <c r="K1" s="324"/>
      <c r="L1" s="324"/>
      <c r="M1" s="324"/>
      <c r="N1" s="324"/>
      <c r="O1" s="325"/>
      <c r="P1" s="169"/>
      <c r="Q1" s="169"/>
      <c r="R1" s="169"/>
      <c r="S1" s="169"/>
      <c r="T1" s="169"/>
      <c r="U1" s="169"/>
      <c r="V1" s="169"/>
      <c r="W1" s="169"/>
      <c r="X1" s="169"/>
      <c r="Y1" s="169"/>
      <c r="Z1" s="169"/>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c r="BM1" s="292"/>
      <c r="BN1" s="292"/>
      <c r="BO1" s="292"/>
      <c r="BP1" s="292"/>
      <c r="BQ1" s="292"/>
      <c r="BR1" s="292"/>
      <c r="BS1" s="292"/>
      <c r="BT1" s="292"/>
      <c r="BU1" s="292"/>
      <c r="BV1" s="292"/>
      <c r="BW1" s="292"/>
      <c r="BX1" s="292"/>
      <c r="BY1" s="292"/>
      <c r="BZ1" s="292"/>
      <c r="CA1" s="292"/>
      <c r="CB1" s="292"/>
      <c r="CC1" s="292"/>
      <c r="CD1" s="292"/>
      <c r="CE1" s="292"/>
      <c r="CF1" s="292"/>
      <c r="CG1" s="292"/>
      <c r="CH1" s="292"/>
      <c r="CI1" s="292"/>
      <c r="CJ1" s="292"/>
      <c r="CK1" s="292"/>
      <c r="CL1" s="292"/>
      <c r="CM1" s="292"/>
      <c r="CN1" s="292"/>
      <c r="CO1" s="292"/>
      <c r="CP1" s="292"/>
      <c r="CQ1" s="292"/>
      <c r="CR1" s="292"/>
      <c r="CS1" s="292"/>
      <c r="CT1" s="292"/>
      <c r="CU1" s="292"/>
      <c r="CV1" s="292"/>
      <c r="CW1" s="292"/>
      <c r="CX1" s="292"/>
      <c r="CY1" s="292"/>
      <c r="CZ1" s="292"/>
      <c r="DA1" s="292"/>
      <c r="DB1" s="292"/>
      <c r="DC1" s="292"/>
      <c r="DD1" s="292"/>
      <c r="DE1" s="292"/>
      <c r="DF1" s="292"/>
      <c r="DG1" s="292"/>
      <c r="DH1" s="292"/>
      <c r="DI1" s="292"/>
      <c r="DJ1" s="292"/>
      <c r="DK1" s="292"/>
      <c r="DL1" s="292"/>
      <c r="DM1" s="292"/>
      <c r="DN1" s="292"/>
      <c r="DO1" s="292"/>
      <c r="DP1" s="292"/>
      <c r="DQ1" s="292"/>
      <c r="DR1" s="292"/>
      <c r="DS1" s="292"/>
      <c r="DT1" s="292"/>
      <c r="DU1" s="292"/>
      <c r="DV1" s="292"/>
      <c r="DW1" s="292"/>
      <c r="DX1" s="292"/>
      <c r="DY1" s="292"/>
      <c r="DZ1" s="292"/>
      <c r="EA1" s="292"/>
      <c r="EB1" s="292"/>
      <c r="EC1" s="292"/>
      <c r="ED1" s="292"/>
      <c r="EE1" s="292"/>
      <c r="EF1" s="292"/>
      <c r="EG1" s="292"/>
      <c r="EH1" s="292"/>
      <c r="EI1" s="292"/>
      <c r="EJ1" s="292"/>
      <c r="EK1" s="292"/>
      <c r="EL1" s="292"/>
      <c r="EM1" s="292"/>
      <c r="EN1" s="292"/>
      <c r="EO1" s="292"/>
      <c r="EP1" s="292"/>
      <c r="EQ1" s="292"/>
      <c r="ER1" s="292"/>
      <c r="ES1" s="292"/>
      <c r="ET1" s="292"/>
      <c r="EU1" s="292"/>
      <c r="EV1" s="292"/>
      <c r="EW1" s="292"/>
      <c r="EX1" s="292"/>
      <c r="EY1" s="292"/>
      <c r="EZ1" s="292"/>
      <c r="FA1" s="292"/>
      <c r="FB1" s="292"/>
      <c r="FC1" s="292"/>
      <c r="FD1" s="292"/>
      <c r="FE1" s="292"/>
      <c r="FF1" s="292"/>
      <c r="FG1" s="292"/>
      <c r="FH1" s="292"/>
      <c r="FI1" s="292"/>
      <c r="FJ1" s="292"/>
      <c r="FK1" s="292"/>
      <c r="FL1" s="292"/>
      <c r="FM1" s="292"/>
      <c r="FN1" s="292"/>
      <c r="FO1" s="292"/>
      <c r="FP1" s="292"/>
      <c r="FQ1" s="292"/>
      <c r="FR1" s="292"/>
      <c r="FS1" s="292"/>
      <c r="FT1" s="292"/>
      <c r="FU1" s="292"/>
      <c r="FV1" s="292"/>
      <c r="FW1" s="292"/>
      <c r="FX1" s="292"/>
      <c r="FY1" s="292"/>
      <c r="FZ1" s="292"/>
      <c r="GA1" s="292"/>
      <c r="GB1" s="292"/>
      <c r="GC1" s="292"/>
      <c r="GD1" s="292"/>
      <c r="GE1" s="292"/>
      <c r="GF1" s="292"/>
      <c r="GG1" s="292"/>
      <c r="GH1" s="292"/>
      <c r="GI1" s="292"/>
      <c r="GJ1" s="292"/>
      <c r="GK1" s="292"/>
      <c r="GL1" s="292"/>
      <c r="GM1" s="292"/>
      <c r="GN1" s="292"/>
      <c r="GO1" s="292"/>
      <c r="GP1" s="292"/>
      <c r="GQ1" s="292"/>
      <c r="GR1" s="292"/>
      <c r="GS1" s="292"/>
      <c r="GT1" s="292"/>
      <c r="GU1" s="292"/>
      <c r="GV1" s="292"/>
      <c r="GW1" s="292"/>
      <c r="GX1" s="292"/>
      <c r="GY1" s="292"/>
      <c r="GZ1" s="292"/>
      <c r="HA1" s="292"/>
      <c r="HB1" s="292"/>
      <c r="HC1" s="292"/>
      <c r="HD1" s="292"/>
      <c r="HE1" s="292"/>
      <c r="HF1" s="292"/>
      <c r="HG1" s="292"/>
      <c r="HH1" s="292"/>
      <c r="HI1" s="292"/>
      <c r="HJ1" s="292"/>
      <c r="HK1" s="292"/>
      <c r="HL1" s="292"/>
      <c r="HM1" s="292"/>
      <c r="HN1" s="292"/>
      <c r="HO1" s="292"/>
      <c r="HP1" s="292"/>
      <c r="HQ1" s="292"/>
      <c r="HR1" s="292"/>
      <c r="HS1" s="292"/>
      <c r="HT1" s="292"/>
      <c r="HU1" s="292"/>
      <c r="HV1" s="292"/>
      <c r="HW1" s="292"/>
      <c r="HX1" s="292"/>
      <c r="HY1" s="292"/>
      <c r="HZ1" s="292"/>
      <c r="IA1" s="292"/>
      <c r="IB1" s="292"/>
      <c r="IC1" s="292"/>
      <c r="ID1" s="292"/>
      <c r="IE1" s="292"/>
      <c r="IF1" s="292"/>
      <c r="IG1" s="292"/>
      <c r="IH1" s="292"/>
      <c r="II1" s="292"/>
      <c r="IJ1" s="292"/>
      <c r="IK1" s="292"/>
      <c r="IL1" s="292"/>
      <c r="IM1" s="292"/>
      <c r="IN1" s="292"/>
      <c r="IO1" s="292"/>
      <c r="IP1" s="292"/>
      <c r="IQ1" s="292"/>
      <c r="IR1" s="292"/>
      <c r="IS1" s="292"/>
      <c r="IT1" s="292"/>
      <c r="IU1" s="292"/>
      <c r="IV1" s="292"/>
      <c r="IW1" s="292"/>
      <c r="IX1" s="292"/>
      <c r="IY1" s="292"/>
      <c r="IZ1" s="292"/>
      <c r="JA1" s="292"/>
      <c r="JB1" s="292"/>
      <c r="JC1" s="292"/>
      <c r="JD1" s="292"/>
      <c r="JE1" s="292"/>
      <c r="JF1" s="292"/>
      <c r="JG1" s="292"/>
      <c r="JH1" s="292"/>
      <c r="JI1" s="292"/>
      <c r="JJ1" s="292"/>
      <c r="JK1" s="292"/>
      <c r="JL1" s="292"/>
      <c r="JM1" s="292"/>
      <c r="JN1" s="292"/>
      <c r="JO1" s="292"/>
      <c r="JP1" s="292"/>
      <c r="JQ1" s="292"/>
      <c r="JR1" s="292"/>
      <c r="JS1" s="292"/>
      <c r="JT1" s="292"/>
      <c r="JU1" s="292"/>
      <c r="JV1" s="292"/>
      <c r="JW1" s="292"/>
      <c r="JX1" s="292"/>
      <c r="JY1" s="292"/>
      <c r="JZ1" s="292"/>
      <c r="KA1" s="292"/>
      <c r="KB1" s="292"/>
      <c r="KC1" s="292"/>
      <c r="KD1" s="292"/>
      <c r="KE1" s="292"/>
      <c r="KF1" s="292"/>
      <c r="KG1" s="292"/>
      <c r="KH1" s="292"/>
      <c r="KI1" s="292"/>
      <c r="KJ1" s="292"/>
      <c r="KK1" s="292"/>
      <c r="KL1" s="292"/>
      <c r="KM1" s="292"/>
      <c r="KN1" s="292"/>
      <c r="KO1" s="292"/>
      <c r="KP1" s="292"/>
      <c r="KQ1" s="292"/>
      <c r="KR1" s="292"/>
      <c r="KS1" s="292"/>
      <c r="KT1" s="292"/>
      <c r="KU1" s="292"/>
      <c r="KV1" s="292"/>
      <c r="KW1" s="292"/>
      <c r="KX1" s="292"/>
      <c r="KY1" s="292"/>
      <c r="KZ1" s="292"/>
      <c r="LA1" s="292"/>
      <c r="LB1" s="292"/>
      <c r="LC1" s="292"/>
      <c r="LD1" s="292"/>
      <c r="LE1" s="292"/>
      <c r="LF1" s="292"/>
      <c r="LG1" s="292"/>
      <c r="LH1" s="292"/>
      <c r="LI1" s="292"/>
      <c r="LJ1" s="292"/>
      <c r="LK1" s="292"/>
      <c r="LL1" s="292"/>
      <c r="LM1" s="292"/>
      <c r="LN1" s="292"/>
      <c r="LO1" s="292"/>
      <c r="LP1" s="292"/>
      <c r="LQ1" s="292"/>
      <c r="LR1" s="292"/>
      <c r="LS1" s="292"/>
      <c r="LT1" s="292"/>
      <c r="LU1" s="292"/>
      <c r="LV1" s="292"/>
      <c r="LW1" s="292"/>
      <c r="LX1" s="292"/>
      <c r="LY1" s="292"/>
      <c r="LZ1" s="292"/>
      <c r="MA1" s="292"/>
      <c r="MB1" s="292"/>
      <c r="MC1" s="292"/>
      <c r="MD1" s="292"/>
      <c r="ME1" s="292"/>
      <c r="MF1" s="292"/>
      <c r="MG1" s="292"/>
      <c r="MH1" s="292"/>
      <c r="MI1" s="292"/>
      <c r="MJ1" s="292"/>
      <c r="MK1" s="292"/>
      <c r="ML1" s="292"/>
      <c r="MM1" s="292"/>
      <c r="MN1" s="292"/>
      <c r="MO1" s="292"/>
      <c r="MP1" s="292"/>
      <c r="MQ1" s="292"/>
      <c r="MR1" s="292"/>
      <c r="MS1" s="292"/>
      <c r="MT1" s="292"/>
      <c r="MU1" s="292"/>
      <c r="MV1" s="292"/>
      <c r="MW1" s="292"/>
      <c r="MX1" s="292"/>
      <c r="MY1" s="292"/>
      <c r="MZ1" s="292"/>
      <c r="NA1" s="292"/>
      <c r="NB1" s="292"/>
      <c r="NC1" s="292"/>
      <c r="ND1" s="292"/>
      <c r="NE1" s="292"/>
      <c r="NF1" s="292"/>
      <c r="NG1" s="292"/>
      <c r="NH1" s="292"/>
      <c r="NI1" s="292"/>
      <c r="NJ1" s="292"/>
      <c r="NK1" s="292"/>
      <c r="NL1" s="292"/>
      <c r="NM1" s="292"/>
      <c r="NN1" s="292"/>
      <c r="NO1" s="292"/>
      <c r="NP1" s="292"/>
      <c r="NQ1" s="292"/>
      <c r="NR1" s="292"/>
      <c r="NS1" s="292"/>
      <c r="NT1" s="292"/>
      <c r="NU1" s="292"/>
      <c r="NV1" s="292"/>
      <c r="NW1" s="292"/>
      <c r="NX1" s="292"/>
      <c r="NY1" s="292"/>
      <c r="NZ1" s="292"/>
      <c r="OA1" s="292"/>
      <c r="OB1" s="292"/>
      <c r="OC1" s="292"/>
      <c r="OD1" s="292"/>
      <c r="OE1" s="292"/>
      <c r="OF1" s="292"/>
      <c r="OG1" s="292"/>
      <c r="OH1" s="292"/>
      <c r="OI1" s="292"/>
      <c r="OJ1" s="292"/>
      <c r="OK1" s="292"/>
      <c r="OL1" s="292"/>
      <c r="OM1" s="292"/>
      <c r="ON1" s="292"/>
      <c r="OO1" s="292"/>
      <c r="OP1" s="292"/>
      <c r="OQ1" s="292"/>
      <c r="OR1" s="292"/>
      <c r="OS1" s="292"/>
      <c r="OT1" s="292"/>
      <c r="OU1" s="292"/>
      <c r="OV1" s="292"/>
      <c r="OW1" s="292"/>
      <c r="OX1" s="292"/>
      <c r="OY1" s="292"/>
      <c r="OZ1" s="292"/>
      <c r="PA1" s="292"/>
      <c r="PB1" s="292"/>
      <c r="PC1" s="292"/>
      <c r="PD1" s="292"/>
      <c r="PE1" s="292"/>
      <c r="PF1" s="292"/>
      <c r="PG1" s="292"/>
      <c r="PH1" s="292"/>
      <c r="PI1" s="292"/>
      <c r="PJ1" s="292"/>
      <c r="PK1" s="292"/>
      <c r="PL1" s="292"/>
      <c r="PM1" s="292"/>
      <c r="PN1" s="292"/>
      <c r="PO1" s="292"/>
      <c r="PP1" s="292"/>
      <c r="PQ1" s="292"/>
      <c r="PR1" s="292"/>
      <c r="PS1" s="292"/>
      <c r="PT1" s="292"/>
      <c r="PU1" s="292"/>
      <c r="PV1" s="292"/>
      <c r="PW1" s="292"/>
      <c r="PX1" s="292"/>
      <c r="PY1" s="292"/>
      <c r="PZ1" s="292"/>
      <c r="QA1" s="292"/>
      <c r="QB1" s="292"/>
      <c r="QC1" s="292"/>
      <c r="QD1" s="292"/>
      <c r="QE1" s="292"/>
      <c r="QF1" s="292"/>
      <c r="QG1" s="292"/>
      <c r="QH1" s="292"/>
      <c r="QI1" s="292"/>
      <c r="QJ1" s="292"/>
      <c r="QK1" s="292"/>
      <c r="QL1" s="292"/>
      <c r="QM1" s="292"/>
      <c r="QN1" s="292"/>
      <c r="QO1" s="292"/>
      <c r="QP1" s="292"/>
      <c r="QQ1" s="292"/>
      <c r="QR1" s="292"/>
      <c r="QS1" s="292"/>
      <c r="QT1" s="292"/>
      <c r="QU1" s="292"/>
      <c r="QV1" s="292"/>
      <c r="QW1" s="292"/>
      <c r="QX1" s="292"/>
      <c r="QY1" s="292"/>
      <c r="QZ1" s="292"/>
      <c r="RA1" s="292"/>
      <c r="RB1" s="292"/>
      <c r="RC1" s="292"/>
      <c r="RD1" s="292"/>
      <c r="RE1" s="292"/>
      <c r="RF1" s="292"/>
      <c r="RG1" s="292"/>
      <c r="RH1" s="292"/>
      <c r="RI1" s="292"/>
      <c r="RJ1" s="292"/>
      <c r="RK1" s="292"/>
      <c r="RL1" s="292"/>
      <c r="RM1" s="292"/>
      <c r="RN1" s="292"/>
      <c r="RO1" s="292"/>
      <c r="RP1" s="292"/>
      <c r="RQ1" s="292"/>
      <c r="RR1" s="292"/>
      <c r="RS1" s="292"/>
      <c r="RT1" s="292"/>
      <c r="RU1" s="292"/>
      <c r="RV1" s="292"/>
      <c r="RW1" s="292"/>
      <c r="RX1" s="292"/>
      <c r="RY1" s="292"/>
      <c r="RZ1" s="292"/>
      <c r="SA1" s="292"/>
      <c r="SB1" s="292"/>
      <c r="SC1" s="292"/>
      <c r="SD1" s="292"/>
      <c r="SE1" s="292"/>
      <c r="SF1" s="292"/>
      <c r="SG1" s="292"/>
      <c r="SH1" s="292"/>
      <c r="SI1" s="292"/>
      <c r="SJ1" s="292"/>
      <c r="SK1" s="292"/>
      <c r="SL1" s="292"/>
      <c r="SM1" s="292"/>
      <c r="SN1" s="292"/>
      <c r="SO1" s="292"/>
      <c r="SP1" s="292"/>
      <c r="SQ1" s="292"/>
      <c r="SR1" s="292"/>
      <c r="SS1" s="292"/>
      <c r="ST1" s="292"/>
      <c r="SU1" s="292"/>
      <c r="SV1" s="292"/>
      <c r="SW1" s="292"/>
      <c r="SX1" s="292"/>
      <c r="SY1" s="292"/>
      <c r="SZ1" s="292"/>
      <c r="TA1" s="292"/>
      <c r="TB1" s="292"/>
      <c r="TC1" s="292"/>
      <c r="TD1" s="292"/>
      <c r="TE1" s="292"/>
      <c r="TF1" s="292"/>
      <c r="TG1" s="292"/>
      <c r="TH1" s="292"/>
      <c r="TI1" s="292"/>
      <c r="TJ1" s="292"/>
      <c r="TK1" s="292"/>
      <c r="TL1" s="292"/>
      <c r="TM1" s="292"/>
      <c r="TN1" s="292"/>
      <c r="TO1" s="292"/>
      <c r="TP1" s="292"/>
      <c r="TQ1" s="292"/>
      <c r="TR1" s="292"/>
      <c r="TS1" s="292"/>
      <c r="TT1" s="292"/>
      <c r="TU1" s="292"/>
      <c r="TV1" s="292"/>
      <c r="TW1" s="292"/>
      <c r="TX1" s="292"/>
      <c r="TY1" s="292"/>
      <c r="TZ1" s="292"/>
      <c r="UA1" s="292"/>
      <c r="UB1" s="292"/>
      <c r="UC1" s="292"/>
      <c r="UD1" s="292"/>
      <c r="UE1" s="292"/>
      <c r="UF1" s="292"/>
      <c r="UG1" s="292"/>
      <c r="UH1" s="292"/>
      <c r="UI1" s="292"/>
      <c r="UJ1" s="292"/>
      <c r="UK1" s="292"/>
      <c r="UL1" s="292"/>
      <c r="UM1" s="292"/>
      <c r="UN1" s="292"/>
      <c r="UO1" s="292"/>
      <c r="UP1" s="292"/>
      <c r="UQ1" s="292"/>
      <c r="UR1" s="292"/>
      <c r="US1" s="292"/>
      <c r="UT1" s="292"/>
      <c r="UU1" s="292"/>
      <c r="UV1" s="292"/>
      <c r="UW1" s="292"/>
      <c r="UX1" s="292"/>
      <c r="UY1" s="292"/>
      <c r="UZ1" s="292"/>
      <c r="VA1" s="292"/>
      <c r="VB1" s="292"/>
      <c r="VC1" s="292"/>
      <c r="VD1" s="292"/>
      <c r="VE1" s="292"/>
      <c r="VF1" s="292"/>
      <c r="VG1" s="292"/>
      <c r="VH1" s="292"/>
      <c r="VI1" s="292"/>
      <c r="VJ1" s="292"/>
      <c r="VK1" s="292"/>
      <c r="VL1" s="292"/>
      <c r="VM1" s="292"/>
      <c r="VN1" s="292"/>
      <c r="VO1" s="292"/>
      <c r="VP1" s="292"/>
      <c r="VQ1" s="292"/>
      <c r="VR1" s="292"/>
      <c r="VS1" s="292"/>
      <c r="VT1" s="292"/>
      <c r="VU1" s="292"/>
      <c r="VV1" s="292"/>
      <c r="VW1" s="292"/>
      <c r="VX1" s="292"/>
      <c r="VY1" s="292"/>
      <c r="VZ1" s="292"/>
      <c r="WA1" s="292"/>
      <c r="WB1" s="292"/>
      <c r="WC1" s="292"/>
      <c r="WD1" s="292"/>
      <c r="WE1" s="292"/>
      <c r="WF1" s="292"/>
      <c r="WG1" s="292"/>
      <c r="WH1" s="292"/>
      <c r="WI1" s="292"/>
      <c r="WJ1" s="292"/>
      <c r="WK1" s="292"/>
      <c r="WL1" s="292"/>
      <c r="WM1" s="292"/>
      <c r="WN1" s="292"/>
      <c r="WO1" s="292"/>
      <c r="WP1" s="292"/>
      <c r="WQ1" s="292"/>
      <c r="WR1" s="292"/>
      <c r="WS1" s="292"/>
      <c r="WT1" s="292"/>
      <c r="WU1" s="292"/>
      <c r="WV1" s="292"/>
      <c r="WW1" s="292"/>
      <c r="WX1" s="292"/>
      <c r="WY1" s="292"/>
      <c r="WZ1" s="292"/>
      <c r="XA1" s="292"/>
      <c r="XB1" s="292"/>
      <c r="XC1" s="292"/>
      <c r="XD1" s="292"/>
      <c r="XE1" s="292"/>
      <c r="XF1" s="292"/>
      <c r="XG1" s="292"/>
      <c r="XH1" s="292"/>
      <c r="XI1" s="292"/>
      <c r="XJ1" s="292"/>
      <c r="XK1" s="292"/>
      <c r="XL1" s="292"/>
      <c r="XM1" s="292"/>
      <c r="XN1" s="292"/>
      <c r="XO1" s="292"/>
      <c r="XP1" s="292"/>
      <c r="XQ1" s="292"/>
      <c r="XR1" s="292"/>
      <c r="XS1" s="292"/>
      <c r="XT1" s="292"/>
      <c r="XU1" s="292"/>
      <c r="XV1" s="292"/>
      <c r="XW1" s="292"/>
      <c r="XX1" s="292"/>
      <c r="XY1" s="292"/>
      <c r="XZ1" s="292"/>
      <c r="YA1" s="292"/>
      <c r="YB1" s="292"/>
      <c r="YC1" s="292"/>
      <c r="YD1" s="292"/>
      <c r="YE1" s="292"/>
      <c r="YF1" s="292"/>
      <c r="YG1" s="292"/>
      <c r="YH1" s="292"/>
      <c r="YI1" s="292"/>
      <c r="YJ1" s="292"/>
      <c r="YK1" s="292"/>
      <c r="YL1" s="292"/>
      <c r="YM1" s="292"/>
      <c r="YN1" s="292"/>
      <c r="YO1" s="292"/>
      <c r="YP1" s="292"/>
      <c r="YQ1" s="292"/>
      <c r="YR1" s="292"/>
      <c r="YS1" s="292"/>
      <c r="YT1" s="292"/>
      <c r="YU1" s="292"/>
      <c r="YV1" s="292"/>
      <c r="YW1" s="292"/>
      <c r="YX1" s="292"/>
      <c r="YY1" s="292"/>
      <c r="YZ1" s="292"/>
      <c r="ZA1" s="292"/>
      <c r="ZB1" s="292"/>
      <c r="ZC1" s="292"/>
      <c r="ZD1" s="292"/>
      <c r="ZE1" s="292"/>
      <c r="ZF1" s="292"/>
      <c r="ZG1" s="292"/>
      <c r="ZH1" s="292"/>
      <c r="ZI1" s="292"/>
      <c r="ZJ1" s="292"/>
      <c r="ZK1" s="292"/>
      <c r="ZL1" s="292"/>
      <c r="ZM1" s="292"/>
      <c r="ZN1" s="292"/>
      <c r="ZO1" s="292"/>
      <c r="ZP1" s="292"/>
      <c r="ZQ1" s="292"/>
      <c r="ZR1" s="292"/>
      <c r="ZS1" s="292"/>
      <c r="ZT1" s="292"/>
      <c r="ZU1" s="292"/>
      <c r="ZV1" s="292"/>
      <c r="ZW1" s="292"/>
      <c r="ZX1" s="292"/>
      <c r="ZY1" s="292"/>
      <c r="ZZ1" s="292"/>
      <c r="AAA1" s="292"/>
      <c r="AAB1" s="292"/>
      <c r="AAC1" s="292"/>
      <c r="AAD1" s="292"/>
      <c r="AAE1" s="292"/>
      <c r="AAF1" s="292"/>
      <c r="AAG1" s="292"/>
      <c r="AAH1" s="292"/>
      <c r="AAI1" s="292"/>
      <c r="AAJ1" s="292"/>
      <c r="AAK1" s="292"/>
      <c r="AAL1" s="292"/>
      <c r="AAM1" s="292"/>
      <c r="AAN1" s="292"/>
      <c r="AAO1" s="292"/>
      <c r="AAP1" s="292"/>
      <c r="AAQ1" s="292"/>
      <c r="AAR1" s="292"/>
      <c r="AAS1" s="292"/>
      <c r="AAT1" s="292"/>
      <c r="AAU1" s="292"/>
      <c r="AAV1" s="292"/>
      <c r="AAW1" s="292"/>
      <c r="AAX1" s="292"/>
      <c r="AAY1" s="292"/>
      <c r="AAZ1" s="292"/>
      <c r="ABA1" s="292"/>
      <c r="ABB1" s="292"/>
      <c r="ABC1" s="292"/>
      <c r="ABD1" s="292"/>
      <c r="ABE1" s="292"/>
      <c r="ABF1" s="292"/>
      <c r="ABG1" s="292"/>
      <c r="ABH1" s="292"/>
      <c r="ABI1" s="292"/>
      <c r="ABJ1" s="292"/>
      <c r="ABK1" s="292"/>
      <c r="ABL1" s="292"/>
      <c r="ABM1" s="292"/>
      <c r="ABN1" s="292"/>
      <c r="ABO1" s="292"/>
      <c r="ABP1" s="292"/>
      <c r="ABQ1" s="292"/>
      <c r="ABR1" s="292"/>
      <c r="ABS1" s="292"/>
      <c r="ABT1" s="292"/>
      <c r="ABU1" s="292"/>
      <c r="ABV1" s="292"/>
      <c r="ABW1" s="292"/>
      <c r="ABX1" s="292"/>
      <c r="ABY1" s="292"/>
      <c r="ABZ1" s="292"/>
      <c r="ACA1" s="292"/>
      <c r="ACB1" s="292"/>
      <c r="ACC1" s="292"/>
      <c r="ACD1" s="292"/>
      <c r="ACE1" s="292"/>
      <c r="ACF1" s="292"/>
      <c r="ACG1" s="292"/>
      <c r="ACH1" s="292"/>
      <c r="ACI1" s="292"/>
      <c r="ACJ1" s="292"/>
      <c r="ACK1" s="292"/>
      <c r="ACL1" s="292"/>
      <c r="ACM1" s="292"/>
      <c r="ACN1" s="292"/>
      <c r="ACO1" s="292"/>
      <c r="ACP1" s="292"/>
      <c r="ACQ1" s="292"/>
      <c r="ACR1" s="292"/>
      <c r="ACS1" s="292"/>
      <c r="ACT1" s="292"/>
      <c r="ACU1" s="292"/>
      <c r="ACV1" s="292"/>
      <c r="ACW1" s="292"/>
      <c r="ACX1" s="292"/>
      <c r="ACY1" s="292"/>
      <c r="ACZ1" s="292"/>
      <c r="ADA1" s="292"/>
      <c r="ADB1" s="292"/>
      <c r="ADC1" s="292"/>
      <c r="ADD1" s="292"/>
      <c r="ADE1" s="292"/>
      <c r="ADF1" s="292"/>
      <c r="ADG1" s="292"/>
      <c r="ADH1" s="292"/>
      <c r="ADI1" s="292"/>
      <c r="ADJ1" s="292"/>
      <c r="ADK1" s="292"/>
      <c r="ADL1" s="292"/>
      <c r="ADM1" s="292"/>
      <c r="ADN1" s="292"/>
      <c r="ADO1" s="292"/>
      <c r="ADP1" s="292"/>
      <c r="ADQ1" s="292"/>
      <c r="ADR1" s="292"/>
      <c r="ADS1" s="292"/>
      <c r="ADT1" s="292"/>
      <c r="ADU1" s="292"/>
      <c r="ADV1" s="292"/>
      <c r="ADW1" s="292"/>
      <c r="ADX1" s="292"/>
      <c r="ADY1" s="292"/>
      <c r="ADZ1" s="292"/>
      <c r="AEA1" s="292"/>
      <c r="AEB1" s="292"/>
      <c r="AEC1" s="292"/>
      <c r="AED1" s="292"/>
      <c r="AEE1" s="292"/>
      <c r="AEF1" s="292"/>
      <c r="AEG1" s="292"/>
      <c r="AEH1" s="292"/>
      <c r="AEI1" s="292"/>
      <c r="AEJ1" s="292"/>
      <c r="AEK1" s="292"/>
      <c r="AEL1" s="292"/>
      <c r="AEM1" s="292"/>
      <c r="AEN1" s="292"/>
      <c r="AEO1" s="292"/>
      <c r="AEP1" s="292"/>
      <c r="AEQ1" s="292"/>
      <c r="AER1" s="292"/>
      <c r="AES1" s="292"/>
      <c r="AET1" s="292"/>
      <c r="AEU1" s="292"/>
      <c r="AEV1" s="292"/>
      <c r="AEW1" s="292"/>
      <c r="AEX1" s="292"/>
      <c r="AEY1" s="292"/>
      <c r="AEZ1" s="292"/>
      <c r="AFA1" s="292"/>
      <c r="AFB1" s="292"/>
      <c r="AFC1" s="292"/>
      <c r="AFD1" s="292"/>
      <c r="AFE1" s="292"/>
      <c r="AFF1" s="292"/>
      <c r="AFG1" s="292"/>
      <c r="AFH1" s="292"/>
      <c r="AFI1" s="292"/>
      <c r="AFJ1" s="292"/>
      <c r="AFK1" s="292"/>
      <c r="AFL1" s="292"/>
      <c r="AFM1" s="292"/>
      <c r="AFN1" s="292"/>
      <c r="AFO1" s="292"/>
      <c r="AFP1" s="292"/>
      <c r="AFQ1" s="292"/>
      <c r="AFR1" s="292"/>
      <c r="AFS1" s="292"/>
      <c r="AFT1" s="292"/>
      <c r="AFU1" s="292"/>
      <c r="AFV1" s="292"/>
      <c r="AFW1" s="292"/>
      <c r="AFX1" s="292"/>
      <c r="AFY1" s="292"/>
      <c r="AFZ1" s="292"/>
      <c r="AGA1" s="292"/>
      <c r="AGB1" s="292"/>
      <c r="AGC1" s="292"/>
      <c r="AGD1" s="292"/>
      <c r="AGE1" s="292"/>
      <c r="AGF1" s="292"/>
      <c r="AGG1" s="292"/>
      <c r="AGH1" s="292"/>
      <c r="AGI1" s="292"/>
      <c r="AGJ1" s="292"/>
      <c r="AGK1" s="292"/>
      <c r="AGL1" s="292"/>
      <c r="AGM1" s="292"/>
      <c r="AGN1" s="292"/>
      <c r="AGO1" s="292"/>
      <c r="AGP1" s="292"/>
      <c r="AGQ1" s="292"/>
      <c r="AGR1" s="292"/>
      <c r="AGS1" s="292"/>
      <c r="AGT1" s="292"/>
      <c r="AGU1" s="292"/>
      <c r="AGV1" s="292"/>
      <c r="AGW1" s="292"/>
      <c r="AGX1" s="292"/>
      <c r="AGY1" s="292"/>
      <c r="AGZ1" s="292"/>
      <c r="AHA1" s="292"/>
      <c r="AHB1" s="292"/>
      <c r="AHC1" s="292"/>
      <c r="AHD1" s="292"/>
      <c r="AHE1" s="292"/>
      <c r="AHF1" s="292"/>
      <c r="AHG1" s="292"/>
      <c r="AHH1" s="292"/>
      <c r="AHI1" s="292"/>
      <c r="AHJ1" s="292"/>
      <c r="AHK1" s="292"/>
      <c r="AHL1" s="292"/>
      <c r="AHM1" s="292"/>
      <c r="AHN1" s="292"/>
      <c r="AHO1" s="292"/>
      <c r="AHP1" s="292"/>
      <c r="AHQ1" s="292"/>
      <c r="AHR1" s="292"/>
      <c r="AHS1" s="292"/>
      <c r="AHT1" s="292"/>
      <c r="AHU1" s="292"/>
      <c r="AHV1" s="292"/>
      <c r="AHW1" s="292"/>
      <c r="AHX1" s="292"/>
      <c r="AHY1" s="292"/>
      <c r="AHZ1" s="292"/>
      <c r="AIA1" s="292"/>
      <c r="AIB1" s="292"/>
      <c r="AIC1" s="292"/>
      <c r="AID1" s="292"/>
      <c r="AIE1" s="292"/>
      <c r="AIF1" s="292"/>
      <c r="AIG1" s="292"/>
      <c r="AIH1" s="292"/>
      <c r="AII1" s="292"/>
      <c r="AIJ1" s="292"/>
      <c r="AIK1" s="292"/>
      <c r="AIL1" s="292"/>
      <c r="AIM1" s="292"/>
      <c r="AIN1" s="292"/>
      <c r="AIO1" s="292"/>
      <c r="AIP1" s="292"/>
      <c r="AIQ1" s="292"/>
      <c r="AIR1" s="292"/>
      <c r="AIS1" s="292"/>
      <c r="AIT1" s="292"/>
      <c r="AIU1" s="292"/>
      <c r="AIV1" s="292"/>
      <c r="AIW1" s="292"/>
      <c r="AIX1" s="292"/>
      <c r="AIY1" s="292"/>
      <c r="AIZ1" s="292"/>
      <c r="AJA1" s="292"/>
      <c r="AJB1" s="292"/>
      <c r="AJC1" s="292"/>
      <c r="AJD1" s="292"/>
      <c r="AJE1" s="292"/>
      <c r="AJF1" s="292"/>
      <c r="AJG1" s="292"/>
      <c r="AJH1" s="292"/>
      <c r="AJI1" s="292"/>
      <c r="AJJ1" s="292"/>
      <c r="AJK1" s="292"/>
      <c r="AJL1" s="292"/>
      <c r="AJM1" s="292"/>
      <c r="AJN1" s="292"/>
      <c r="AJO1" s="292"/>
      <c r="AJP1" s="292"/>
      <c r="AJQ1" s="292"/>
      <c r="AJR1" s="292"/>
      <c r="AJS1" s="292"/>
      <c r="AJT1" s="292"/>
      <c r="AJU1" s="292"/>
      <c r="AJV1" s="292"/>
      <c r="AJW1" s="292"/>
      <c r="AJX1" s="292"/>
      <c r="AJY1" s="292"/>
      <c r="AJZ1" s="292"/>
      <c r="AKA1" s="292"/>
      <c r="AKB1" s="292"/>
      <c r="AKC1" s="292"/>
      <c r="AKD1" s="292"/>
      <c r="AKE1" s="292"/>
      <c r="AKF1" s="292"/>
      <c r="AKG1" s="292"/>
      <c r="AKH1" s="292"/>
      <c r="AKI1" s="292"/>
      <c r="AKJ1" s="292"/>
      <c r="AKK1" s="292"/>
      <c r="AKL1" s="292"/>
      <c r="AKM1" s="292"/>
      <c r="AKN1" s="292"/>
      <c r="AKO1" s="292"/>
      <c r="AKP1" s="292"/>
      <c r="AKQ1" s="292"/>
      <c r="AKR1" s="292"/>
      <c r="AKS1" s="292"/>
      <c r="AKT1" s="292"/>
      <c r="AKU1" s="292"/>
      <c r="AKV1" s="292"/>
      <c r="AKW1" s="292"/>
      <c r="AKX1" s="292"/>
      <c r="AKY1" s="292"/>
      <c r="AKZ1" s="292"/>
      <c r="ALA1" s="292"/>
      <c r="ALB1" s="292"/>
      <c r="ALC1" s="292"/>
      <c r="ALD1" s="292"/>
      <c r="ALE1" s="292"/>
      <c r="ALF1" s="292"/>
      <c r="ALG1" s="292"/>
      <c r="ALH1" s="292"/>
      <c r="ALI1" s="292"/>
      <c r="ALJ1" s="292"/>
      <c r="ALK1" s="292"/>
      <c r="ALL1" s="292"/>
      <c r="ALM1" s="292"/>
      <c r="ALN1" s="292"/>
      <c r="ALO1" s="292"/>
      <c r="ALP1" s="292"/>
      <c r="ALQ1" s="292"/>
      <c r="ALR1" s="292"/>
      <c r="ALS1" s="292"/>
      <c r="ALT1" s="292"/>
      <c r="ALU1" s="292"/>
      <c r="ALV1" s="292"/>
      <c r="ALW1" s="292"/>
      <c r="ALX1" s="292"/>
      <c r="ALY1" s="292"/>
      <c r="ALZ1" s="292"/>
      <c r="AMA1" s="292"/>
      <c r="AMB1" s="292"/>
      <c r="AMC1" s="292"/>
      <c r="AMD1" s="292"/>
      <c r="AME1" s="292"/>
      <c r="AMF1" s="292"/>
      <c r="AMG1" s="292"/>
      <c r="AMH1" s="292"/>
      <c r="AMI1" s="292"/>
      <c r="AMJ1" s="292"/>
      <c r="AMK1" s="292"/>
      <c r="AML1" s="292"/>
      <c r="AMM1" s="292"/>
      <c r="AMN1" s="292"/>
      <c r="AMO1" s="292"/>
      <c r="AMP1" s="292"/>
      <c r="AMQ1" s="292"/>
      <c r="AMR1" s="292"/>
      <c r="AMS1" s="292"/>
      <c r="AMT1" s="292"/>
      <c r="AMU1" s="292"/>
      <c r="AMV1" s="292"/>
      <c r="AMW1" s="292"/>
      <c r="AMX1" s="292"/>
      <c r="AMY1" s="292"/>
      <c r="AMZ1" s="292"/>
      <c r="ANA1" s="292"/>
      <c r="ANB1" s="292"/>
      <c r="ANC1" s="292"/>
      <c r="AND1" s="292"/>
      <c r="ANE1" s="292"/>
      <c r="ANF1" s="292"/>
      <c r="ANG1" s="292"/>
      <c r="ANH1" s="292"/>
      <c r="ANI1" s="292"/>
      <c r="ANJ1" s="292"/>
      <c r="ANK1" s="292"/>
      <c r="ANL1" s="292"/>
      <c r="ANM1" s="292"/>
      <c r="ANN1" s="292"/>
      <c r="ANO1" s="292"/>
      <c r="ANP1" s="292"/>
      <c r="ANQ1" s="292"/>
      <c r="ANR1" s="292"/>
      <c r="ANS1" s="292"/>
      <c r="ANT1" s="292"/>
      <c r="ANU1" s="292"/>
      <c r="ANV1" s="292"/>
      <c r="ANW1" s="292"/>
      <c r="ANX1" s="292"/>
      <c r="ANY1" s="292"/>
      <c r="ANZ1" s="292"/>
      <c r="AOA1" s="292"/>
      <c r="AOB1" s="292"/>
      <c r="AOC1" s="292"/>
      <c r="AOD1" s="292"/>
      <c r="AOE1" s="292"/>
      <c r="AOF1" s="292"/>
      <c r="AOG1" s="292"/>
      <c r="AOH1" s="292"/>
      <c r="AOI1" s="292"/>
      <c r="AOJ1" s="292"/>
      <c r="AOK1" s="292"/>
      <c r="AOL1" s="292"/>
      <c r="AOM1" s="292"/>
      <c r="AON1" s="292"/>
      <c r="AOO1" s="292"/>
      <c r="AOP1" s="292"/>
      <c r="AOQ1" s="292"/>
      <c r="AOR1" s="292"/>
      <c r="AOS1" s="292"/>
      <c r="AOT1" s="292"/>
      <c r="AOU1" s="292"/>
      <c r="AOV1" s="292"/>
      <c r="AOW1" s="292"/>
      <c r="AOX1" s="292"/>
      <c r="AOY1" s="292"/>
      <c r="AOZ1" s="292"/>
      <c r="APA1" s="292"/>
      <c r="APB1" s="292"/>
      <c r="APC1" s="292"/>
      <c r="APD1" s="292"/>
      <c r="APE1" s="292"/>
      <c r="APF1" s="292"/>
      <c r="APG1" s="292"/>
      <c r="APH1" s="292"/>
      <c r="API1" s="292"/>
      <c r="APJ1" s="292"/>
      <c r="APK1" s="292"/>
      <c r="APL1" s="292"/>
      <c r="APM1" s="292"/>
      <c r="APN1" s="292"/>
      <c r="APO1" s="292"/>
      <c r="APP1" s="292"/>
      <c r="APQ1" s="292"/>
      <c r="APR1" s="292"/>
      <c r="APS1" s="292"/>
      <c r="APT1" s="292"/>
      <c r="APU1" s="292"/>
      <c r="APV1" s="292"/>
      <c r="APW1" s="292"/>
      <c r="APX1" s="292"/>
      <c r="APY1" s="292"/>
      <c r="APZ1" s="292"/>
      <c r="AQA1" s="292"/>
      <c r="AQB1" s="292"/>
      <c r="AQC1" s="292"/>
      <c r="AQD1" s="292"/>
      <c r="AQE1" s="292"/>
      <c r="AQF1" s="292"/>
      <c r="AQG1" s="292"/>
      <c r="AQH1" s="292"/>
      <c r="AQI1" s="292"/>
      <c r="AQJ1" s="292"/>
      <c r="AQK1" s="292"/>
      <c r="AQL1" s="292"/>
      <c r="AQM1" s="292"/>
      <c r="AQN1" s="292"/>
      <c r="AQO1" s="292"/>
      <c r="AQP1" s="292"/>
      <c r="AQQ1" s="292"/>
      <c r="AQR1" s="292"/>
      <c r="AQS1" s="292"/>
      <c r="AQT1" s="292"/>
      <c r="AQU1" s="292"/>
      <c r="AQV1" s="292"/>
      <c r="AQW1" s="292"/>
      <c r="AQX1" s="292"/>
      <c r="AQY1" s="292"/>
      <c r="AQZ1" s="292"/>
      <c r="ARA1" s="292"/>
      <c r="ARB1" s="292"/>
      <c r="ARC1" s="292"/>
      <c r="ARD1" s="292"/>
      <c r="ARE1" s="292"/>
      <c r="ARF1" s="292"/>
      <c r="ARG1" s="292"/>
      <c r="ARH1" s="292"/>
      <c r="ARI1" s="292"/>
      <c r="ARJ1" s="292"/>
      <c r="ARK1" s="292"/>
      <c r="ARL1" s="292"/>
      <c r="ARM1" s="292"/>
      <c r="ARN1" s="292"/>
      <c r="ARO1" s="292"/>
      <c r="ARP1" s="292"/>
      <c r="ARQ1" s="292"/>
      <c r="ARR1" s="292"/>
      <c r="ARS1" s="292"/>
      <c r="ART1" s="292"/>
      <c r="ARU1" s="292"/>
      <c r="ARV1" s="292"/>
      <c r="ARW1" s="292"/>
      <c r="ARX1" s="292"/>
      <c r="ARY1" s="292"/>
      <c r="ARZ1" s="292"/>
      <c r="ASA1" s="292"/>
      <c r="ASB1" s="292"/>
      <c r="ASC1" s="292"/>
      <c r="ASD1" s="292"/>
      <c r="ASE1" s="292"/>
      <c r="ASF1" s="292"/>
      <c r="ASG1" s="292"/>
      <c r="ASH1" s="292"/>
      <c r="ASI1" s="292"/>
      <c r="ASJ1" s="292"/>
      <c r="ASK1" s="292"/>
      <c r="ASL1" s="292"/>
      <c r="ASM1" s="292"/>
      <c r="ASN1" s="292"/>
      <c r="ASO1" s="292"/>
      <c r="ASP1" s="292"/>
      <c r="ASQ1" s="292"/>
      <c r="ASR1" s="292"/>
      <c r="ASS1" s="292"/>
      <c r="AST1" s="292"/>
      <c r="ASU1" s="292"/>
      <c r="ASV1" s="292"/>
      <c r="ASW1" s="292"/>
      <c r="ASX1" s="292"/>
      <c r="ASY1" s="292"/>
      <c r="ASZ1" s="292"/>
      <c r="ATA1" s="292"/>
      <c r="ATB1" s="292"/>
      <c r="ATC1" s="292"/>
      <c r="ATD1" s="292"/>
      <c r="ATE1" s="292"/>
      <c r="ATF1" s="292"/>
      <c r="ATG1" s="292"/>
      <c r="ATH1" s="292"/>
      <c r="ATI1" s="292"/>
      <c r="ATJ1" s="292"/>
      <c r="ATK1" s="292"/>
      <c r="ATL1" s="292"/>
      <c r="ATM1" s="292"/>
      <c r="ATN1" s="292"/>
      <c r="ATO1" s="292"/>
      <c r="ATP1" s="292"/>
      <c r="ATQ1" s="292"/>
      <c r="ATR1" s="292"/>
      <c r="ATS1" s="292"/>
      <c r="ATT1" s="292"/>
      <c r="ATU1" s="292"/>
      <c r="ATV1" s="292"/>
      <c r="ATW1" s="292"/>
      <c r="ATX1" s="292"/>
      <c r="ATY1" s="292"/>
      <c r="ATZ1" s="292"/>
      <c r="AUA1" s="292"/>
      <c r="AUB1" s="292"/>
      <c r="AUC1" s="292"/>
      <c r="AUD1" s="292"/>
      <c r="AUE1" s="292"/>
      <c r="AUF1" s="292"/>
      <c r="AUG1" s="292"/>
      <c r="AUH1" s="292"/>
      <c r="AUI1" s="292"/>
      <c r="AUJ1" s="292"/>
      <c r="AUK1" s="292"/>
      <c r="AUL1" s="292"/>
      <c r="AUM1" s="292"/>
      <c r="AUN1" s="292"/>
      <c r="AUO1" s="292"/>
      <c r="AUP1" s="292"/>
      <c r="AUQ1" s="292"/>
      <c r="AUR1" s="292"/>
      <c r="AUS1" s="292"/>
      <c r="AUT1" s="292"/>
      <c r="AUU1" s="292"/>
      <c r="AUV1" s="292"/>
      <c r="AUW1" s="292"/>
      <c r="AUX1" s="292"/>
      <c r="AUY1" s="292"/>
      <c r="AUZ1" s="292"/>
      <c r="AVA1" s="292"/>
      <c r="AVB1" s="292"/>
      <c r="AVC1" s="292"/>
      <c r="AVD1" s="292"/>
      <c r="AVE1" s="292"/>
      <c r="AVF1" s="292"/>
      <c r="AVG1" s="292"/>
      <c r="AVH1" s="292"/>
      <c r="AVI1" s="292"/>
      <c r="AVJ1" s="292"/>
      <c r="AVK1" s="292"/>
      <c r="AVL1" s="292"/>
      <c r="AVM1" s="292"/>
      <c r="AVN1" s="292"/>
      <c r="AVO1" s="292"/>
      <c r="AVP1" s="292"/>
      <c r="AVQ1" s="292"/>
      <c r="AVR1" s="292"/>
      <c r="AVS1" s="292"/>
      <c r="AVT1" s="292"/>
      <c r="AVU1" s="292"/>
      <c r="AVV1" s="292"/>
      <c r="AVW1" s="292"/>
      <c r="AVX1" s="292"/>
      <c r="AVY1" s="292"/>
      <c r="AVZ1" s="292"/>
      <c r="AWA1" s="292"/>
      <c r="AWB1" s="292"/>
      <c r="AWC1" s="292"/>
      <c r="AWD1" s="292"/>
      <c r="AWE1" s="292"/>
      <c r="AWF1" s="292"/>
      <c r="AWG1" s="292"/>
      <c r="AWH1" s="292"/>
      <c r="AWI1" s="292"/>
      <c r="AWJ1" s="292"/>
      <c r="AWK1" s="292"/>
      <c r="AWL1" s="292"/>
      <c r="AWM1" s="292"/>
      <c r="AWN1" s="292"/>
      <c r="AWO1" s="292"/>
      <c r="AWP1" s="292"/>
      <c r="AWQ1" s="292"/>
      <c r="AWR1" s="292"/>
      <c r="AWS1" s="292"/>
      <c r="AWT1" s="292"/>
      <c r="AWU1" s="292"/>
      <c r="AWV1" s="292"/>
      <c r="AWW1" s="292"/>
      <c r="AWX1" s="292"/>
      <c r="AWY1" s="292"/>
      <c r="AWZ1" s="292"/>
      <c r="AXA1" s="292"/>
      <c r="AXB1" s="292"/>
      <c r="AXC1" s="292"/>
      <c r="AXD1" s="292"/>
      <c r="AXE1" s="292"/>
      <c r="AXF1" s="292"/>
      <c r="AXG1" s="292"/>
      <c r="AXH1" s="292"/>
      <c r="AXI1" s="292"/>
      <c r="AXJ1" s="292"/>
      <c r="AXK1" s="292"/>
      <c r="AXL1" s="292"/>
      <c r="AXM1" s="292"/>
      <c r="AXN1" s="292"/>
      <c r="AXO1" s="292"/>
      <c r="AXP1" s="292"/>
      <c r="AXQ1" s="292"/>
      <c r="AXR1" s="292"/>
      <c r="AXS1" s="292"/>
      <c r="AXT1" s="292"/>
      <c r="AXU1" s="292"/>
      <c r="AXV1" s="292"/>
      <c r="AXW1" s="292"/>
      <c r="AXX1" s="292"/>
      <c r="AXY1" s="292"/>
      <c r="AXZ1" s="292"/>
      <c r="AYA1" s="292"/>
      <c r="AYB1" s="292"/>
      <c r="AYC1" s="292"/>
      <c r="AYD1" s="292"/>
      <c r="AYE1" s="292"/>
      <c r="AYF1" s="292"/>
      <c r="AYG1" s="292"/>
      <c r="AYH1" s="292"/>
      <c r="AYI1" s="292"/>
      <c r="AYJ1" s="292"/>
      <c r="AYK1" s="292"/>
      <c r="AYL1" s="292"/>
      <c r="AYM1" s="292"/>
      <c r="AYN1" s="292"/>
      <c r="AYO1" s="292"/>
      <c r="AYP1" s="292"/>
      <c r="AYQ1" s="292"/>
      <c r="AYR1" s="292"/>
      <c r="AYS1" s="292"/>
      <c r="AYT1" s="292"/>
      <c r="AYU1" s="292"/>
      <c r="AYV1" s="292"/>
      <c r="AYW1" s="292"/>
      <c r="AYX1" s="292"/>
      <c r="AYY1" s="292"/>
      <c r="AYZ1" s="292"/>
      <c r="AZA1" s="292"/>
      <c r="AZB1" s="292"/>
      <c r="AZC1" s="292"/>
      <c r="AZD1" s="292"/>
      <c r="AZE1" s="292"/>
      <c r="AZF1" s="292"/>
      <c r="AZG1" s="292"/>
      <c r="AZH1" s="292"/>
      <c r="AZI1" s="292"/>
      <c r="AZJ1" s="292"/>
      <c r="AZK1" s="292"/>
      <c r="AZL1" s="292"/>
      <c r="AZM1" s="292"/>
      <c r="AZN1" s="292"/>
      <c r="AZO1" s="292"/>
      <c r="AZP1" s="292"/>
      <c r="AZQ1" s="292"/>
      <c r="AZR1" s="292"/>
      <c r="AZS1" s="292"/>
      <c r="AZT1" s="292"/>
      <c r="AZU1" s="292"/>
      <c r="AZV1" s="292"/>
      <c r="AZW1" s="292"/>
      <c r="AZX1" s="292"/>
      <c r="AZY1" s="292"/>
      <c r="AZZ1" s="292"/>
      <c r="BAA1" s="292"/>
      <c r="BAB1" s="292"/>
      <c r="BAC1" s="292"/>
      <c r="BAD1" s="292"/>
      <c r="BAE1" s="292"/>
      <c r="BAF1" s="292"/>
      <c r="BAG1" s="292"/>
      <c r="BAH1" s="292"/>
      <c r="BAI1" s="292"/>
      <c r="BAJ1" s="292"/>
      <c r="BAK1" s="292"/>
      <c r="BAL1" s="292"/>
      <c r="BAM1" s="292"/>
      <c r="BAN1" s="292"/>
      <c r="BAO1" s="292"/>
      <c r="BAP1" s="292"/>
      <c r="BAQ1" s="292"/>
      <c r="BAR1" s="292"/>
      <c r="BAS1" s="292"/>
      <c r="BAT1" s="292"/>
      <c r="BAU1" s="292"/>
      <c r="BAV1" s="292"/>
      <c r="BAW1" s="292"/>
      <c r="BAX1" s="292"/>
      <c r="BAY1" s="292"/>
      <c r="BAZ1" s="292"/>
      <c r="BBA1" s="292"/>
      <c r="BBB1" s="292"/>
      <c r="BBC1" s="292"/>
      <c r="BBD1" s="292"/>
      <c r="BBE1" s="292"/>
      <c r="BBF1" s="292"/>
      <c r="BBG1" s="292"/>
      <c r="BBH1" s="292"/>
      <c r="BBI1" s="292"/>
      <c r="BBJ1" s="292"/>
      <c r="BBK1" s="292"/>
      <c r="BBL1" s="292"/>
      <c r="BBM1" s="292"/>
      <c r="BBN1" s="292"/>
      <c r="BBO1" s="292"/>
      <c r="BBP1" s="292"/>
      <c r="BBQ1" s="292"/>
      <c r="BBR1" s="292"/>
      <c r="BBS1" s="292"/>
      <c r="BBT1" s="292"/>
      <c r="BBU1" s="292"/>
      <c r="BBV1" s="292"/>
      <c r="BBW1" s="292"/>
      <c r="BBX1" s="292"/>
      <c r="BBY1" s="292"/>
      <c r="BBZ1" s="292"/>
      <c r="BCA1" s="292"/>
      <c r="BCB1" s="292"/>
      <c r="BCC1" s="292"/>
      <c r="BCD1" s="292"/>
      <c r="BCE1" s="292"/>
      <c r="BCF1" s="292"/>
      <c r="BCG1" s="292"/>
      <c r="BCH1" s="292"/>
      <c r="BCI1" s="292"/>
      <c r="BCJ1" s="292"/>
      <c r="BCK1" s="292"/>
      <c r="BCL1" s="292"/>
      <c r="BCM1" s="292"/>
      <c r="BCN1" s="292"/>
      <c r="BCO1" s="292"/>
      <c r="BCP1" s="292"/>
      <c r="BCQ1" s="292"/>
      <c r="BCR1" s="292"/>
      <c r="BCS1" s="292"/>
      <c r="BCT1" s="292"/>
      <c r="BCU1" s="292"/>
      <c r="BCV1" s="292"/>
      <c r="BCW1" s="292"/>
      <c r="BCX1" s="292"/>
      <c r="BCY1" s="292"/>
      <c r="BCZ1" s="292"/>
      <c r="BDA1" s="292"/>
      <c r="BDB1" s="292"/>
      <c r="BDC1" s="292"/>
      <c r="BDD1" s="292"/>
      <c r="BDE1" s="292"/>
      <c r="BDF1" s="292"/>
      <c r="BDG1" s="292"/>
      <c r="BDH1" s="292"/>
      <c r="BDI1" s="292"/>
      <c r="BDJ1" s="292"/>
      <c r="BDK1" s="292"/>
      <c r="BDL1" s="292"/>
      <c r="BDM1" s="292"/>
      <c r="BDN1" s="292"/>
      <c r="BDO1" s="292"/>
      <c r="BDP1" s="292"/>
      <c r="BDQ1" s="292"/>
      <c r="BDR1" s="292"/>
      <c r="BDS1" s="292"/>
      <c r="BDT1" s="292"/>
      <c r="BDU1" s="292"/>
      <c r="BDV1" s="292"/>
      <c r="BDW1" s="292"/>
      <c r="BDX1" s="292"/>
      <c r="BDY1" s="292"/>
      <c r="BDZ1" s="292"/>
      <c r="BEA1" s="292"/>
      <c r="BEB1" s="292"/>
      <c r="BEC1" s="292"/>
      <c r="BED1" s="292"/>
      <c r="BEE1" s="292"/>
      <c r="BEF1" s="292"/>
      <c r="BEG1" s="292"/>
      <c r="BEH1" s="292"/>
      <c r="BEI1" s="292"/>
      <c r="BEJ1" s="292"/>
      <c r="BEK1" s="292"/>
      <c r="BEL1" s="292"/>
      <c r="BEM1" s="292"/>
      <c r="BEN1" s="292"/>
      <c r="BEO1" s="292"/>
      <c r="BEP1" s="292"/>
      <c r="BEQ1" s="292"/>
      <c r="BER1" s="292"/>
      <c r="BES1" s="292"/>
      <c r="BET1" s="292"/>
      <c r="BEU1" s="292"/>
      <c r="BEV1" s="292"/>
      <c r="BEW1" s="292"/>
      <c r="BEX1" s="292"/>
      <c r="BEY1" s="292"/>
      <c r="BEZ1" s="292"/>
      <c r="BFA1" s="292"/>
      <c r="BFB1" s="292"/>
      <c r="BFC1" s="292"/>
      <c r="BFD1" s="292"/>
      <c r="BFE1" s="292"/>
      <c r="BFF1" s="292"/>
      <c r="BFG1" s="292"/>
      <c r="BFH1" s="292"/>
      <c r="BFI1" s="292"/>
      <c r="BFJ1" s="292"/>
      <c r="BFK1" s="292"/>
      <c r="BFL1" s="292"/>
      <c r="BFM1" s="292"/>
      <c r="BFN1" s="292"/>
      <c r="BFO1" s="292"/>
      <c r="BFP1" s="292"/>
      <c r="BFQ1" s="292"/>
      <c r="BFR1" s="292"/>
      <c r="BFS1" s="292"/>
      <c r="BFT1" s="292"/>
      <c r="BFU1" s="292"/>
      <c r="BFV1" s="292"/>
      <c r="BFW1" s="292"/>
      <c r="BFX1" s="292"/>
      <c r="BFY1" s="292"/>
      <c r="BFZ1" s="292"/>
      <c r="BGA1" s="292"/>
      <c r="BGB1" s="292"/>
      <c r="BGC1" s="292"/>
      <c r="BGD1" s="292"/>
      <c r="BGE1" s="292"/>
      <c r="BGF1" s="292"/>
      <c r="BGG1" s="292"/>
      <c r="BGH1" s="292"/>
      <c r="BGI1" s="292"/>
      <c r="BGJ1" s="292"/>
      <c r="BGK1" s="292"/>
      <c r="BGL1" s="292"/>
      <c r="BGM1" s="292"/>
      <c r="BGN1" s="292"/>
      <c r="BGO1" s="292"/>
      <c r="BGP1" s="292"/>
      <c r="BGQ1" s="292"/>
      <c r="BGR1" s="292"/>
      <c r="BGS1" s="292"/>
      <c r="BGT1" s="292"/>
      <c r="BGU1" s="292"/>
      <c r="BGV1" s="292"/>
      <c r="BGW1" s="292"/>
      <c r="BGX1" s="292"/>
      <c r="BGY1" s="292"/>
      <c r="BGZ1" s="292"/>
      <c r="BHA1" s="292"/>
      <c r="BHB1" s="292"/>
      <c r="BHC1" s="292"/>
      <c r="BHD1" s="292"/>
      <c r="BHE1" s="292"/>
      <c r="BHF1" s="292"/>
      <c r="BHG1" s="292"/>
      <c r="BHH1" s="292"/>
      <c r="BHI1" s="292"/>
      <c r="BHJ1" s="292"/>
      <c r="BHK1" s="292"/>
      <c r="BHL1" s="292"/>
      <c r="BHM1" s="292"/>
      <c r="BHN1" s="292"/>
      <c r="BHO1" s="292"/>
      <c r="BHP1" s="292"/>
      <c r="BHQ1" s="292"/>
      <c r="BHR1" s="292"/>
      <c r="BHS1" s="292"/>
      <c r="BHT1" s="292"/>
      <c r="BHU1" s="292"/>
      <c r="BHV1" s="292"/>
      <c r="BHW1" s="292"/>
      <c r="BHX1" s="292"/>
      <c r="BHY1" s="292"/>
      <c r="BHZ1" s="292"/>
      <c r="BIA1" s="292"/>
      <c r="BIB1" s="292"/>
      <c r="BIC1" s="292"/>
      <c r="BID1" s="292"/>
      <c r="BIE1" s="292"/>
      <c r="BIF1" s="292"/>
      <c r="BIG1" s="292"/>
      <c r="BIH1" s="292"/>
      <c r="BII1" s="292"/>
      <c r="BIJ1" s="292"/>
      <c r="BIK1" s="292"/>
      <c r="BIL1" s="292"/>
      <c r="BIM1" s="292"/>
      <c r="BIN1" s="292"/>
      <c r="BIO1" s="292"/>
      <c r="BIP1" s="292"/>
      <c r="BIQ1" s="292"/>
      <c r="BIR1" s="292"/>
      <c r="BIS1" s="292"/>
      <c r="BIT1" s="292"/>
      <c r="BIU1" s="292"/>
      <c r="BIV1" s="292"/>
      <c r="BIW1" s="292"/>
      <c r="BIX1" s="292"/>
      <c r="BIY1" s="292"/>
      <c r="BIZ1" s="292"/>
      <c r="BJA1" s="292"/>
      <c r="BJB1" s="292"/>
      <c r="BJC1" s="292"/>
      <c r="BJD1" s="292"/>
      <c r="BJE1" s="292"/>
      <c r="BJF1" s="292"/>
      <c r="BJG1" s="292"/>
      <c r="BJH1" s="292"/>
      <c r="BJI1" s="292"/>
      <c r="BJJ1" s="292"/>
      <c r="BJK1" s="292"/>
      <c r="BJL1" s="292"/>
      <c r="BJM1" s="292"/>
      <c r="BJN1" s="292"/>
      <c r="BJO1" s="292"/>
      <c r="BJP1" s="292"/>
      <c r="BJQ1" s="292"/>
      <c r="BJR1" s="292"/>
      <c r="BJS1" s="292"/>
      <c r="BJT1" s="292"/>
      <c r="BJU1" s="292"/>
      <c r="BJV1" s="292"/>
      <c r="BJW1" s="292"/>
      <c r="BJX1" s="292"/>
      <c r="BJY1" s="292"/>
      <c r="BJZ1" s="292"/>
      <c r="BKA1" s="292"/>
      <c r="BKB1" s="292"/>
      <c r="BKC1" s="292"/>
      <c r="BKD1" s="292"/>
      <c r="BKE1" s="292"/>
      <c r="BKF1" s="292"/>
      <c r="BKG1" s="292"/>
      <c r="BKH1" s="292"/>
      <c r="BKI1" s="292"/>
      <c r="BKJ1" s="292"/>
      <c r="BKK1" s="292"/>
      <c r="BKL1" s="292"/>
      <c r="BKM1" s="292"/>
      <c r="BKN1" s="292"/>
      <c r="BKO1" s="292"/>
      <c r="BKP1" s="292"/>
      <c r="BKQ1" s="292"/>
      <c r="BKR1" s="292"/>
      <c r="BKS1" s="292"/>
      <c r="BKT1" s="292"/>
      <c r="BKU1" s="292"/>
      <c r="BKV1" s="292"/>
      <c r="BKW1" s="292"/>
      <c r="BKX1" s="292"/>
      <c r="BKY1" s="292"/>
      <c r="BKZ1" s="292"/>
      <c r="BLA1" s="292"/>
      <c r="BLB1" s="292"/>
      <c r="BLC1" s="292"/>
      <c r="BLD1" s="292"/>
      <c r="BLE1" s="292"/>
      <c r="BLF1" s="292"/>
      <c r="BLG1" s="292"/>
      <c r="BLH1" s="292"/>
      <c r="BLI1" s="292"/>
      <c r="BLJ1" s="292"/>
      <c r="BLK1" s="292"/>
      <c r="BLL1" s="292"/>
      <c r="BLM1" s="292"/>
      <c r="BLN1" s="292"/>
      <c r="BLO1" s="292"/>
      <c r="BLP1" s="292"/>
      <c r="BLQ1" s="292"/>
      <c r="BLR1" s="292"/>
      <c r="BLS1" s="292"/>
      <c r="BLT1" s="292"/>
      <c r="BLU1" s="292"/>
      <c r="BLV1" s="292"/>
      <c r="BLW1" s="292"/>
      <c r="BLX1" s="292"/>
      <c r="BLY1" s="292"/>
      <c r="BLZ1" s="292"/>
      <c r="BMA1" s="292"/>
      <c r="BMB1" s="292"/>
      <c r="BMC1" s="292"/>
      <c r="BMD1" s="292"/>
      <c r="BME1" s="292"/>
      <c r="BMF1" s="292"/>
      <c r="BMG1" s="292"/>
      <c r="BMH1" s="292"/>
      <c r="BMI1" s="292"/>
      <c r="BMJ1" s="292"/>
      <c r="BMK1" s="292"/>
      <c r="BML1" s="292"/>
      <c r="BMM1" s="292"/>
      <c r="BMN1" s="292"/>
      <c r="BMO1" s="292"/>
      <c r="BMP1" s="292"/>
      <c r="BMQ1" s="292"/>
      <c r="BMR1" s="292"/>
      <c r="BMS1" s="292"/>
      <c r="BMT1" s="292"/>
      <c r="BMU1" s="292"/>
      <c r="BMV1" s="292"/>
      <c r="BMW1" s="292"/>
      <c r="BMX1" s="292"/>
      <c r="BMY1" s="292"/>
      <c r="BMZ1" s="292"/>
      <c r="BNA1" s="292"/>
      <c r="BNB1" s="292"/>
      <c r="BNC1" s="292"/>
      <c r="BND1" s="292"/>
      <c r="BNE1" s="292"/>
      <c r="BNF1" s="292"/>
      <c r="BNG1" s="292"/>
      <c r="BNH1" s="292"/>
      <c r="BNI1" s="292"/>
      <c r="BNJ1" s="292"/>
      <c r="BNK1" s="292"/>
      <c r="BNL1" s="292"/>
      <c r="BNM1" s="292"/>
      <c r="BNN1" s="292"/>
      <c r="BNO1" s="292"/>
      <c r="BNP1" s="292"/>
      <c r="BNQ1" s="292"/>
      <c r="BNR1" s="292"/>
      <c r="BNS1" s="292"/>
      <c r="BNT1" s="292"/>
      <c r="BNU1" s="292"/>
      <c r="BNV1" s="292"/>
      <c r="BNW1" s="292"/>
      <c r="BNX1" s="292"/>
      <c r="BNY1" s="292"/>
      <c r="BNZ1" s="292"/>
      <c r="BOA1" s="292"/>
      <c r="BOB1" s="292"/>
      <c r="BOC1" s="292"/>
      <c r="BOD1" s="292"/>
      <c r="BOE1" s="292"/>
      <c r="BOF1" s="292"/>
      <c r="BOG1" s="292"/>
      <c r="BOH1" s="292"/>
      <c r="BOI1" s="292"/>
      <c r="BOJ1" s="292"/>
      <c r="BOK1" s="292"/>
      <c r="BOL1" s="292"/>
      <c r="BOM1" s="292"/>
      <c r="BON1" s="292"/>
      <c r="BOO1" s="292"/>
      <c r="BOP1" s="292"/>
      <c r="BOQ1" s="292"/>
      <c r="BOR1" s="292"/>
      <c r="BOS1" s="292"/>
      <c r="BOT1" s="292"/>
      <c r="BOU1" s="292"/>
      <c r="BOV1" s="292"/>
      <c r="BOW1" s="292"/>
      <c r="BOX1" s="292"/>
      <c r="BOY1" s="292"/>
      <c r="BOZ1" s="292"/>
      <c r="BPA1" s="292"/>
      <c r="BPB1" s="292"/>
      <c r="BPC1" s="292"/>
      <c r="BPD1" s="292"/>
      <c r="BPE1" s="292"/>
      <c r="BPF1" s="292"/>
      <c r="BPG1" s="292"/>
      <c r="BPH1" s="292"/>
      <c r="BPI1" s="292"/>
      <c r="BPJ1" s="292"/>
      <c r="BPK1" s="292"/>
      <c r="BPL1" s="292"/>
      <c r="BPM1" s="292"/>
      <c r="BPN1" s="292"/>
      <c r="BPO1" s="292"/>
      <c r="BPP1" s="292"/>
      <c r="BPQ1" s="292"/>
      <c r="BPR1" s="292"/>
      <c r="BPS1" s="292"/>
      <c r="BPT1" s="292"/>
      <c r="BPU1" s="292"/>
      <c r="BPV1" s="292"/>
      <c r="BPW1" s="292"/>
      <c r="BPX1" s="292"/>
      <c r="BPY1" s="292"/>
      <c r="BPZ1" s="292"/>
      <c r="BQA1" s="292"/>
      <c r="BQB1" s="292"/>
      <c r="BQC1" s="292"/>
      <c r="BQD1" s="292"/>
      <c r="BQE1" s="292"/>
      <c r="BQF1" s="292"/>
      <c r="BQG1" s="292"/>
      <c r="BQH1" s="292"/>
      <c r="BQI1" s="292"/>
      <c r="BQJ1" s="292"/>
      <c r="BQK1" s="292"/>
      <c r="BQL1" s="292"/>
      <c r="BQM1" s="292"/>
      <c r="BQN1" s="292"/>
      <c r="BQO1" s="292"/>
      <c r="BQP1" s="292"/>
      <c r="BQQ1" s="292"/>
      <c r="BQR1" s="292"/>
      <c r="BQS1" s="292"/>
      <c r="BQT1" s="292"/>
      <c r="BQU1" s="292"/>
      <c r="BQV1" s="292"/>
      <c r="BQW1" s="292"/>
      <c r="BQX1" s="292"/>
      <c r="BQY1" s="292"/>
      <c r="BQZ1" s="292"/>
      <c r="BRA1" s="292"/>
      <c r="BRB1" s="292"/>
      <c r="BRC1" s="292"/>
      <c r="BRD1" s="292"/>
      <c r="BRE1" s="292"/>
      <c r="BRF1" s="292"/>
      <c r="BRG1" s="292"/>
      <c r="BRH1" s="292"/>
      <c r="BRI1" s="292"/>
      <c r="BRJ1" s="292"/>
      <c r="BRK1" s="292"/>
      <c r="BRL1" s="292"/>
      <c r="BRM1" s="292"/>
      <c r="BRN1" s="292"/>
      <c r="BRO1" s="292"/>
      <c r="BRP1" s="292"/>
      <c r="BRQ1" s="292"/>
      <c r="BRR1" s="292"/>
      <c r="BRS1" s="292"/>
      <c r="BRT1" s="292"/>
      <c r="BRU1" s="292"/>
      <c r="BRV1" s="292"/>
      <c r="BRW1" s="292"/>
      <c r="BRX1" s="292"/>
      <c r="BRY1" s="292"/>
      <c r="BRZ1" s="292"/>
      <c r="BSA1" s="292"/>
      <c r="BSB1" s="292"/>
      <c r="BSC1" s="292"/>
      <c r="BSD1" s="292"/>
      <c r="BSE1" s="292"/>
      <c r="BSF1" s="292"/>
      <c r="BSG1" s="292"/>
      <c r="BSH1" s="292"/>
      <c r="BSI1" s="292"/>
      <c r="BSJ1" s="292"/>
      <c r="BSK1" s="292"/>
      <c r="BSL1" s="292"/>
      <c r="BSM1" s="292"/>
      <c r="BSN1" s="292"/>
      <c r="BSO1" s="292"/>
      <c r="BSP1" s="292"/>
      <c r="BSQ1" s="292"/>
      <c r="BSR1" s="292"/>
      <c r="BSS1" s="292"/>
      <c r="BST1" s="292"/>
      <c r="BSU1" s="292"/>
      <c r="BSV1" s="292"/>
      <c r="BSW1" s="292"/>
      <c r="BSX1" s="292"/>
      <c r="BSY1" s="292"/>
      <c r="BSZ1" s="292"/>
      <c r="BTA1" s="292"/>
      <c r="BTB1" s="292"/>
      <c r="BTC1" s="292"/>
      <c r="BTD1" s="292"/>
      <c r="BTE1" s="292"/>
      <c r="BTF1" s="292"/>
      <c r="BTG1" s="292"/>
      <c r="BTH1" s="292"/>
      <c r="BTI1" s="292"/>
      <c r="BTJ1" s="292"/>
      <c r="BTK1" s="292"/>
      <c r="BTL1" s="292"/>
      <c r="BTM1" s="292"/>
      <c r="BTN1" s="292"/>
      <c r="BTO1" s="292"/>
      <c r="BTP1" s="292"/>
      <c r="BTQ1" s="292"/>
      <c r="BTR1" s="292"/>
      <c r="BTS1" s="292"/>
      <c r="BTT1" s="292"/>
      <c r="BTU1" s="292"/>
      <c r="BTV1" s="292"/>
      <c r="BTW1" s="292"/>
      <c r="BTX1" s="292"/>
      <c r="BTY1" s="292"/>
      <c r="BTZ1" s="292"/>
      <c r="BUA1" s="292"/>
      <c r="BUB1" s="292"/>
      <c r="BUC1" s="292"/>
      <c r="BUD1" s="292"/>
      <c r="BUE1" s="292"/>
      <c r="BUF1" s="292"/>
      <c r="BUG1" s="292"/>
      <c r="BUH1" s="292"/>
      <c r="BUI1" s="292"/>
      <c r="BUJ1" s="292"/>
      <c r="BUK1" s="292"/>
      <c r="BUL1" s="292"/>
      <c r="BUM1" s="292"/>
      <c r="BUN1" s="292"/>
      <c r="BUO1" s="292"/>
      <c r="BUP1" s="292"/>
      <c r="BUQ1" s="292"/>
      <c r="BUR1" s="292"/>
      <c r="BUS1" s="292"/>
      <c r="BUT1" s="292"/>
      <c r="BUU1" s="292"/>
      <c r="BUV1" s="292"/>
      <c r="BUW1" s="292"/>
      <c r="BUX1" s="292"/>
      <c r="BUY1" s="292"/>
      <c r="BUZ1" s="292"/>
      <c r="BVA1" s="292"/>
      <c r="BVB1" s="292"/>
      <c r="BVC1" s="292"/>
      <c r="BVD1" s="292"/>
      <c r="BVE1" s="292"/>
      <c r="BVF1" s="292"/>
      <c r="BVG1" s="292"/>
      <c r="BVH1" s="292"/>
      <c r="BVI1" s="292"/>
      <c r="BVJ1" s="292"/>
      <c r="BVK1" s="292"/>
      <c r="BVL1" s="292"/>
      <c r="BVM1" s="292"/>
      <c r="BVN1" s="292"/>
      <c r="BVO1" s="292"/>
      <c r="BVP1" s="292"/>
      <c r="BVQ1" s="292"/>
      <c r="BVR1" s="292"/>
      <c r="BVS1" s="292"/>
      <c r="BVT1" s="292"/>
      <c r="BVU1" s="292"/>
      <c r="BVV1" s="292"/>
      <c r="BVW1" s="292"/>
      <c r="BVX1" s="292"/>
      <c r="BVY1" s="292"/>
      <c r="BVZ1" s="292"/>
      <c r="BWA1" s="292"/>
      <c r="BWB1" s="292"/>
      <c r="BWC1" s="292"/>
      <c r="BWD1" s="292"/>
      <c r="BWE1" s="292"/>
      <c r="BWF1" s="292"/>
      <c r="BWG1" s="292"/>
      <c r="BWH1" s="292"/>
      <c r="BWI1" s="292"/>
      <c r="BWJ1" s="292"/>
      <c r="BWK1" s="292"/>
      <c r="BWL1" s="292"/>
      <c r="BWM1" s="292"/>
      <c r="BWN1" s="292"/>
      <c r="BWO1" s="292"/>
      <c r="BWP1" s="292"/>
      <c r="BWQ1" s="292"/>
      <c r="BWR1" s="292"/>
      <c r="BWS1" s="292"/>
      <c r="BWT1" s="292"/>
      <c r="BWU1" s="292"/>
      <c r="BWV1" s="292"/>
      <c r="BWW1" s="292"/>
      <c r="BWX1" s="292"/>
      <c r="BWY1" s="292"/>
      <c r="BWZ1" s="292"/>
      <c r="BXA1" s="292"/>
      <c r="BXB1" s="292"/>
      <c r="BXC1" s="292"/>
      <c r="BXD1" s="292"/>
      <c r="BXE1" s="292"/>
      <c r="BXF1" s="292"/>
      <c r="BXG1" s="292"/>
      <c r="BXH1" s="292"/>
      <c r="BXI1" s="292"/>
      <c r="BXJ1" s="292"/>
      <c r="BXK1" s="292"/>
      <c r="BXL1" s="292"/>
      <c r="BXM1" s="292"/>
      <c r="BXN1" s="292"/>
      <c r="BXO1" s="292"/>
      <c r="BXP1" s="292"/>
      <c r="BXQ1" s="292"/>
      <c r="BXR1" s="292"/>
      <c r="BXS1" s="292"/>
      <c r="BXT1" s="292"/>
      <c r="BXU1" s="292"/>
      <c r="BXV1" s="292"/>
      <c r="BXW1" s="292"/>
      <c r="BXX1" s="292"/>
      <c r="BXY1" s="292"/>
      <c r="BXZ1" s="292"/>
      <c r="BYA1" s="292"/>
      <c r="BYB1" s="292"/>
      <c r="BYC1" s="292"/>
      <c r="BYD1" s="292"/>
      <c r="BYE1" s="292"/>
      <c r="BYF1" s="292"/>
      <c r="BYG1" s="292"/>
      <c r="BYH1" s="292"/>
      <c r="BYI1" s="292"/>
      <c r="BYJ1" s="292"/>
      <c r="BYK1" s="292"/>
      <c r="BYL1" s="292"/>
      <c r="BYM1" s="292"/>
      <c r="BYN1" s="292"/>
      <c r="BYO1" s="292"/>
      <c r="BYP1" s="292"/>
      <c r="BYQ1" s="292"/>
      <c r="BYR1" s="292"/>
      <c r="BYS1" s="292"/>
      <c r="BYT1" s="292"/>
      <c r="BYU1" s="292"/>
      <c r="BYV1" s="292"/>
      <c r="BYW1" s="292"/>
      <c r="BYX1" s="292"/>
      <c r="BYY1" s="292"/>
      <c r="BYZ1" s="292"/>
      <c r="BZA1" s="292"/>
      <c r="BZB1" s="292"/>
      <c r="BZC1" s="292"/>
      <c r="BZD1" s="292"/>
      <c r="BZE1" s="292"/>
      <c r="BZF1" s="292"/>
      <c r="BZG1" s="292"/>
      <c r="BZH1" s="292"/>
      <c r="BZI1" s="292"/>
      <c r="BZJ1" s="292"/>
      <c r="BZK1" s="292"/>
      <c r="BZL1" s="292"/>
      <c r="BZM1" s="292"/>
      <c r="BZN1" s="292"/>
      <c r="BZO1" s="292"/>
      <c r="BZP1" s="292"/>
      <c r="BZQ1" s="292"/>
      <c r="BZR1" s="292"/>
      <c r="BZS1" s="292"/>
      <c r="BZT1" s="292"/>
      <c r="BZU1" s="292"/>
      <c r="BZV1" s="292"/>
      <c r="BZW1" s="292"/>
      <c r="BZX1" s="292"/>
      <c r="BZY1" s="292"/>
      <c r="BZZ1" s="292"/>
      <c r="CAA1" s="292"/>
      <c r="CAB1" s="292"/>
      <c r="CAC1" s="292"/>
      <c r="CAD1" s="292"/>
      <c r="CAE1" s="292"/>
      <c r="CAF1" s="292"/>
      <c r="CAG1" s="292"/>
      <c r="CAH1" s="292"/>
      <c r="CAI1" s="292"/>
      <c r="CAJ1" s="292"/>
      <c r="CAK1" s="292"/>
      <c r="CAL1" s="292"/>
      <c r="CAM1" s="292"/>
      <c r="CAN1" s="292"/>
      <c r="CAO1" s="292"/>
      <c r="CAP1" s="292"/>
      <c r="CAQ1" s="292"/>
      <c r="CAR1" s="292"/>
      <c r="CAS1" s="292"/>
      <c r="CAT1" s="292"/>
      <c r="CAU1" s="292"/>
      <c r="CAV1" s="292"/>
      <c r="CAW1" s="292"/>
      <c r="CAX1" s="292"/>
      <c r="CAY1" s="292"/>
      <c r="CAZ1" s="292"/>
      <c r="CBA1" s="292"/>
      <c r="CBB1" s="292"/>
      <c r="CBC1" s="292"/>
      <c r="CBD1" s="292"/>
      <c r="CBE1" s="292"/>
      <c r="CBF1" s="292"/>
      <c r="CBG1" s="292"/>
      <c r="CBH1" s="292"/>
      <c r="CBI1" s="292"/>
      <c r="CBJ1" s="292"/>
      <c r="CBK1" s="292"/>
      <c r="CBL1" s="292"/>
      <c r="CBM1" s="292"/>
      <c r="CBN1" s="292"/>
      <c r="CBO1" s="292"/>
      <c r="CBP1" s="292"/>
      <c r="CBQ1" s="292"/>
      <c r="CBR1" s="292"/>
      <c r="CBS1" s="292"/>
      <c r="CBT1" s="292"/>
      <c r="CBU1" s="292"/>
      <c r="CBV1" s="292"/>
      <c r="CBW1" s="292"/>
      <c r="CBX1" s="292"/>
      <c r="CBY1" s="292"/>
      <c r="CBZ1" s="292"/>
      <c r="CCA1" s="292"/>
      <c r="CCB1" s="292"/>
      <c r="CCC1" s="292"/>
      <c r="CCD1" s="292"/>
      <c r="CCE1" s="292"/>
      <c r="CCF1" s="292"/>
      <c r="CCG1" s="292"/>
      <c r="CCH1" s="292"/>
      <c r="CCI1" s="292"/>
      <c r="CCJ1" s="292"/>
      <c r="CCK1" s="292"/>
      <c r="CCL1" s="292"/>
      <c r="CCM1" s="292"/>
      <c r="CCN1" s="292"/>
      <c r="CCO1" s="292"/>
      <c r="CCP1" s="292"/>
      <c r="CCQ1" s="292"/>
      <c r="CCR1" s="292"/>
      <c r="CCS1" s="292"/>
      <c r="CCT1" s="292"/>
      <c r="CCU1" s="292"/>
      <c r="CCV1" s="292"/>
      <c r="CCW1" s="292"/>
      <c r="CCX1" s="292"/>
      <c r="CCY1" s="292"/>
      <c r="CCZ1" s="292"/>
      <c r="CDA1" s="292"/>
      <c r="CDB1" s="292"/>
      <c r="CDC1" s="292"/>
      <c r="CDD1" s="292"/>
      <c r="CDE1" s="292"/>
      <c r="CDF1" s="292"/>
      <c r="CDG1" s="292"/>
      <c r="CDH1" s="292"/>
      <c r="CDI1" s="292"/>
      <c r="CDJ1" s="292"/>
      <c r="CDK1" s="292"/>
      <c r="CDL1" s="292"/>
      <c r="CDM1" s="292"/>
      <c r="CDN1" s="292"/>
      <c r="CDO1" s="292"/>
      <c r="CDP1" s="292"/>
      <c r="CDQ1" s="292"/>
      <c r="CDR1" s="292"/>
      <c r="CDS1" s="292"/>
      <c r="CDT1" s="292"/>
      <c r="CDU1" s="292"/>
      <c r="CDV1" s="292"/>
      <c r="CDW1" s="292"/>
      <c r="CDX1" s="292"/>
      <c r="CDY1" s="292"/>
      <c r="CDZ1" s="292"/>
      <c r="CEA1" s="292"/>
      <c r="CEB1" s="292"/>
      <c r="CEC1" s="292"/>
      <c r="CED1" s="292"/>
      <c r="CEE1" s="292"/>
      <c r="CEF1" s="292"/>
      <c r="CEG1" s="292"/>
      <c r="CEH1" s="292"/>
      <c r="CEI1" s="292"/>
      <c r="CEJ1" s="292"/>
      <c r="CEK1" s="292"/>
      <c r="CEL1" s="292"/>
      <c r="CEM1" s="292"/>
      <c r="CEN1" s="292"/>
      <c r="CEO1" s="292"/>
      <c r="CEP1" s="292"/>
      <c r="CEQ1" s="292"/>
      <c r="CER1" s="292"/>
      <c r="CES1" s="292"/>
      <c r="CET1" s="292"/>
      <c r="CEU1" s="292"/>
      <c r="CEV1" s="292"/>
      <c r="CEW1" s="292"/>
      <c r="CEX1" s="292"/>
      <c r="CEY1" s="292"/>
      <c r="CEZ1" s="292"/>
      <c r="CFA1" s="292"/>
      <c r="CFB1" s="292"/>
      <c r="CFC1" s="292"/>
      <c r="CFD1" s="292"/>
      <c r="CFE1" s="292"/>
      <c r="CFF1" s="292"/>
      <c r="CFG1" s="292"/>
      <c r="CFH1" s="292"/>
      <c r="CFI1" s="292"/>
      <c r="CFJ1" s="292"/>
      <c r="CFK1" s="292"/>
      <c r="CFL1" s="292"/>
      <c r="CFM1" s="292"/>
      <c r="CFN1" s="292"/>
      <c r="CFO1" s="292"/>
      <c r="CFP1" s="292"/>
      <c r="CFQ1" s="292"/>
      <c r="CFR1" s="292"/>
      <c r="CFS1" s="292"/>
      <c r="CFT1" s="292"/>
      <c r="CFU1" s="292"/>
      <c r="CFV1" s="292"/>
      <c r="CFW1" s="292"/>
      <c r="CFX1" s="292"/>
      <c r="CFY1" s="292"/>
      <c r="CFZ1" s="292"/>
      <c r="CGA1" s="292"/>
      <c r="CGB1" s="292"/>
      <c r="CGC1" s="292"/>
      <c r="CGD1" s="292"/>
      <c r="CGE1" s="292"/>
      <c r="CGF1" s="292"/>
      <c r="CGG1" s="292"/>
      <c r="CGH1" s="292"/>
      <c r="CGI1" s="292"/>
      <c r="CGJ1" s="292"/>
      <c r="CGK1" s="292"/>
      <c r="CGL1" s="292"/>
      <c r="CGM1" s="292"/>
      <c r="CGN1" s="292"/>
      <c r="CGO1" s="292"/>
      <c r="CGP1" s="292"/>
      <c r="CGQ1" s="292"/>
      <c r="CGR1" s="292"/>
      <c r="CGS1" s="292"/>
      <c r="CGT1" s="292"/>
      <c r="CGU1" s="292"/>
      <c r="CGV1" s="292"/>
      <c r="CGW1" s="292"/>
      <c r="CGX1" s="292"/>
      <c r="CGY1" s="292"/>
      <c r="CGZ1" s="292"/>
      <c r="CHA1" s="292"/>
      <c r="CHB1" s="292"/>
      <c r="CHC1" s="292"/>
      <c r="CHD1" s="292"/>
      <c r="CHE1" s="292"/>
      <c r="CHF1" s="292"/>
      <c r="CHG1" s="292"/>
      <c r="CHH1" s="292"/>
      <c r="CHI1" s="292"/>
      <c r="CHJ1" s="292"/>
      <c r="CHK1" s="292"/>
      <c r="CHL1" s="292"/>
      <c r="CHM1" s="292"/>
      <c r="CHN1" s="292"/>
      <c r="CHO1" s="292"/>
      <c r="CHP1" s="292"/>
      <c r="CHQ1" s="292"/>
      <c r="CHR1" s="292"/>
      <c r="CHS1" s="292"/>
      <c r="CHT1" s="292"/>
      <c r="CHU1" s="292"/>
      <c r="CHV1" s="292"/>
      <c r="CHW1" s="292"/>
      <c r="CHX1" s="292"/>
      <c r="CHY1" s="292"/>
      <c r="CHZ1" s="292"/>
      <c r="CIA1" s="292"/>
      <c r="CIB1" s="292"/>
      <c r="CIC1" s="292"/>
      <c r="CID1" s="292"/>
      <c r="CIE1" s="292"/>
      <c r="CIF1" s="292"/>
      <c r="CIG1" s="292"/>
      <c r="CIH1" s="292"/>
      <c r="CII1" s="292"/>
      <c r="CIJ1" s="292"/>
      <c r="CIK1" s="292"/>
      <c r="CIL1" s="292"/>
      <c r="CIM1" s="292"/>
      <c r="CIN1" s="292"/>
      <c r="CIO1" s="292"/>
      <c r="CIP1" s="292"/>
      <c r="CIQ1" s="292"/>
      <c r="CIR1" s="292"/>
      <c r="CIS1" s="292"/>
      <c r="CIT1" s="292"/>
      <c r="CIU1" s="292"/>
      <c r="CIV1" s="292"/>
      <c r="CIW1" s="292"/>
      <c r="CIX1" s="292"/>
      <c r="CIY1" s="292"/>
      <c r="CIZ1" s="292"/>
      <c r="CJA1" s="292"/>
      <c r="CJB1" s="292"/>
      <c r="CJC1" s="292"/>
      <c r="CJD1" s="292"/>
      <c r="CJE1" s="292"/>
      <c r="CJF1" s="292"/>
      <c r="CJG1" s="292"/>
      <c r="CJH1" s="292"/>
      <c r="CJI1" s="292"/>
      <c r="CJJ1" s="292"/>
      <c r="CJK1" s="292"/>
      <c r="CJL1" s="292"/>
      <c r="CJM1" s="292"/>
      <c r="CJN1" s="292"/>
      <c r="CJO1" s="292"/>
      <c r="CJP1" s="292"/>
      <c r="CJQ1" s="292"/>
      <c r="CJR1" s="292"/>
      <c r="CJS1" s="292"/>
      <c r="CJT1" s="292"/>
      <c r="CJU1" s="292"/>
      <c r="CJV1" s="292"/>
      <c r="CJW1" s="292"/>
      <c r="CJX1" s="292"/>
      <c r="CJY1" s="292"/>
      <c r="CJZ1" s="292"/>
      <c r="CKA1" s="292"/>
      <c r="CKB1" s="292"/>
      <c r="CKC1" s="292"/>
      <c r="CKD1" s="292"/>
      <c r="CKE1" s="292"/>
      <c r="CKF1" s="292"/>
      <c r="CKG1" s="292"/>
      <c r="CKH1" s="292"/>
      <c r="CKI1" s="292"/>
      <c r="CKJ1" s="292"/>
      <c r="CKK1" s="292"/>
      <c r="CKL1" s="292"/>
      <c r="CKM1" s="292"/>
      <c r="CKN1" s="292"/>
      <c r="CKO1" s="292"/>
      <c r="CKP1" s="292"/>
      <c r="CKQ1" s="292"/>
      <c r="CKR1" s="292"/>
      <c r="CKS1" s="292"/>
      <c r="CKT1" s="292"/>
      <c r="CKU1" s="292"/>
      <c r="CKV1" s="292"/>
      <c r="CKW1" s="292"/>
      <c r="CKX1" s="292"/>
      <c r="CKY1" s="292"/>
      <c r="CKZ1" s="292"/>
      <c r="CLA1" s="292"/>
      <c r="CLB1" s="292"/>
      <c r="CLC1" s="292"/>
      <c r="CLD1" s="292"/>
      <c r="CLE1" s="292"/>
      <c r="CLF1" s="292"/>
      <c r="CLG1" s="292"/>
      <c r="CLH1" s="292"/>
      <c r="CLI1" s="292"/>
      <c r="CLJ1" s="292"/>
      <c r="CLK1" s="292"/>
      <c r="CLL1" s="292"/>
      <c r="CLM1" s="292"/>
      <c r="CLN1" s="292"/>
      <c r="CLO1" s="292"/>
      <c r="CLP1" s="292"/>
      <c r="CLQ1" s="292"/>
      <c r="CLR1" s="292"/>
      <c r="CLS1" s="292"/>
      <c r="CLT1" s="292"/>
      <c r="CLU1" s="292"/>
      <c r="CLV1" s="292"/>
      <c r="CLW1" s="292"/>
      <c r="CLX1" s="292"/>
      <c r="CLY1" s="292"/>
      <c r="CLZ1" s="292"/>
      <c r="CMA1" s="292"/>
      <c r="CMB1" s="292"/>
      <c r="CMC1" s="292"/>
      <c r="CMD1" s="292"/>
      <c r="CME1" s="292"/>
      <c r="CMF1" s="292"/>
      <c r="CMG1" s="292"/>
      <c r="CMH1" s="292"/>
      <c r="CMI1" s="292"/>
      <c r="CMJ1" s="292"/>
      <c r="CMK1" s="292"/>
      <c r="CML1" s="292"/>
      <c r="CMM1" s="292"/>
      <c r="CMN1" s="292"/>
      <c r="CMO1" s="292"/>
      <c r="CMP1" s="292"/>
      <c r="CMQ1" s="292"/>
      <c r="CMR1" s="292"/>
      <c r="CMS1" s="292"/>
      <c r="CMT1" s="292"/>
      <c r="CMU1" s="292"/>
      <c r="CMV1" s="292"/>
      <c r="CMW1" s="292"/>
      <c r="CMX1" s="292"/>
      <c r="CMY1" s="292"/>
      <c r="CMZ1" s="292"/>
      <c r="CNA1" s="292"/>
      <c r="CNB1" s="292"/>
      <c r="CNC1" s="292"/>
      <c r="CND1" s="292"/>
      <c r="CNE1" s="292"/>
      <c r="CNF1" s="292"/>
      <c r="CNG1" s="292"/>
      <c r="CNH1" s="292"/>
      <c r="CNI1" s="292"/>
      <c r="CNJ1" s="292"/>
      <c r="CNK1" s="292"/>
      <c r="CNL1" s="292"/>
      <c r="CNM1" s="292"/>
      <c r="CNN1" s="292"/>
      <c r="CNO1" s="292"/>
      <c r="CNP1" s="292"/>
      <c r="CNQ1" s="292"/>
      <c r="CNR1" s="292"/>
      <c r="CNS1" s="292"/>
      <c r="CNT1" s="292"/>
      <c r="CNU1" s="292"/>
      <c r="CNV1" s="292"/>
      <c r="CNW1" s="292"/>
      <c r="CNX1" s="292"/>
      <c r="CNY1" s="292"/>
      <c r="CNZ1" s="292"/>
      <c r="COA1" s="292"/>
      <c r="COB1" s="292"/>
      <c r="COC1" s="292"/>
      <c r="COD1" s="292"/>
      <c r="COE1" s="292"/>
      <c r="COF1" s="292"/>
      <c r="COG1" s="292"/>
      <c r="COH1" s="292"/>
      <c r="COI1" s="292"/>
      <c r="COJ1" s="292"/>
      <c r="COK1" s="292"/>
      <c r="COL1" s="292"/>
      <c r="COM1" s="292"/>
      <c r="CON1" s="292"/>
      <c r="COO1" s="292"/>
      <c r="COP1" s="292"/>
      <c r="COQ1" s="292"/>
      <c r="COR1" s="292"/>
      <c r="COS1" s="292"/>
      <c r="COT1" s="292"/>
      <c r="COU1" s="292"/>
      <c r="COV1" s="292"/>
      <c r="COW1" s="292"/>
      <c r="COX1" s="292"/>
      <c r="COY1" s="292"/>
      <c r="COZ1" s="292"/>
      <c r="CPA1" s="292"/>
      <c r="CPB1" s="292"/>
      <c r="CPC1" s="292"/>
      <c r="CPD1" s="292"/>
      <c r="CPE1" s="292"/>
      <c r="CPF1" s="292"/>
      <c r="CPG1" s="292"/>
      <c r="CPH1" s="292"/>
      <c r="CPI1" s="292"/>
      <c r="CPJ1" s="292"/>
      <c r="CPK1" s="292"/>
      <c r="CPL1" s="292"/>
      <c r="CPM1" s="292"/>
      <c r="CPN1" s="292"/>
      <c r="CPO1" s="292"/>
      <c r="CPP1" s="292"/>
      <c r="CPQ1" s="292"/>
      <c r="CPR1" s="292"/>
      <c r="CPS1" s="292"/>
      <c r="CPT1" s="292"/>
      <c r="CPU1" s="292"/>
      <c r="CPV1" s="292"/>
      <c r="CPW1" s="292"/>
      <c r="CPX1" s="292"/>
      <c r="CPY1" s="292"/>
      <c r="CPZ1" s="292"/>
      <c r="CQA1" s="292"/>
      <c r="CQB1" s="292"/>
      <c r="CQC1" s="292"/>
      <c r="CQD1" s="292"/>
      <c r="CQE1" s="292"/>
      <c r="CQF1" s="292"/>
      <c r="CQG1" s="292"/>
      <c r="CQH1" s="292"/>
      <c r="CQI1" s="292"/>
      <c r="CQJ1" s="292"/>
      <c r="CQK1" s="292"/>
      <c r="CQL1" s="292"/>
      <c r="CQM1" s="292"/>
      <c r="CQN1" s="292"/>
      <c r="CQO1" s="292"/>
      <c r="CQP1" s="292"/>
      <c r="CQQ1" s="292"/>
      <c r="CQR1" s="292"/>
      <c r="CQS1" s="292"/>
      <c r="CQT1" s="292"/>
      <c r="CQU1" s="292"/>
      <c r="CQV1" s="292"/>
      <c r="CQW1" s="292"/>
      <c r="CQX1" s="292"/>
      <c r="CQY1" s="292"/>
      <c r="CQZ1" s="292"/>
      <c r="CRA1" s="292"/>
      <c r="CRB1" s="292"/>
      <c r="CRC1" s="292"/>
      <c r="CRD1" s="292"/>
      <c r="CRE1" s="292"/>
      <c r="CRF1" s="292"/>
      <c r="CRG1" s="292"/>
      <c r="CRH1" s="292"/>
      <c r="CRI1" s="292"/>
      <c r="CRJ1" s="292"/>
      <c r="CRK1" s="292"/>
      <c r="CRL1" s="292"/>
      <c r="CRM1" s="292"/>
      <c r="CRN1" s="292"/>
      <c r="CRO1" s="292"/>
      <c r="CRP1" s="292"/>
      <c r="CRQ1" s="292"/>
      <c r="CRR1" s="292"/>
      <c r="CRS1" s="292"/>
      <c r="CRT1" s="292"/>
      <c r="CRU1" s="292"/>
      <c r="CRV1" s="292"/>
      <c r="CRW1" s="292"/>
      <c r="CRX1" s="292"/>
      <c r="CRY1" s="292"/>
      <c r="CRZ1" s="292"/>
      <c r="CSA1" s="292"/>
      <c r="CSB1" s="292"/>
      <c r="CSC1" s="292"/>
      <c r="CSD1" s="292"/>
      <c r="CSE1" s="292"/>
      <c r="CSF1" s="292"/>
      <c r="CSG1" s="292"/>
      <c r="CSH1" s="292"/>
      <c r="CSI1" s="292"/>
      <c r="CSJ1" s="292"/>
      <c r="CSK1" s="292"/>
      <c r="CSL1" s="292"/>
      <c r="CSM1" s="292"/>
      <c r="CSN1" s="292"/>
      <c r="CSO1" s="292"/>
      <c r="CSP1" s="292"/>
      <c r="CSQ1" s="292"/>
      <c r="CSR1" s="292"/>
      <c r="CSS1" s="292"/>
      <c r="CST1" s="292"/>
      <c r="CSU1" s="292"/>
      <c r="CSV1" s="292"/>
      <c r="CSW1" s="292"/>
      <c r="CSX1" s="292"/>
      <c r="CSY1" s="292"/>
      <c r="CSZ1" s="292"/>
      <c r="CTA1" s="292"/>
      <c r="CTB1" s="292"/>
      <c r="CTC1" s="292"/>
      <c r="CTD1" s="292"/>
      <c r="CTE1" s="292"/>
      <c r="CTF1" s="292"/>
      <c r="CTG1" s="292"/>
      <c r="CTH1" s="292"/>
      <c r="CTI1" s="292"/>
      <c r="CTJ1" s="292"/>
      <c r="CTK1" s="292"/>
      <c r="CTL1" s="292"/>
      <c r="CTM1" s="292"/>
      <c r="CTN1" s="292"/>
      <c r="CTO1" s="292"/>
      <c r="CTP1" s="292"/>
      <c r="CTQ1" s="292"/>
      <c r="CTR1" s="292"/>
      <c r="CTS1" s="292"/>
      <c r="CTT1" s="292"/>
      <c r="CTU1" s="292"/>
      <c r="CTV1" s="292"/>
      <c r="CTW1" s="292"/>
      <c r="CTX1" s="292"/>
      <c r="CTY1" s="292"/>
      <c r="CTZ1" s="292"/>
      <c r="CUA1" s="292"/>
      <c r="CUB1" s="292"/>
      <c r="CUC1" s="292"/>
      <c r="CUD1" s="292"/>
      <c r="CUE1" s="292"/>
      <c r="CUF1" s="292"/>
      <c r="CUG1" s="292"/>
      <c r="CUH1" s="292"/>
      <c r="CUI1" s="292"/>
      <c r="CUJ1" s="292"/>
      <c r="CUK1" s="292"/>
      <c r="CUL1" s="292"/>
      <c r="CUM1" s="292"/>
      <c r="CUN1" s="292"/>
      <c r="CUO1" s="292"/>
      <c r="CUP1" s="292"/>
      <c r="CUQ1" s="292"/>
      <c r="CUR1" s="292"/>
      <c r="CUS1" s="292"/>
      <c r="CUT1" s="292"/>
      <c r="CUU1" s="292"/>
      <c r="CUV1" s="292"/>
      <c r="CUW1" s="292"/>
      <c r="CUX1" s="292"/>
      <c r="CUY1" s="292"/>
      <c r="CUZ1" s="292"/>
      <c r="CVA1" s="292"/>
      <c r="CVB1" s="292"/>
      <c r="CVC1" s="292"/>
      <c r="CVD1" s="292"/>
      <c r="CVE1" s="292"/>
      <c r="CVF1" s="292"/>
      <c r="CVG1" s="292"/>
      <c r="CVH1" s="292"/>
      <c r="CVI1" s="292"/>
      <c r="CVJ1" s="292"/>
      <c r="CVK1" s="292"/>
      <c r="CVL1" s="292"/>
      <c r="CVM1" s="292"/>
      <c r="CVN1" s="292"/>
      <c r="CVO1" s="292"/>
      <c r="CVP1" s="292"/>
      <c r="CVQ1" s="292"/>
      <c r="CVR1" s="292"/>
      <c r="CVS1" s="292"/>
      <c r="CVT1" s="292"/>
      <c r="CVU1" s="292"/>
      <c r="CVV1" s="292"/>
      <c r="CVW1" s="292"/>
      <c r="CVX1" s="292"/>
      <c r="CVY1" s="292"/>
      <c r="CVZ1" s="292"/>
      <c r="CWA1" s="292"/>
      <c r="CWB1" s="292"/>
      <c r="CWC1" s="292"/>
      <c r="CWD1" s="292"/>
      <c r="CWE1" s="292"/>
      <c r="CWF1" s="292"/>
      <c r="CWG1" s="292"/>
      <c r="CWH1" s="292"/>
      <c r="CWI1" s="292"/>
      <c r="CWJ1" s="292"/>
      <c r="CWK1" s="292"/>
      <c r="CWL1" s="292"/>
      <c r="CWM1" s="292"/>
      <c r="CWN1" s="292"/>
      <c r="CWO1" s="292"/>
      <c r="CWP1" s="292"/>
      <c r="CWQ1" s="292"/>
      <c r="CWR1" s="292"/>
      <c r="CWS1" s="292"/>
      <c r="CWT1" s="292"/>
      <c r="CWU1" s="292"/>
      <c r="CWV1" s="292"/>
      <c r="CWW1" s="292"/>
      <c r="CWX1" s="292"/>
      <c r="CWY1" s="292"/>
      <c r="CWZ1" s="292"/>
      <c r="CXA1" s="292"/>
      <c r="CXB1" s="292"/>
      <c r="CXC1" s="292"/>
      <c r="CXD1" s="292"/>
      <c r="CXE1" s="292"/>
      <c r="CXF1" s="292"/>
      <c r="CXG1" s="292"/>
      <c r="CXH1" s="292"/>
      <c r="CXI1" s="292"/>
      <c r="CXJ1" s="292"/>
      <c r="CXK1" s="292"/>
      <c r="CXL1" s="292"/>
      <c r="CXM1" s="292"/>
      <c r="CXN1" s="292"/>
      <c r="CXO1" s="292"/>
      <c r="CXP1" s="292"/>
      <c r="CXQ1" s="292"/>
      <c r="CXR1" s="292"/>
      <c r="CXS1" s="292"/>
      <c r="CXT1" s="292"/>
      <c r="CXU1" s="292"/>
      <c r="CXV1" s="292"/>
      <c r="CXW1" s="292"/>
      <c r="CXX1" s="292"/>
      <c r="CXY1" s="292"/>
      <c r="CXZ1" s="292"/>
      <c r="CYA1" s="292"/>
      <c r="CYB1" s="292"/>
      <c r="CYC1" s="292"/>
      <c r="CYD1" s="292"/>
      <c r="CYE1" s="292"/>
      <c r="CYF1" s="292"/>
      <c r="CYG1" s="292"/>
      <c r="CYH1" s="292"/>
      <c r="CYI1" s="292"/>
      <c r="CYJ1" s="292"/>
      <c r="CYK1" s="292"/>
      <c r="CYL1" s="292"/>
      <c r="CYM1" s="292"/>
      <c r="CYN1" s="292"/>
      <c r="CYO1" s="292"/>
      <c r="CYP1" s="292"/>
      <c r="CYQ1" s="292"/>
      <c r="CYR1" s="292"/>
      <c r="CYS1" s="292"/>
      <c r="CYT1" s="292"/>
      <c r="CYU1" s="292"/>
      <c r="CYV1" s="292"/>
      <c r="CYW1" s="292"/>
      <c r="CYX1" s="292"/>
      <c r="CYY1" s="292"/>
      <c r="CYZ1" s="292"/>
      <c r="CZA1" s="292"/>
      <c r="CZB1" s="292"/>
      <c r="CZC1" s="292"/>
      <c r="CZD1" s="292"/>
      <c r="CZE1" s="292"/>
      <c r="CZF1" s="292"/>
      <c r="CZG1" s="292"/>
      <c r="CZH1" s="292"/>
      <c r="CZI1" s="292"/>
      <c r="CZJ1" s="292"/>
      <c r="CZK1" s="292"/>
      <c r="CZL1" s="292"/>
      <c r="CZM1" s="292"/>
      <c r="CZN1" s="292"/>
      <c r="CZO1" s="292"/>
      <c r="CZP1" s="292"/>
      <c r="CZQ1" s="292"/>
      <c r="CZR1" s="292"/>
      <c r="CZS1" s="292"/>
      <c r="CZT1" s="292"/>
      <c r="CZU1" s="292"/>
      <c r="CZV1" s="292"/>
      <c r="CZW1" s="292"/>
      <c r="CZX1" s="292"/>
      <c r="CZY1" s="292"/>
      <c r="CZZ1" s="292"/>
      <c r="DAA1" s="292"/>
      <c r="DAB1" s="292"/>
      <c r="DAC1" s="292"/>
      <c r="DAD1" s="292"/>
      <c r="DAE1" s="292"/>
      <c r="DAF1" s="292"/>
      <c r="DAG1" s="292"/>
      <c r="DAH1" s="292"/>
      <c r="DAI1" s="292"/>
      <c r="DAJ1" s="292"/>
      <c r="DAK1" s="292"/>
      <c r="DAL1" s="292"/>
      <c r="DAM1" s="292"/>
      <c r="DAN1" s="292"/>
      <c r="DAO1" s="292"/>
      <c r="DAP1" s="292"/>
      <c r="DAQ1" s="292"/>
      <c r="DAR1" s="292"/>
      <c r="DAS1" s="292"/>
      <c r="DAT1" s="292"/>
      <c r="DAU1" s="292"/>
      <c r="DAV1" s="292"/>
      <c r="DAW1" s="292"/>
      <c r="DAX1" s="292"/>
      <c r="DAY1" s="292"/>
      <c r="DAZ1" s="292"/>
      <c r="DBA1" s="292"/>
      <c r="DBB1" s="292"/>
      <c r="DBC1" s="292"/>
      <c r="DBD1" s="292"/>
      <c r="DBE1" s="292"/>
      <c r="DBF1" s="292"/>
      <c r="DBG1" s="292"/>
      <c r="DBH1" s="292"/>
      <c r="DBI1" s="292"/>
      <c r="DBJ1" s="292"/>
      <c r="DBK1" s="292"/>
      <c r="DBL1" s="292"/>
      <c r="DBM1" s="292"/>
      <c r="DBN1" s="292"/>
      <c r="DBO1" s="292"/>
      <c r="DBP1" s="292"/>
      <c r="DBQ1" s="292"/>
      <c r="DBR1" s="292"/>
      <c r="DBS1" s="292"/>
      <c r="DBT1" s="292"/>
      <c r="DBU1" s="292"/>
      <c r="DBV1" s="292"/>
      <c r="DBW1" s="292"/>
      <c r="DBX1" s="292"/>
      <c r="DBY1" s="292"/>
      <c r="DBZ1" s="292"/>
      <c r="DCA1" s="292"/>
      <c r="DCB1" s="292"/>
      <c r="DCC1" s="292"/>
      <c r="DCD1" s="292"/>
      <c r="DCE1" s="292"/>
      <c r="DCF1" s="292"/>
      <c r="DCG1" s="292"/>
      <c r="DCH1" s="292"/>
      <c r="DCI1" s="292"/>
      <c r="DCJ1" s="292"/>
      <c r="DCK1" s="292"/>
      <c r="DCL1" s="292"/>
      <c r="DCM1" s="292"/>
      <c r="DCN1" s="292"/>
      <c r="DCO1" s="292"/>
      <c r="DCP1" s="292"/>
      <c r="DCQ1" s="292"/>
      <c r="DCR1" s="292"/>
      <c r="DCS1" s="292"/>
      <c r="DCT1" s="292"/>
      <c r="DCU1" s="292"/>
      <c r="DCV1" s="292"/>
      <c r="DCW1" s="292"/>
      <c r="DCX1" s="292"/>
      <c r="DCY1" s="292"/>
      <c r="DCZ1" s="292"/>
      <c r="DDA1" s="292"/>
      <c r="DDB1" s="292"/>
      <c r="DDC1" s="292"/>
      <c r="DDD1" s="292"/>
      <c r="DDE1" s="292"/>
      <c r="DDF1" s="292"/>
      <c r="DDG1" s="292"/>
      <c r="DDH1" s="292"/>
      <c r="DDI1" s="292"/>
      <c r="DDJ1" s="292"/>
      <c r="DDK1" s="292"/>
      <c r="DDL1" s="292"/>
      <c r="DDM1" s="292"/>
      <c r="DDN1" s="292"/>
      <c r="DDO1" s="292"/>
      <c r="DDP1" s="292"/>
      <c r="DDQ1" s="292"/>
      <c r="DDR1" s="292"/>
      <c r="DDS1" s="292"/>
      <c r="DDT1" s="292"/>
      <c r="DDU1" s="292"/>
      <c r="DDV1" s="292"/>
      <c r="DDW1" s="292"/>
      <c r="DDX1" s="292"/>
      <c r="DDY1" s="292"/>
      <c r="DDZ1" s="292"/>
      <c r="DEA1" s="292"/>
      <c r="DEB1" s="292"/>
      <c r="DEC1" s="292"/>
      <c r="DED1" s="292"/>
      <c r="DEE1" s="292"/>
      <c r="DEF1" s="292"/>
      <c r="DEG1" s="292"/>
      <c r="DEH1" s="292"/>
      <c r="DEI1" s="292"/>
      <c r="DEJ1" s="292"/>
      <c r="DEK1" s="292"/>
      <c r="DEL1" s="292"/>
      <c r="DEM1" s="292"/>
      <c r="DEN1" s="292"/>
      <c r="DEO1" s="292"/>
      <c r="DEP1" s="292"/>
      <c r="DEQ1" s="292"/>
      <c r="DER1" s="292"/>
      <c r="DES1" s="292"/>
      <c r="DET1" s="292"/>
      <c r="DEU1" s="292"/>
      <c r="DEV1" s="292"/>
      <c r="DEW1" s="292"/>
      <c r="DEX1" s="292"/>
      <c r="DEY1" s="292"/>
      <c r="DEZ1" s="292"/>
      <c r="DFA1" s="292"/>
      <c r="DFB1" s="292"/>
      <c r="DFC1" s="292"/>
      <c r="DFD1" s="292"/>
      <c r="DFE1" s="292"/>
      <c r="DFF1" s="292"/>
      <c r="DFG1" s="292"/>
      <c r="DFH1" s="292"/>
      <c r="DFI1" s="292"/>
      <c r="DFJ1" s="292"/>
      <c r="DFK1" s="292"/>
      <c r="DFL1" s="292"/>
      <c r="DFM1" s="292"/>
      <c r="DFN1" s="292"/>
      <c r="DFO1" s="292"/>
      <c r="DFP1" s="292"/>
      <c r="DFQ1" s="292"/>
      <c r="DFR1" s="292"/>
      <c r="DFS1" s="292"/>
      <c r="DFT1" s="292"/>
      <c r="DFU1" s="292"/>
      <c r="DFV1" s="292"/>
      <c r="DFW1" s="292"/>
      <c r="DFX1" s="292"/>
      <c r="DFY1" s="292"/>
      <c r="DFZ1" s="292"/>
      <c r="DGA1" s="292"/>
      <c r="DGB1" s="292"/>
      <c r="DGC1" s="292"/>
      <c r="DGD1" s="292"/>
      <c r="DGE1" s="292"/>
      <c r="DGF1" s="292"/>
      <c r="DGG1" s="292"/>
      <c r="DGH1" s="292"/>
      <c r="DGI1" s="292"/>
      <c r="DGJ1" s="292"/>
      <c r="DGK1" s="292"/>
      <c r="DGL1" s="292"/>
      <c r="DGM1" s="292"/>
      <c r="DGN1" s="292"/>
      <c r="DGO1" s="292"/>
      <c r="DGP1" s="292"/>
      <c r="DGQ1" s="292"/>
      <c r="DGR1" s="292"/>
      <c r="DGS1" s="292"/>
      <c r="DGT1" s="292"/>
      <c r="DGU1" s="292"/>
      <c r="DGV1" s="292"/>
      <c r="DGW1" s="292"/>
      <c r="DGX1" s="292"/>
      <c r="DGY1" s="292"/>
      <c r="DGZ1" s="292"/>
      <c r="DHA1" s="292"/>
      <c r="DHB1" s="292"/>
      <c r="DHC1" s="292"/>
      <c r="DHD1" s="292"/>
      <c r="DHE1" s="292"/>
      <c r="DHF1" s="292"/>
      <c r="DHG1" s="292"/>
      <c r="DHH1" s="292"/>
      <c r="DHI1" s="292"/>
      <c r="DHJ1" s="292"/>
      <c r="DHK1" s="292"/>
      <c r="DHL1" s="292"/>
      <c r="DHM1" s="292"/>
      <c r="DHN1" s="292"/>
      <c r="DHO1" s="292"/>
      <c r="DHP1" s="292"/>
      <c r="DHQ1" s="292"/>
      <c r="DHR1" s="292"/>
      <c r="DHS1" s="292"/>
      <c r="DHT1" s="292"/>
      <c r="DHU1" s="292"/>
      <c r="DHV1" s="292"/>
      <c r="DHW1" s="292"/>
      <c r="DHX1" s="292"/>
      <c r="DHY1" s="292"/>
      <c r="DHZ1" s="292"/>
      <c r="DIA1" s="292"/>
      <c r="DIB1" s="292"/>
      <c r="DIC1" s="292"/>
      <c r="DID1" s="292"/>
      <c r="DIE1" s="292"/>
      <c r="DIF1" s="292"/>
      <c r="DIG1" s="292"/>
      <c r="DIH1" s="292"/>
      <c r="DII1" s="292"/>
      <c r="DIJ1" s="292"/>
      <c r="DIK1" s="292"/>
      <c r="DIL1" s="292"/>
      <c r="DIM1" s="292"/>
      <c r="DIN1" s="292"/>
      <c r="DIO1" s="292"/>
      <c r="DIP1" s="292"/>
      <c r="DIQ1" s="292"/>
      <c r="DIR1" s="292"/>
      <c r="DIS1" s="292"/>
      <c r="DIT1" s="292"/>
      <c r="DIU1" s="292"/>
      <c r="DIV1" s="292"/>
      <c r="DIW1" s="292"/>
      <c r="DIX1" s="292"/>
      <c r="DIY1" s="292"/>
      <c r="DIZ1" s="292"/>
      <c r="DJA1" s="292"/>
      <c r="DJB1" s="292"/>
      <c r="DJC1" s="292"/>
      <c r="DJD1" s="292"/>
      <c r="DJE1" s="292"/>
      <c r="DJF1" s="292"/>
      <c r="DJG1" s="292"/>
      <c r="DJH1" s="292"/>
      <c r="DJI1" s="292"/>
      <c r="DJJ1" s="292"/>
      <c r="DJK1" s="292"/>
      <c r="DJL1" s="292"/>
      <c r="DJM1" s="292"/>
      <c r="DJN1" s="292"/>
      <c r="DJO1" s="292"/>
      <c r="DJP1" s="292"/>
      <c r="DJQ1" s="292"/>
      <c r="DJR1" s="292"/>
      <c r="DJS1" s="292"/>
      <c r="DJT1" s="292"/>
      <c r="DJU1" s="292"/>
      <c r="DJV1" s="292"/>
      <c r="DJW1" s="292"/>
      <c r="DJX1" s="292"/>
      <c r="DJY1" s="292"/>
      <c r="DJZ1" s="292"/>
      <c r="DKA1" s="292"/>
      <c r="DKB1" s="292"/>
      <c r="DKC1" s="292"/>
      <c r="DKD1" s="292"/>
      <c r="DKE1" s="292"/>
      <c r="DKF1" s="292"/>
      <c r="DKG1" s="292"/>
      <c r="DKH1" s="292"/>
      <c r="DKI1" s="292"/>
      <c r="DKJ1" s="292"/>
      <c r="DKK1" s="292"/>
      <c r="DKL1" s="292"/>
      <c r="DKM1" s="292"/>
      <c r="DKN1" s="292"/>
      <c r="DKO1" s="292"/>
      <c r="DKP1" s="292"/>
      <c r="DKQ1" s="292"/>
      <c r="DKR1" s="292"/>
      <c r="DKS1" s="292"/>
      <c r="DKT1" s="292"/>
      <c r="DKU1" s="292"/>
      <c r="DKV1" s="292"/>
      <c r="DKW1" s="292"/>
      <c r="DKX1" s="292"/>
      <c r="DKY1" s="292"/>
      <c r="DKZ1" s="292"/>
      <c r="DLA1" s="292"/>
      <c r="DLB1" s="292"/>
      <c r="DLC1" s="292"/>
      <c r="DLD1" s="292"/>
      <c r="DLE1" s="292"/>
      <c r="DLF1" s="292"/>
      <c r="DLG1" s="292"/>
      <c r="DLH1" s="292"/>
      <c r="DLI1" s="292"/>
      <c r="DLJ1" s="292"/>
      <c r="DLK1" s="292"/>
      <c r="DLL1" s="292"/>
      <c r="DLM1" s="292"/>
      <c r="DLN1" s="292"/>
      <c r="DLO1" s="292"/>
      <c r="DLP1" s="292"/>
      <c r="DLQ1" s="292"/>
      <c r="DLR1" s="292"/>
      <c r="DLS1" s="292"/>
      <c r="DLT1" s="292"/>
      <c r="DLU1" s="292"/>
      <c r="DLV1" s="292"/>
      <c r="DLW1" s="292"/>
      <c r="DLX1" s="292"/>
      <c r="DLY1" s="292"/>
      <c r="DLZ1" s="292"/>
      <c r="DMA1" s="292"/>
      <c r="DMB1" s="292"/>
      <c r="DMC1" s="292"/>
      <c r="DMD1" s="292"/>
      <c r="DME1" s="292"/>
      <c r="DMF1" s="292"/>
      <c r="DMG1" s="292"/>
      <c r="DMH1" s="292"/>
      <c r="DMI1" s="292"/>
      <c r="DMJ1" s="292"/>
      <c r="DMK1" s="292"/>
      <c r="DML1" s="292"/>
      <c r="DMM1" s="292"/>
      <c r="DMN1" s="292"/>
      <c r="DMO1" s="292"/>
      <c r="DMP1" s="292"/>
      <c r="DMQ1" s="292"/>
      <c r="DMR1" s="292"/>
      <c r="DMS1" s="292"/>
      <c r="DMT1" s="292"/>
      <c r="DMU1" s="292"/>
      <c r="DMV1" s="292"/>
      <c r="DMW1" s="292"/>
      <c r="DMX1" s="292"/>
      <c r="DMY1" s="292"/>
      <c r="DMZ1" s="292"/>
      <c r="DNA1" s="292"/>
      <c r="DNB1" s="292"/>
      <c r="DNC1" s="292"/>
      <c r="DND1" s="292"/>
      <c r="DNE1" s="292"/>
      <c r="DNF1" s="292"/>
      <c r="DNG1" s="292"/>
      <c r="DNH1" s="292"/>
      <c r="DNI1" s="292"/>
      <c r="DNJ1" s="292"/>
      <c r="DNK1" s="292"/>
      <c r="DNL1" s="292"/>
      <c r="DNM1" s="292"/>
      <c r="DNN1" s="292"/>
      <c r="DNO1" s="292"/>
      <c r="DNP1" s="292"/>
      <c r="DNQ1" s="292"/>
      <c r="DNR1" s="292"/>
      <c r="DNS1" s="292"/>
      <c r="DNT1" s="292"/>
      <c r="DNU1" s="292"/>
      <c r="DNV1" s="292"/>
      <c r="DNW1" s="292"/>
      <c r="DNX1" s="292"/>
      <c r="DNY1" s="292"/>
      <c r="DNZ1" s="292"/>
      <c r="DOA1" s="292"/>
      <c r="DOB1" s="292"/>
      <c r="DOC1" s="292"/>
      <c r="DOD1" s="292"/>
      <c r="DOE1" s="292"/>
      <c r="DOF1" s="292"/>
      <c r="DOG1" s="292"/>
      <c r="DOH1" s="292"/>
      <c r="DOI1" s="292"/>
      <c r="DOJ1" s="292"/>
      <c r="DOK1" s="292"/>
      <c r="DOL1" s="292"/>
      <c r="DOM1" s="292"/>
      <c r="DON1" s="292"/>
      <c r="DOO1" s="292"/>
      <c r="DOP1" s="292"/>
      <c r="DOQ1" s="292"/>
      <c r="DOR1" s="292"/>
      <c r="DOS1" s="292"/>
      <c r="DOT1" s="292"/>
      <c r="DOU1" s="292"/>
      <c r="DOV1" s="292"/>
      <c r="DOW1" s="292"/>
      <c r="DOX1" s="292"/>
      <c r="DOY1" s="292"/>
      <c r="DOZ1" s="292"/>
      <c r="DPA1" s="292"/>
      <c r="DPB1" s="292"/>
      <c r="DPC1" s="292"/>
      <c r="DPD1" s="292"/>
      <c r="DPE1" s="292"/>
      <c r="DPF1" s="292"/>
      <c r="DPG1" s="292"/>
      <c r="DPH1" s="292"/>
      <c r="DPI1" s="292"/>
      <c r="DPJ1" s="292"/>
      <c r="DPK1" s="292"/>
      <c r="DPL1" s="292"/>
      <c r="DPM1" s="292"/>
      <c r="DPN1" s="292"/>
      <c r="DPO1" s="292"/>
      <c r="DPP1" s="292"/>
      <c r="DPQ1" s="292"/>
      <c r="DPR1" s="292"/>
      <c r="DPS1" s="292"/>
      <c r="DPT1" s="292"/>
      <c r="DPU1" s="292"/>
      <c r="DPV1" s="292"/>
      <c r="DPW1" s="292"/>
      <c r="DPX1" s="292"/>
      <c r="DPY1" s="292"/>
      <c r="DPZ1" s="292"/>
      <c r="DQA1" s="292"/>
      <c r="DQB1" s="292"/>
      <c r="DQC1" s="292"/>
      <c r="DQD1" s="292"/>
      <c r="DQE1" s="292"/>
      <c r="DQF1" s="292"/>
      <c r="DQG1" s="292"/>
      <c r="DQH1" s="292"/>
      <c r="DQI1" s="292"/>
      <c r="DQJ1" s="292"/>
      <c r="DQK1" s="292"/>
      <c r="DQL1" s="292"/>
      <c r="DQM1" s="292"/>
      <c r="DQN1" s="292"/>
      <c r="DQO1" s="292"/>
      <c r="DQP1" s="292"/>
      <c r="DQQ1" s="292"/>
      <c r="DQR1" s="292"/>
      <c r="DQS1" s="292"/>
      <c r="DQT1" s="292"/>
      <c r="DQU1" s="292"/>
      <c r="DQV1" s="292"/>
      <c r="DQW1" s="292"/>
      <c r="DQX1" s="292"/>
      <c r="DQY1" s="292"/>
      <c r="DQZ1" s="292"/>
      <c r="DRA1" s="292"/>
      <c r="DRB1" s="292"/>
      <c r="DRC1" s="292"/>
      <c r="DRD1" s="292"/>
      <c r="DRE1" s="292"/>
      <c r="DRF1" s="292"/>
      <c r="DRG1" s="292"/>
      <c r="DRH1" s="292"/>
      <c r="DRI1" s="292"/>
      <c r="DRJ1" s="292"/>
      <c r="DRK1" s="292"/>
      <c r="DRL1" s="292"/>
      <c r="DRM1" s="292"/>
      <c r="DRN1" s="292"/>
      <c r="DRO1" s="292"/>
      <c r="DRP1" s="292"/>
      <c r="DRQ1" s="292"/>
      <c r="DRR1" s="292"/>
      <c r="DRS1" s="292"/>
      <c r="DRT1" s="292"/>
      <c r="DRU1" s="292"/>
      <c r="DRV1" s="292"/>
      <c r="DRW1" s="292"/>
      <c r="DRX1" s="292"/>
      <c r="DRY1" s="292"/>
      <c r="DRZ1" s="292"/>
      <c r="DSA1" s="292"/>
      <c r="DSB1" s="292"/>
      <c r="DSC1" s="292"/>
      <c r="DSD1" s="292"/>
      <c r="DSE1" s="292"/>
      <c r="DSF1" s="292"/>
      <c r="DSG1" s="292"/>
      <c r="DSH1" s="292"/>
      <c r="DSI1" s="292"/>
      <c r="DSJ1" s="292"/>
      <c r="DSK1" s="292"/>
      <c r="DSL1" s="292"/>
      <c r="DSM1" s="292"/>
      <c r="DSN1" s="292"/>
      <c r="DSO1" s="292"/>
      <c r="DSP1" s="292"/>
      <c r="DSQ1" s="292"/>
      <c r="DSR1" s="292"/>
      <c r="DSS1" s="292"/>
      <c r="DST1" s="292"/>
      <c r="DSU1" s="292"/>
      <c r="DSV1" s="292"/>
      <c r="DSW1" s="292"/>
      <c r="DSX1" s="292"/>
      <c r="DSY1" s="292"/>
      <c r="DSZ1" s="292"/>
      <c r="DTA1" s="292"/>
      <c r="DTB1" s="292"/>
      <c r="DTC1" s="292"/>
      <c r="DTD1" s="292"/>
      <c r="DTE1" s="292"/>
      <c r="DTF1" s="292"/>
      <c r="DTG1" s="292"/>
      <c r="DTH1" s="292"/>
      <c r="DTI1" s="292"/>
      <c r="DTJ1" s="292"/>
      <c r="DTK1" s="292"/>
      <c r="DTL1" s="292"/>
      <c r="DTM1" s="292"/>
      <c r="DTN1" s="292"/>
      <c r="DTO1" s="292"/>
      <c r="DTP1" s="292"/>
      <c r="DTQ1" s="292"/>
      <c r="DTR1" s="292"/>
      <c r="DTS1" s="292"/>
      <c r="DTT1" s="292"/>
      <c r="DTU1" s="292"/>
      <c r="DTV1" s="292"/>
      <c r="DTW1" s="292"/>
      <c r="DTX1" s="292"/>
      <c r="DTY1" s="292"/>
      <c r="DTZ1" s="292"/>
      <c r="DUA1" s="292"/>
      <c r="DUB1" s="292"/>
      <c r="DUC1" s="292"/>
      <c r="DUD1" s="292"/>
      <c r="DUE1" s="292"/>
      <c r="DUF1" s="292"/>
      <c r="DUG1" s="292"/>
      <c r="DUH1" s="292"/>
      <c r="DUI1" s="292"/>
      <c r="DUJ1" s="292"/>
      <c r="DUK1" s="292"/>
      <c r="DUL1" s="292"/>
      <c r="DUM1" s="292"/>
      <c r="DUN1" s="292"/>
      <c r="DUO1" s="292"/>
      <c r="DUP1" s="292"/>
      <c r="DUQ1" s="292"/>
      <c r="DUR1" s="292"/>
      <c r="DUS1" s="292"/>
      <c r="DUT1" s="292"/>
      <c r="DUU1" s="292"/>
      <c r="DUV1" s="292"/>
      <c r="DUW1" s="292"/>
      <c r="DUX1" s="292"/>
      <c r="DUY1" s="292"/>
      <c r="DUZ1" s="292"/>
      <c r="DVA1" s="292"/>
      <c r="DVB1" s="292"/>
      <c r="DVC1" s="292"/>
      <c r="DVD1" s="292"/>
      <c r="DVE1" s="292"/>
      <c r="DVF1" s="292"/>
      <c r="DVG1" s="292"/>
      <c r="DVH1" s="292"/>
      <c r="DVI1" s="292"/>
      <c r="DVJ1" s="292"/>
      <c r="DVK1" s="292"/>
      <c r="DVL1" s="292"/>
      <c r="DVM1" s="292"/>
      <c r="DVN1" s="292"/>
      <c r="DVO1" s="292"/>
      <c r="DVP1" s="292"/>
      <c r="DVQ1" s="292"/>
      <c r="DVR1" s="292"/>
      <c r="DVS1" s="292"/>
      <c r="DVT1" s="292"/>
      <c r="DVU1" s="292"/>
      <c r="DVV1" s="292"/>
      <c r="DVW1" s="292"/>
      <c r="DVX1" s="292"/>
      <c r="DVY1" s="292"/>
      <c r="DVZ1" s="292"/>
      <c r="DWA1" s="292"/>
      <c r="DWB1" s="292"/>
      <c r="DWC1" s="292"/>
      <c r="DWD1" s="292"/>
      <c r="DWE1" s="292"/>
      <c r="DWF1" s="292"/>
      <c r="DWG1" s="292"/>
      <c r="DWH1" s="292"/>
      <c r="DWI1" s="292"/>
      <c r="DWJ1" s="292"/>
      <c r="DWK1" s="292"/>
      <c r="DWL1" s="292"/>
      <c r="DWM1" s="292"/>
      <c r="DWN1" s="292"/>
      <c r="DWO1" s="292"/>
      <c r="DWP1" s="292"/>
      <c r="DWQ1" s="292"/>
      <c r="DWR1" s="292"/>
      <c r="DWS1" s="292"/>
      <c r="DWT1" s="292"/>
      <c r="DWU1" s="292"/>
      <c r="DWV1" s="292"/>
      <c r="DWW1" s="292"/>
      <c r="DWX1" s="292"/>
      <c r="DWY1" s="292"/>
      <c r="DWZ1" s="292"/>
      <c r="DXA1" s="292"/>
      <c r="DXB1" s="292"/>
      <c r="DXC1" s="292"/>
      <c r="DXD1" s="292"/>
      <c r="DXE1" s="292"/>
      <c r="DXF1" s="292"/>
      <c r="DXG1" s="292"/>
      <c r="DXH1" s="292"/>
      <c r="DXI1" s="292"/>
      <c r="DXJ1" s="292"/>
      <c r="DXK1" s="292"/>
      <c r="DXL1" s="292"/>
      <c r="DXM1" s="292"/>
      <c r="DXN1" s="292"/>
      <c r="DXO1" s="292"/>
      <c r="DXP1" s="292"/>
      <c r="DXQ1" s="292"/>
      <c r="DXR1" s="292"/>
      <c r="DXS1" s="292"/>
      <c r="DXT1" s="292"/>
      <c r="DXU1" s="292"/>
      <c r="DXV1" s="292"/>
      <c r="DXW1" s="292"/>
      <c r="DXX1" s="292"/>
      <c r="DXY1" s="292"/>
      <c r="DXZ1" s="292"/>
      <c r="DYA1" s="292"/>
      <c r="DYB1" s="292"/>
      <c r="DYC1" s="292"/>
      <c r="DYD1" s="292"/>
      <c r="DYE1" s="292"/>
      <c r="DYF1" s="292"/>
      <c r="DYG1" s="292"/>
      <c r="DYH1" s="292"/>
      <c r="DYI1" s="292"/>
      <c r="DYJ1" s="292"/>
      <c r="DYK1" s="292"/>
      <c r="DYL1" s="292"/>
      <c r="DYM1" s="292"/>
      <c r="DYN1" s="292"/>
      <c r="DYO1" s="292"/>
      <c r="DYP1" s="292"/>
      <c r="DYQ1" s="292"/>
      <c r="DYR1" s="292"/>
      <c r="DYS1" s="292"/>
      <c r="DYT1" s="292"/>
      <c r="DYU1" s="292"/>
      <c r="DYV1" s="292"/>
      <c r="DYW1" s="292"/>
      <c r="DYX1" s="292"/>
      <c r="DYY1" s="292"/>
      <c r="DYZ1" s="292"/>
      <c r="DZA1" s="292"/>
      <c r="DZB1" s="292"/>
      <c r="DZC1" s="292"/>
      <c r="DZD1" s="292"/>
      <c r="DZE1" s="292"/>
      <c r="DZF1" s="292"/>
      <c r="DZG1" s="292"/>
      <c r="DZH1" s="292"/>
      <c r="DZI1" s="292"/>
      <c r="DZJ1" s="292"/>
      <c r="DZK1" s="292"/>
      <c r="DZL1" s="292"/>
      <c r="DZM1" s="292"/>
      <c r="DZN1" s="292"/>
      <c r="DZO1" s="292"/>
      <c r="DZP1" s="292"/>
      <c r="DZQ1" s="292"/>
      <c r="DZR1" s="292"/>
      <c r="DZS1" s="292"/>
      <c r="DZT1" s="292"/>
      <c r="DZU1" s="292"/>
      <c r="DZV1" s="292"/>
      <c r="DZW1" s="292"/>
      <c r="DZX1" s="292"/>
      <c r="DZY1" s="292"/>
      <c r="DZZ1" s="292"/>
      <c r="EAA1" s="292"/>
      <c r="EAB1" s="292"/>
      <c r="EAC1" s="292"/>
      <c r="EAD1" s="292"/>
      <c r="EAE1" s="292"/>
      <c r="EAF1" s="292"/>
      <c r="EAG1" s="292"/>
      <c r="EAH1" s="292"/>
      <c r="EAI1" s="292"/>
      <c r="EAJ1" s="292"/>
      <c r="EAK1" s="292"/>
      <c r="EAL1" s="292"/>
      <c r="EAM1" s="292"/>
      <c r="EAN1" s="292"/>
      <c r="EAO1" s="292"/>
      <c r="EAP1" s="292"/>
      <c r="EAQ1" s="292"/>
      <c r="EAR1" s="292"/>
      <c r="EAS1" s="292"/>
      <c r="EAT1" s="292"/>
      <c r="EAU1" s="292"/>
      <c r="EAV1" s="292"/>
      <c r="EAW1" s="292"/>
      <c r="EAX1" s="292"/>
      <c r="EAY1" s="292"/>
      <c r="EAZ1" s="292"/>
      <c r="EBA1" s="292"/>
      <c r="EBB1" s="292"/>
      <c r="EBC1" s="292"/>
      <c r="EBD1" s="292"/>
      <c r="EBE1" s="292"/>
      <c r="EBF1" s="292"/>
      <c r="EBG1" s="292"/>
      <c r="EBH1" s="292"/>
      <c r="EBI1" s="292"/>
      <c r="EBJ1" s="292"/>
      <c r="EBK1" s="292"/>
      <c r="EBL1" s="292"/>
      <c r="EBM1" s="292"/>
      <c r="EBN1" s="292"/>
      <c r="EBO1" s="292"/>
      <c r="EBP1" s="292"/>
      <c r="EBQ1" s="292"/>
      <c r="EBR1" s="292"/>
      <c r="EBS1" s="292"/>
      <c r="EBT1" s="292"/>
      <c r="EBU1" s="292"/>
      <c r="EBV1" s="292"/>
      <c r="EBW1" s="292"/>
      <c r="EBX1" s="292"/>
      <c r="EBY1" s="292"/>
      <c r="EBZ1" s="292"/>
      <c r="ECA1" s="292"/>
      <c r="ECB1" s="292"/>
      <c r="ECC1" s="292"/>
      <c r="ECD1" s="292"/>
      <c r="ECE1" s="292"/>
      <c r="ECF1" s="292"/>
      <c r="ECG1" s="292"/>
      <c r="ECH1" s="292"/>
      <c r="ECI1" s="292"/>
      <c r="ECJ1" s="292"/>
      <c r="ECK1" s="292"/>
      <c r="ECL1" s="292"/>
      <c r="ECM1" s="292"/>
      <c r="ECN1" s="292"/>
      <c r="ECO1" s="292"/>
      <c r="ECP1" s="292"/>
      <c r="ECQ1" s="292"/>
      <c r="ECR1" s="292"/>
      <c r="ECS1" s="292"/>
      <c r="ECT1" s="292"/>
      <c r="ECU1" s="292"/>
      <c r="ECV1" s="292"/>
      <c r="ECW1" s="292"/>
      <c r="ECX1" s="292"/>
      <c r="ECY1" s="292"/>
      <c r="ECZ1" s="292"/>
      <c r="EDA1" s="292"/>
      <c r="EDB1" s="292"/>
      <c r="EDC1" s="292"/>
      <c r="EDD1" s="292"/>
      <c r="EDE1" s="292"/>
      <c r="EDF1" s="292"/>
      <c r="EDG1" s="292"/>
      <c r="EDH1" s="292"/>
      <c r="EDI1" s="292"/>
      <c r="EDJ1" s="292"/>
      <c r="EDK1" s="292"/>
      <c r="EDL1" s="292"/>
      <c r="EDM1" s="292"/>
      <c r="EDN1" s="292"/>
      <c r="EDO1" s="292"/>
      <c r="EDP1" s="292"/>
      <c r="EDQ1" s="292"/>
      <c r="EDR1" s="292"/>
      <c r="EDS1" s="292"/>
      <c r="EDT1" s="292"/>
      <c r="EDU1" s="292"/>
      <c r="EDV1" s="292"/>
      <c r="EDW1" s="292"/>
      <c r="EDX1" s="292"/>
      <c r="EDY1" s="292"/>
      <c r="EDZ1" s="292"/>
      <c r="EEA1" s="292"/>
      <c r="EEB1" s="292"/>
      <c r="EEC1" s="292"/>
      <c r="EED1" s="292"/>
      <c r="EEE1" s="292"/>
      <c r="EEF1" s="292"/>
      <c r="EEG1" s="292"/>
      <c r="EEH1" s="292"/>
      <c r="EEI1" s="292"/>
      <c r="EEJ1" s="292"/>
      <c r="EEK1" s="292"/>
      <c r="EEL1" s="292"/>
      <c r="EEM1" s="292"/>
      <c r="EEN1" s="292"/>
      <c r="EEO1" s="292"/>
      <c r="EEP1" s="292"/>
      <c r="EEQ1" s="292"/>
      <c r="EER1" s="292"/>
      <c r="EES1" s="292"/>
      <c r="EET1" s="292"/>
      <c r="EEU1" s="292"/>
      <c r="EEV1" s="292"/>
      <c r="EEW1" s="292"/>
      <c r="EEX1" s="292"/>
      <c r="EEY1" s="292"/>
      <c r="EEZ1" s="292"/>
      <c r="EFA1" s="292"/>
      <c r="EFB1" s="292"/>
      <c r="EFC1" s="292"/>
      <c r="EFD1" s="292"/>
      <c r="EFE1" s="292"/>
      <c r="EFF1" s="292"/>
      <c r="EFG1" s="292"/>
      <c r="EFH1" s="292"/>
      <c r="EFI1" s="292"/>
      <c r="EFJ1" s="292"/>
      <c r="EFK1" s="292"/>
      <c r="EFL1" s="292"/>
      <c r="EFM1" s="292"/>
      <c r="EFN1" s="292"/>
      <c r="EFO1" s="292"/>
      <c r="EFP1" s="292"/>
      <c r="EFQ1" s="292"/>
      <c r="EFR1" s="292"/>
      <c r="EFS1" s="292"/>
      <c r="EFT1" s="292"/>
      <c r="EFU1" s="292"/>
      <c r="EFV1" s="292"/>
      <c r="EFW1" s="292"/>
      <c r="EFX1" s="292"/>
      <c r="EFY1" s="292"/>
      <c r="EFZ1" s="292"/>
      <c r="EGA1" s="292"/>
      <c r="EGB1" s="292"/>
      <c r="EGC1" s="292"/>
      <c r="EGD1" s="292"/>
      <c r="EGE1" s="292"/>
      <c r="EGF1" s="292"/>
      <c r="EGG1" s="292"/>
      <c r="EGH1" s="292"/>
      <c r="EGI1" s="292"/>
      <c r="EGJ1" s="292"/>
      <c r="EGK1" s="292"/>
      <c r="EGL1" s="292"/>
      <c r="EGM1" s="292"/>
      <c r="EGN1" s="292"/>
      <c r="EGO1" s="292"/>
      <c r="EGP1" s="292"/>
      <c r="EGQ1" s="292"/>
      <c r="EGR1" s="292"/>
      <c r="EGS1" s="292"/>
      <c r="EGT1" s="292"/>
      <c r="EGU1" s="292"/>
      <c r="EGV1" s="292"/>
      <c r="EGW1" s="292"/>
      <c r="EGX1" s="292"/>
      <c r="EGY1" s="292"/>
      <c r="EGZ1" s="292"/>
      <c r="EHA1" s="292"/>
      <c r="EHB1" s="292"/>
      <c r="EHC1" s="292"/>
      <c r="EHD1" s="292"/>
      <c r="EHE1" s="292"/>
      <c r="EHF1" s="292"/>
      <c r="EHG1" s="292"/>
      <c r="EHH1" s="292"/>
      <c r="EHI1" s="292"/>
      <c r="EHJ1" s="292"/>
      <c r="EHK1" s="292"/>
      <c r="EHL1" s="292"/>
      <c r="EHM1" s="292"/>
      <c r="EHN1" s="292"/>
      <c r="EHO1" s="292"/>
      <c r="EHP1" s="292"/>
      <c r="EHQ1" s="292"/>
      <c r="EHR1" s="292"/>
      <c r="EHS1" s="292"/>
      <c r="EHT1" s="292"/>
      <c r="EHU1" s="292"/>
      <c r="EHV1" s="292"/>
      <c r="EHW1" s="292"/>
      <c r="EHX1" s="292"/>
      <c r="EHY1" s="292"/>
      <c r="EHZ1" s="292"/>
      <c r="EIA1" s="292"/>
      <c r="EIB1" s="292"/>
      <c r="EIC1" s="292"/>
      <c r="EID1" s="292"/>
      <c r="EIE1" s="292"/>
      <c r="EIF1" s="292"/>
      <c r="EIG1" s="292"/>
      <c r="EIH1" s="292"/>
      <c r="EII1" s="292"/>
      <c r="EIJ1" s="292"/>
      <c r="EIK1" s="292"/>
      <c r="EIL1" s="292"/>
      <c r="EIM1" s="292"/>
      <c r="EIN1" s="292"/>
      <c r="EIO1" s="292"/>
      <c r="EIP1" s="292"/>
      <c r="EIQ1" s="292"/>
      <c r="EIR1" s="292"/>
      <c r="EIS1" s="292"/>
      <c r="EIT1" s="292"/>
      <c r="EIU1" s="292"/>
      <c r="EIV1" s="292"/>
      <c r="EIW1" s="292"/>
      <c r="EIX1" s="292"/>
      <c r="EIY1" s="292"/>
      <c r="EIZ1" s="292"/>
      <c r="EJA1" s="292"/>
      <c r="EJB1" s="292"/>
      <c r="EJC1" s="292"/>
      <c r="EJD1" s="292"/>
      <c r="EJE1" s="292"/>
      <c r="EJF1" s="292"/>
      <c r="EJG1" s="292"/>
      <c r="EJH1" s="292"/>
      <c r="EJI1" s="292"/>
      <c r="EJJ1" s="292"/>
      <c r="EJK1" s="292"/>
      <c r="EJL1" s="292"/>
      <c r="EJM1" s="292"/>
      <c r="EJN1" s="292"/>
      <c r="EJO1" s="292"/>
      <c r="EJP1" s="292"/>
      <c r="EJQ1" s="292"/>
      <c r="EJR1" s="292"/>
      <c r="EJS1" s="292"/>
      <c r="EJT1" s="292"/>
      <c r="EJU1" s="292"/>
      <c r="EJV1" s="292"/>
      <c r="EJW1" s="292"/>
      <c r="EJX1" s="292"/>
      <c r="EJY1" s="292"/>
      <c r="EJZ1" s="292"/>
      <c r="EKA1" s="292"/>
      <c r="EKB1" s="292"/>
      <c r="EKC1" s="292"/>
      <c r="EKD1" s="292"/>
      <c r="EKE1" s="292"/>
      <c r="EKF1" s="292"/>
      <c r="EKG1" s="292"/>
      <c r="EKH1" s="292"/>
      <c r="EKI1" s="292"/>
      <c r="EKJ1" s="292"/>
      <c r="EKK1" s="292"/>
      <c r="EKL1" s="292"/>
      <c r="EKM1" s="292"/>
      <c r="EKN1" s="292"/>
      <c r="EKO1" s="292"/>
      <c r="EKP1" s="292"/>
      <c r="EKQ1" s="292"/>
      <c r="EKR1" s="292"/>
      <c r="EKS1" s="292"/>
      <c r="EKT1" s="292"/>
      <c r="EKU1" s="292"/>
      <c r="EKV1" s="292"/>
      <c r="EKW1" s="292"/>
      <c r="EKX1" s="292"/>
      <c r="EKY1" s="292"/>
      <c r="EKZ1" s="292"/>
      <c r="ELA1" s="292"/>
      <c r="ELB1" s="292"/>
      <c r="ELC1" s="292"/>
      <c r="ELD1" s="292"/>
      <c r="ELE1" s="292"/>
      <c r="ELF1" s="292"/>
      <c r="ELG1" s="292"/>
      <c r="ELH1" s="292"/>
      <c r="ELI1" s="292"/>
      <c r="ELJ1" s="292"/>
      <c r="ELK1" s="292"/>
      <c r="ELL1" s="292"/>
      <c r="ELM1" s="292"/>
      <c r="ELN1" s="292"/>
      <c r="ELO1" s="292"/>
      <c r="ELP1" s="292"/>
      <c r="ELQ1" s="292"/>
      <c r="ELR1" s="292"/>
      <c r="ELS1" s="292"/>
      <c r="ELT1" s="292"/>
      <c r="ELU1" s="292"/>
      <c r="ELV1" s="292"/>
      <c r="ELW1" s="292"/>
      <c r="ELX1" s="292"/>
      <c r="ELY1" s="292"/>
      <c r="ELZ1" s="292"/>
      <c r="EMA1" s="292"/>
      <c r="EMB1" s="292"/>
      <c r="EMC1" s="292"/>
      <c r="EMD1" s="292"/>
      <c r="EME1" s="292"/>
      <c r="EMF1" s="292"/>
      <c r="EMG1" s="292"/>
      <c r="EMH1" s="292"/>
      <c r="EMI1" s="292"/>
      <c r="EMJ1" s="292"/>
      <c r="EMK1" s="292"/>
      <c r="EML1" s="292"/>
      <c r="EMM1" s="292"/>
      <c r="EMN1" s="292"/>
      <c r="EMO1" s="292"/>
      <c r="EMP1" s="292"/>
      <c r="EMQ1" s="292"/>
      <c r="EMR1" s="292"/>
      <c r="EMS1" s="292"/>
      <c r="EMT1" s="292"/>
      <c r="EMU1" s="292"/>
      <c r="EMV1" s="292"/>
      <c r="EMW1" s="292"/>
      <c r="EMX1" s="292"/>
      <c r="EMY1" s="292"/>
      <c r="EMZ1" s="292"/>
      <c r="ENA1" s="292"/>
      <c r="ENB1" s="292"/>
      <c r="ENC1" s="292"/>
      <c r="END1" s="292"/>
      <c r="ENE1" s="292"/>
      <c r="ENF1" s="292"/>
      <c r="ENG1" s="292"/>
      <c r="ENH1" s="292"/>
      <c r="ENI1" s="292"/>
      <c r="ENJ1" s="292"/>
      <c r="ENK1" s="292"/>
      <c r="ENL1" s="292"/>
      <c r="ENM1" s="292"/>
      <c r="ENN1" s="292"/>
      <c r="ENO1" s="292"/>
      <c r="ENP1" s="292"/>
      <c r="ENQ1" s="292"/>
      <c r="ENR1" s="292"/>
      <c r="ENS1" s="292"/>
      <c r="ENT1" s="292"/>
      <c r="ENU1" s="292"/>
      <c r="ENV1" s="292"/>
      <c r="ENW1" s="292"/>
      <c r="ENX1" s="292"/>
      <c r="ENY1" s="292"/>
      <c r="ENZ1" s="292"/>
      <c r="EOA1" s="292"/>
      <c r="EOB1" s="292"/>
      <c r="EOC1" s="292"/>
      <c r="EOD1" s="292"/>
      <c r="EOE1" s="292"/>
      <c r="EOF1" s="292"/>
      <c r="EOG1" s="292"/>
      <c r="EOH1" s="292"/>
      <c r="EOI1" s="292"/>
      <c r="EOJ1" s="292"/>
      <c r="EOK1" s="292"/>
      <c r="EOL1" s="292"/>
      <c r="EOM1" s="292"/>
      <c r="EON1" s="292"/>
      <c r="EOO1" s="292"/>
      <c r="EOP1" s="292"/>
      <c r="EOQ1" s="292"/>
      <c r="EOR1" s="292"/>
      <c r="EOS1" s="292"/>
      <c r="EOT1" s="292"/>
      <c r="EOU1" s="292"/>
      <c r="EOV1" s="292"/>
      <c r="EOW1" s="292"/>
      <c r="EOX1" s="292"/>
      <c r="EOY1" s="292"/>
      <c r="EOZ1" s="292"/>
      <c r="EPA1" s="292"/>
      <c r="EPB1" s="292"/>
      <c r="EPC1" s="292"/>
      <c r="EPD1" s="292"/>
      <c r="EPE1" s="292"/>
      <c r="EPF1" s="292"/>
      <c r="EPG1" s="292"/>
      <c r="EPH1" s="292"/>
      <c r="EPI1" s="292"/>
      <c r="EPJ1" s="292"/>
      <c r="EPK1" s="292"/>
      <c r="EPL1" s="292"/>
      <c r="EPM1" s="292"/>
      <c r="EPN1" s="292"/>
      <c r="EPO1" s="292"/>
      <c r="EPP1" s="292"/>
      <c r="EPQ1" s="292"/>
      <c r="EPR1" s="292"/>
      <c r="EPS1" s="292"/>
      <c r="EPT1" s="292"/>
      <c r="EPU1" s="292"/>
      <c r="EPV1" s="292"/>
      <c r="EPW1" s="292"/>
      <c r="EPX1" s="292"/>
      <c r="EPY1" s="292"/>
      <c r="EPZ1" s="292"/>
      <c r="EQA1" s="292"/>
      <c r="EQB1" s="292"/>
      <c r="EQC1" s="292"/>
      <c r="EQD1" s="292"/>
      <c r="EQE1" s="292"/>
      <c r="EQF1" s="292"/>
      <c r="EQG1" s="292"/>
      <c r="EQH1" s="292"/>
      <c r="EQI1" s="292"/>
      <c r="EQJ1" s="292"/>
      <c r="EQK1" s="292"/>
      <c r="EQL1" s="292"/>
      <c r="EQM1" s="292"/>
      <c r="EQN1" s="292"/>
      <c r="EQO1" s="292"/>
      <c r="EQP1" s="292"/>
      <c r="EQQ1" s="292"/>
      <c r="EQR1" s="292"/>
      <c r="EQS1" s="292"/>
      <c r="EQT1" s="292"/>
      <c r="EQU1" s="292"/>
      <c r="EQV1" s="292"/>
      <c r="EQW1" s="292"/>
      <c r="EQX1" s="292"/>
      <c r="EQY1" s="292"/>
      <c r="EQZ1" s="292"/>
      <c r="ERA1" s="292"/>
      <c r="ERB1" s="292"/>
      <c r="ERC1" s="292"/>
      <c r="ERD1" s="292"/>
      <c r="ERE1" s="292"/>
      <c r="ERF1" s="292"/>
      <c r="ERG1" s="292"/>
      <c r="ERH1" s="292"/>
      <c r="ERI1" s="292"/>
      <c r="ERJ1" s="292"/>
      <c r="ERK1" s="292"/>
      <c r="ERL1" s="292"/>
      <c r="ERM1" s="292"/>
      <c r="ERN1" s="292"/>
      <c r="ERO1" s="292"/>
      <c r="ERP1" s="292"/>
      <c r="ERQ1" s="292"/>
      <c r="ERR1" s="292"/>
      <c r="ERS1" s="292"/>
      <c r="ERT1" s="292"/>
      <c r="ERU1" s="292"/>
      <c r="ERV1" s="292"/>
      <c r="ERW1" s="292"/>
      <c r="ERX1" s="292"/>
      <c r="ERY1" s="292"/>
      <c r="ERZ1" s="292"/>
      <c r="ESA1" s="292"/>
      <c r="ESB1" s="292"/>
      <c r="ESC1" s="292"/>
      <c r="ESD1" s="292"/>
      <c r="ESE1" s="292"/>
      <c r="ESF1" s="292"/>
      <c r="ESG1" s="292"/>
      <c r="ESH1" s="292"/>
      <c r="ESI1" s="292"/>
      <c r="ESJ1" s="292"/>
      <c r="ESK1" s="292"/>
      <c r="ESL1" s="292"/>
      <c r="ESM1" s="292"/>
      <c r="ESN1" s="292"/>
      <c r="ESO1" s="292"/>
      <c r="ESP1" s="292"/>
      <c r="ESQ1" s="292"/>
      <c r="ESR1" s="292"/>
      <c r="ESS1" s="292"/>
      <c r="EST1" s="292"/>
      <c r="ESU1" s="292"/>
      <c r="ESV1" s="292"/>
      <c r="ESW1" s="292"/>
      <c r="ESX1" s="292"/>
      <c r="ESY1" s="292"/>
      <c r="ESZ1" s="292"/>
      <c r="ETA1" s="292"/>
      <c r="ETB1" s="292"/>
      <c r="ETC1" s="292"/>
      <c r="ETD1" s="292"/>
      <c r="ETE1" s="292"/>
      <c r="ETF1" s="292"/>
      <c r="ETG1" s="292"/>
      <c r="ETH1" s="292"/>
      <c r="ETI1" s="292"/>
      <c r="ETJ1" s="292"/>
      <c r="ETK1" s="292"/>
      <c r="ETL1" s="292"/>
      <c r="ETM1" s="292"/>
      <c r="ETN1" s="292"/>
      <c r="ETO1" s="292"/>
      <c r="ETP1" s="292"/>
      <c r="ETQ1" s="292"/>
      <c r="ETR1" s="292"/>
      <c r="ETS1" s="292"/>
      <c r="ETT1" s="292"/>
      <c r="ETU1" s="292"/>
      <c r="ETV1" s="292"/>
      <c r="ETW1" s="292"/>
      <c r="ETX1" s="292"/>
      <c r="ETY1" s="292"/>
      <c r="ETZ1" s="292"/>
      <c r="EUA1" s="292"/>
      <c r="EUB1" s="292"/>
      <c r="EUC1" s="292"/>
      <c r="EUD1" s="292"/>
      <c r="EUE1" s="292"/>
      <c r="EUF1" s="292"/>
      <c r="EUG1" s="292"/>
      <c r="EUH1" s="292"/>
      <c r="EUI1" s="292"/>
      <c r="EUJ1" s="292"/>
      <c r="EUK1" s="292"/>
      <c r="EUL1" s="292"/>
      <c r="EUM1" s="292"/>
      <c r="EUN1" s="292"/>
      <c r="EUO1" s="292"/>
      <c r="EUP1" s="292"/>
      <c r="EUQ1" s="292"/>
      <c r="EUR1" s="292"/>
      <c r="EUS1" s="292"/>
      <c r="EUT1" s="292"/>
      <c r="EUU1" s="292"/>
      <c r="EUV1" s="292"/>
      <c r="EUW1" s="292"/>
      <c r="EUX1" s="292"/>
      <c r="EUY1" s="292"/>
      <c r="EUZ1" s="292"/>
      <c r="EVA1" s="292"/>
      <c r="EVB1" s="292"/>
      <c r="EVC1" s="292"/>
      <c r="EVD1" s="292"/>
      <c r="EVE1" s="292"/>
      <c r="EVF1" s="292"/>
      <c r="EVG1" s="292"/>
      <c r="EVH1" s="292"/>
      <c r="EVI1" s="292"/>
      <c r="EVJ1" s="292"/>
      <c r="EVK1" s="292"/>
      <c r="EVL1" s="292"/>
      <c r="EVM1" s="292"/>
      <c r="EVN1" s="292"/>
      <c r="EVO1" s="292"/>
      <c r="EVP1" s="292"/>
      <c r="EVQ1" s="292"/>
      <c r="EVR1" s="292"/>
      <c r="EVS1" s="292"/>
      <c r="EVT1" s="292"/>
      <c r="EVU1" s="292"/>
      <c r="EVV1" s="292"/>
      <c r="EVW1" s="292"/>
      <c r="EVX1" s="292"/>
      <c r="EVY1" s="292"/>
      <c r="EVZ1" s="292"/>
      <c r="EWA1" s="292"/>
      <c r="EWB1" s="292"/>
      <c r="EWC1" s="292"/>
      <c r="EWD1" s="292"/>
      <c r="EWE1" s="292"/>
      <c r="EWF1" s="292"/>
      <c r="EWG1" s="292"/>
      <c r="EWH1" s="292"/>
      <c r="EWI1" s="292"/>
      <c r="EWJ1" s="292"/>
      <c r="EWK1" s="292"/>
      <c r="EWL1" s="292"/>
      <c r="EWM1" s="292"/>
      <c r="EWN1" s="292"/>
      <c r="EWO1" s="292"/>
      <c r="EWP1" s="292"/>
      <c r="EWQ1" s="292"/>
      <c r="EWR1" s="292"/>
      <c r="EWS1" s="292"/>
      <c r="EWT1" s="292"/>
      <c r="EWU1" s="292"/>
      <c r="EWV1" s="292"/>
      <c r="EWW1" s="292"/>
      <c r="EWX1" s="292"/>
      <c r="EWY1" s="292"/>
      <c r="EWZ1" s="292"/>
      <c r="EXA1" s="292"/>
      <c r="EXB1" s="292"/>
      <c r="EXC1" s="292"/>
      <c r="EXD1" s="292"/>
      <c r="EXE1" s="292"/>
      <c r="EXF1" s="292"/>
      <c r="EXG1" s="292"/>
      <c r="EXH1" s="292"/>
      <c r="EXI1" s="292"/>
      <c r="EXJ1" s="292"/>
      <c r="EXK1" s="292"/>
      <c r="EXL1" s="292"/>
      <c r="EXM1" s="292"/>
      <c r="EXN1" s="292"/>
      <c r="EXO1" s="292"/>
      <c r="EXP1" s="292"/>
      <c r="EXQ1" s="292"/>
      <c r="EXR1" s="292"/>
      <c r="EXS1" s="292"/>
      <c r="EXT1" s="292"/>
      <c r="EXU1" s="292"/>
      <c r="EXV1" s="292"/>
      <c r="EXW1" s="292"/>
      <c r="EXX1" s="292"/>
      <c r="EXY1" s="292"/>
      <c r="EXZ1" s="292"/>
      <c r="EYA1" s="292"/>
      <c r="EYB1" s="292"/>
      <c r="EYC1" s="292"/>
      <c r="EYD1" s="292"/>
      <c r="EYE1" s="292"/>
      <c r="EYF1" s="292"/>
      <c r="EYG1" s="292"/>
      <c r="EYH1" s="292"/>
      <c r="EYI1" s="292"/>
      <c r="EYJ1" s="292"/>
      <c r="EYK1" s="292"/>
      <c r="EYL1" s="292"/>
      <c r="EYM1" s="292"/>
      <c r="EYN1" s="292"/>
      <c r="EYO1" s="292"/>
      <c r="EYP1" s="292"/>
      <c r="EYQ1" s="292"/>
      <c r="EYR1" s="292"/>
      <c r="EYS1" s="292"/>
      <c r="EYT1" s="292"/>
      <c r="EYU1" s="292"/>
      <c r="EYV1" s="292"/>
      <c r="EYW1" s="292"/>
      <c r="EYX1" s="292"/>
      <c r="EYY1" s="292"/>
      <c r="EYZ1" s="292"/>
      <c r="EZA1" s="292"/>
      <c r="EZB1" s="292"/>
      <c r="EZC1" s="292"/>
      <c r="EZD1" s="292"/>
      <c r="EZE1" s="292"/>
      <c r="EZF1" s="292"/>
      <c r="EZG1" s="292"/>
      <c r="EZH1" s="292"/>
      <c r="EZI1" s="292"/>
      <c r="EZJ1" s="292"/>
      <c r="EZK1" s="292"/>
      <c r="EZL1" s="292"/>
      <c r="EZM1" s="292"/>
      <c r="EZN1" s="292"/>
      <c r="EZO1" s="292"/>
      <c r="EZP1" s="292"/>
      <c r="EZQ1" s="292"/>
      <c r="EZR1" s="292"/>
      <c r="EZS1" s="292"/>
      <c r="EZT1" s="292"/>
      <c r="EZU1" s="292"/>
      <c r="EZV1" s="292"/>
      <c r="EZW1" s="292"/>
      <c r="EZX1" s="292"/>
      <c r="EZY1" s="292"/>
      <c r="EZZ1" s="292"/>
      <c r="FAA1" s="292"/>
      <c r="FAB1" s="292"/>
      <c r="FAC1" s="292"/>
      <c r="FAD1" s="292"/>
      <c r="FAE1" s="292"/>
      <c r="FAF1" s="292"/>
      <c r="FAG1" s="292"/>
      <c r="FAH1" s="292"/>
      <c r="FAI1" s="292"/>
      <c r="FAJ1" s="292"/>
      <c r="FAK1" s="292"/>
      <c r="FAL1" s="292"/>
      <c r="FAM1" s="292"/>
      <c r="FAN1" s="292"/>
      <c r="FAO1" s="292"/>
      <c r="FAP1" s="292"/>
      <c r="FAQ1" s="292"/>
      <c r="FAR1" s="292"/>
      <c r="FAS1" s="292"/>
      <c r="FAT1" s="292"/>
      <c r="FAU1" s="292"/>
      <c r="FAV1" s="292"/>
      <c r="FAW1" s="292"/>
      <c r="FAX1" s="292"/>
      <c r="FAY1" s="292"/>
      <c r="FAZ1" s="292"/>
      <c r="FBA1" s="292"/>
      <c r="FBB1" s="292"/>
      <c r="FBC1" s="292"/>
      <c r="FBD1" s="292"/>
      <c r="FBE1" s="292"/>
      <c r="FBF1" s="292"/>
      <c r="FBG1" s="292"/>
      <c r="FBH1" s="292"/>
      <c r="FBI1" s="292"/>
      <c r="FBJ1" s="292"/>
      <c r="FBK1" s="292"/>
      <c r="FBL1" s="292"/>
      <c r="FBM1" s="292"/>
      <c r="FBN1" s="292"/>
      <c r="FBO1" s="292"/>
      <c r="FBP1" s="292"/>
      <c r="FBQ1" s="292"/>
      <c r="FBR1" s="292"/>
      <c r="FBS1" s="292"/>
      <c r="FBT1" s="292"/>
      <c r="FBU1" s="292"/>
      <c r="FBV1" s="292"/>
      <c r="FBW1" s="292"/>
      <c r="FBX1" s="292"/>
      <c r="FBY1" s="292"/>
      <c r="FBZ1" s="292"/>
      <c r="FCA1" s="292"/>
      <c r="FCB1" s="292"/>
      <c r="FCC1" s="292"/>
      <c r="FCD1" s="292"/>
      <c r="FCE1" s="292"/>
      <c r="FCF1" s="292"/>
      <c r="FCG1" s="292"/>
      <c r="FCH1" s="292"/>
      <c r="FCI1" s="292"/>
      <c r="FCJ1" s="292"/>
      <c r="FCK1" s="292"/>
      <c r="FCL1" s="292"/>
      <c r="FCM1" s="292"/>
      <c r="FCN1" s="292"/>
      <c r="FCO1" s="292"/>
      <c r="FCP1" s="292"/>
      <c r="FCQ1" s="292"/>
      <c r="FCR1" s="292"/>
      <c r="FCS1" s="292"/>
      <c r="FCT1" s="292"/>
      <c r="FCU1" s="292"/>
      <c r="FCV1" s="292"/>
      <c r="FCW1" s="292"/>
      <c r="FCX1" s="292"/>
      <c r="FCY1" s="292"/>
      <c r="FCZ1" s="292"/>
      <c r="FDA1" s="292"/>
      <c r="FDB1" s="292"/>
      <c r="FDC1" s="292"/>
      <c r="FDD1" s="292"/>
      <c r="FDE1" s="292"/>
      <c r="FDF1" s="292"/>
      <c r="FDG1" s="292"/>
      <c r="FDH1" s="292"/>
      <c r="FDI1" s="292"/>
      <c r="FDJ1" s="292"/>
      <c r="FDK1" s="292"/>
      <c r="FDL1" s="292"/>
      <c r="FDM1" s="292"/>
      <c r="FDN1" s="292"/>
      <c r="FDO1" s="292"/>
      <c r="FDP1" s="292"/>
      <c r="FDQ1" s="292"/>
      <c r="FDR1" s="292"/>
      <c r="FDS1" s="292"/>
      <c r="FDT1" s="292"/>
      <c r="FDU1" s="292"/>
      <c r="FDV1" s="292"/>
      <c r="FDW1" s="292"/>
      <c r="FDX1" s="292"/>
      <c r="FDY1" s="292"/>
      <c r="FDZ1" s="292"/>
      <c r="FEA1" s="292"/>
      <c r="FEB1" s="292"/>
      <c r="FEC1" s="292"/>
      <c r="FED1" s="292"/>
      <c r="FEE1" s="292"/>
      <c r="FEF1" s="292"/>
      <c r="FEG1" s="292"/>
      <c r="FEH1" s="292"/>
      <c r="FEI1" s="292"/>
      <c r="FEJ1" s="292"/>
      <c r="FEK1" s="292"/>
      <c r="FEL1" s="292"/>
      <c r="FEM1" s="292"/>
      <c r="FEN1" s="292"/>
      <c r="FEO1" s="292"/>
      <c r="FEP1" s="292"/>
      <c r="FEQ1" s="292"/>
      <c r="FER1" s="292"/>
      <c r="FES1" s="292"/>
      <c r="FET1" s="292"/>
      <c r="FEU1" s="292"/>
      <c r="FEV1" s="292"/>
      <c r="FEW1" s="292"/>
      <c r="FEX1" s="292"/>
      <c r="FEY1" s="292"/>
      <c r="FEZ1" s="292"/>
      <c r="FFA1" s="292"/>
      <c r="FFB1" s="292"/>
      <c r="FFC1" s="292"/>
      <c r="FFD1" s="292"/>
      <c r="FFE1" s="292"/>
      <c r="FFF1" s="292"/>
      <c r="FFG1" s="292"/>
      <c r="FFH1" s="292"/>
      <c r="FFI1" s="292"/>
      <c r="FFJ1" s="292"/>
      <c r="FFK1" s="292"/>
      <c r="FFL1" s="292"/>
      <c r="FFM1" s="292"/>
      <c r="FFN1" s="292"/>
      <c r="FFO1" s="292"/>
      <c r="FFP1" s="292"/>
      <c r="FFQ1" s="292"/>
      <c r="FFR1" s="292"/>
      <c r="FFS1" s="292"/>
      <c r="FFT1" s="292"/>
      <c r="FFU1" s="292"/>
      <c r="FFV1" s="292"/>
      <c r="FFW1" s="292"/>
      <c r="FFX1" s="292"/>
      <c r="FFY1" s="292"/>
      <c r="FFZ1" s="292"/>
      <c r="FGA1" s="292"/>
      <c r="FGB1" s="292"/>
      <c r="FGC1" s="292"/>
      <c r="FGD1" s="292"/>
      <c r="FGE1" s="292"/>
      <c r="FGF1" s="292"/>
      <c r="FGG1" s="292"/>
      <c r="FGH1" s="292"/>
      <c r="FGI1" s="292"/>
      <c r="FGJ1" s="292"/>
      <c r="FGK1" s="292"/>
      <c r="FGL1" s="292"/>
      <c r="FGM1" s="292"/>
      <c r="FGN1" s="292"/>
      <c r="FGO1" s="292"/>
      <c r="FGP1" s="292"/>
      <c r="FGQ1" s="292"/>
      <c r="FGR1" s="292"/>
      <c r="FGS1" s="292"/>
      <c r="FGT1" s="292"/>
      <c r="FGU1" s="292"/>
      <c r="FGV1" s="292"/>
      <c r="FGW1" s="292"/>
      <c r="FGX1" s="292"/>
      <c r="FGY1" s="292"/>
      <c r="FGZ1" s="292"/>
      <c r="FHA1" s="292"/>
      <c r="FHB1" s="292"/>
      <c r="FHC1" s="292"/>
      <c r="FHD1" s="292"/>
      <c r="FHE1" s="292"/>
      <c r="FHF1" s="292"/>
      <c r="FHG1" s="292"/>
      <c r="FHH1" s="292"/>
      <c r="FHI1" s="292"/>
      <c r="FHJ1" s="292"/>
      <c r="FHK1" s="292"/>
      <c r="FHL1" s="292"/>
      <c r="FHM1" s="292"/>
      <c r="FHN1" s="292"/>
      <c r="FHO1" s="292"/>
      <c r="FHP1" s="292"/>
      <c r="FHQ1" s="292"/>
      <c r="FHR1" s="292"/>
      <c r="FHS1" s="292"/>
      <c r="FHT1" s="292"/>
      <c r="FHU1" s="292"/>
      <c r="FHV1" s="292"/>
      <c r="FHW1" s="292"/>
      <c r="FHX1" s="292"/>
      <c r="FHY1" s="292"/>
      <c r="FHZ1" s="292"/>
      <c r="FIA1" s="292"/>
      <c r="FIB1" s="292"/>
      <c r="FIC1" s="292"/>
      <c r="FID1" s="292"/>
      <c r="FIE1" s="292"/>
      <c r="FIF1" s="292"/>
      <c r="FIG1" s="292"/>
      <c r="FIH1" s="292"/>
      <c r="FII1" s="292"/>
      <c r="FIJ1" s="292"/>
      <c r="FIK1" s="292"/>
      <c r="FIL1" s="292"/>
      <c r="FIM1" s="292"/>
      <c r="FIN1" s="292"/>
      <c r="FIO1" s="292"/>
      <c r="FIP1" s="292"/>
      <c r="FIQ1" s="292"/>
      <c r="FIR1" s="292"/>
      <c r="FIS1" s="292"/>
      <c r="FIT1" s="292"/>
      <c r="FIU1" s="292"/>
      <c r="FIV1" s="292"/>
      <c r="FIW1" s="292"/>
      <c r="FIX1" s="292"/>
      <c r="FIY1" s="292"/>
      <c r="FIZ1" s="292"/>
      <c r="FJA1" s="292"/>
      <c r="FJB1" s="292"/>
      <c r="FJC1" s="292"/>
      <c r="FJD1" s="292"/>
      <c r="FJE1" s="292"/>
      <c r="FJF1" s="292"/>
      <c r="FJG1" s="292"/>
      <c r="FJH1" s="292"/>
      <c r="FJI1" s="292"/>
      <c r="FJJ1" s="292"/>
      <c r="FJK1" s="292"/>
      <c r="FJL1" s="292"/>
      <c r="FJM1" s="292"/>
      <c r="FJN1" s="292"/>
      <c r="FJO1" s="292"/>
      <c r="FJP1" s="292"/>
      <c r="FJQ1" s="292"/>
      <c r="FJR1" s="292"/>
      <c r="FJS1" s="292"/>
      <c r="FJT1" s="292"/>
      <c r="FJU1" s="292"/>
      <c r="FJV1" s="292"/>
      <c r="FJW1" s="292"/>
      <c r="FJX1" s="292"/>
      <c r="FJY1" s="292"/>
      <c r="FJZ1" s="292"/>
      <c r="FKA1" s="292"/>
      <c r="FKB1" s="292"/>
      <c r="FKC1" s="292"/>
      <c r="FKD1" s="292"/>
      <c r="FKE1" s="292"/>
      <c r="FKF1" s="292"/>
      <c r="FKG1" s="292"/>
      <c r="FKH1" s="292"/>
      <c r="FKI1" s="292"/>
      <c r="FKJ1" s="292"/>
      <c r="FKK1" s="292"/>
      <c r="FKL1" s="292"/>
      <c r="FKM1" s="292"/>
      <c r="FKN1" s="292"/>
      <c r="FKO1" s="292"/>
      <c r="FKP1" s="292"/>
      <c r="FKQ1" s="292"/>
      <c r="FKR1" s="292"/>
      <c r="FKS1" s="292"/>
      <c r="FKT1" s="292"/>
      <c r="FKU1" s="292"/>
      <c r="FKV1" s="292"/>
      <c r="FKW1" s="292"/>
      <c r="FKX1" s="292"/>
      <c r="FKY1" s="292"/>
      <c r="FKZ1" s="292"/>
      <c r="FLA1" s="292"/>
      <c r="FLB1" s="292"/>
      <c r="FLC1" s="292"/>
      <c r="FLD1" s="292"/>
      <c r="FLE1" s="292"/>
      <c r="FLF1" s="292"/>
      <c r="FLG1" s="292"/>
      <c r="FLH1" s="292"/>
      <c r="FLI1" s="292"/>
      <c r="FLJ1" s="292"/>
      <c r="FLK1" s="292"/>
      <c r="FLL1" s="292"/>
      <c r="FLM1" s="292"/>
      <c r="FLN1" s="292"/>
      <c r="FLO1" s="292"/>
      <c r="FLP1" s="292"/>
      <c r="FLQ1" s="292"/>
      <c r="FLR1" s="292"/>
      <c r="FLS1" s="292"/>
      <c r="FLT1" s="292"/>
      <c r="FLU1" s="292"/>
      <c r="FLV1" s="292"/>
      <c r="FLW1" s="292"/>
      <c r="FLX1" s="292"/>
      <c r="FLY1" s="292"/>
      <c r="FLZ1" s="292"/>
      <c r="FMA1" s="292"/>
      <c r="FMB1" s="292"/>
      <c r="FMC1" s="292"/>
      <c r="FMD1" s="292"/>
      <c r="FME1" s="292"/>
      <c r="FMF1" s="292"/>
      <c r="FMG1" s="292"/>
      <c r="FMH1" s="292"/>
      <c r="FMI1" s="292"/>
      <c r="FMJ1" s="292"/>
      <c r="FMK1" s="292"/>
      <c r="FML1" s="292"/>
      <c r="FMM1" s="292"/>
      <c r="FMN1" s="292"/>
      <c r="FMO1" s="292"/>
      <c r="FMP1" s="292"/>
      <c r="FMQ1" s="292"/>
      <c r="FMR1" s="292"/>
      <c r="FMS1" s="292"/>
      <c r="FMT1" s="292"/>
      <c r="FMU1" s="292"/>
      <c r="FMV1" s="292"/>
      <c r="FMW1" s="292"/>
      <c r="FMX1" s="292"/>
      <c r="FMY1" s="292"/>
      <c r="FMZ1" s="292"/>
      <c r="FNA1" s="292"/>
      <c r="FNB1" s="292"/>
      <c r="FNC1" s="292"/>
      <c r="FND1" s="292"/>
      <c r="FNE1" s="292"/>
      <c r="FNF1" s="292"/>
      <c r="FNG1" s="292"/>
      <c r="FNH1" s="292"/>
      <c r="FNI1" s="292"/>
      <c r="FNJ1" s="292"/>
      <c r="FNK1" s="292"/>
      <c r="FNL1" s="292"/>
      <c r="FNM1" s="292"/>
      <c r="FNN1" s="292"/>
      <c r="FNO1" s="292"/>
      <c r="FNP1" s="292"/>
      <c r="FNQ1" s="292"/>
      <c r="FNR1" s="292"/>
      <c r="FNS1" s="292"/>
      <c r="FNT1" s="292"/>
      <c r="FNU1" s="292"/>
      <c r="FNV1" s="292"/>
      <c r="FNW1" s="292"/>
      <c r="FNX1" s="292"/>
      <c r="FNY1" s="292"/>
      <c r="FNZ1" s="292"/>
      <c r="FOA1" s="292"/>
      <c r="FOB1" s="292"/>
      <c r="FOC1" s="292"/>
      <c r="FOD1" s="292"/>
      <c r="FOE1" s="292"/>
      <c r="FOF1" s="292"/>
      <c r="FOG1" s="292"/>
      <c r="FOH1" s="292"/>
      <c r="FOI1" s="292"/>
      <c r="FOJ1" s="292"/>
      <c r="FOK1" s="292"/>
      <c r="FOL1" s="292"/>
      <c r="FOM1" s="292"/>
      <c r="FON1" s="292"/>
      <c r="FOO1" s="292"/>
      <c r="FOP1" s="292"/>
      <c r="FOQ1" s="292"/>
      <c r="FOR1" s="292"/>
      <c r="FOS1" s="292"/>
      <c r="FOT1" s="292"/>
      <c r="FOU1" s="292"/>
      <c r="FOV1" s="292"/>
      <c r="FOW1" s="292"/>
      <c r="FOX1" s="292"/>
      <c r="FOY1" s="292"/>
      <c r="FOZ1" s="292"/>
      <c r="FPA1" s="292"/>
      <c r="FPB1" s="292"/>
      <c r="FPC1" s="292"/>
      <c r="FPD1" s="292"/>
      <c r="FPE1" s="292"/>
      <c r="FPF1" s="292"/>
      <c r="FPG1" s="292"/>
      <c r="FPH1" s="292"/>
      <c r="FPI1" s="292"/>
      <c r="FPJ1" s="292"/>
      <c r="FPK1" s="292"/>
      <c r="FPL1" s="292"/>
      <c r="FPM1" s="292"/>
      <c r="FPN1" s="292"/>
      <c r="FPO1" s="292"/>
      <c r="FPP1" s="292"/>
      <c r="FPQ1" s="292"/>
      <c r="FPR1" s="292"/>
      <c r="FPS1" s="292"/>
      <c r="FPT1" s="292"/>
      <c r="FPU1" s="292"/>
      <c r="FPV1" s="292"/>
      <c r="FPW1" s="292"/>
      <c r="FPX1" s="292"/>
      <c r="FPY1" s="292"/>
      <c r="FPZ1" s="292"/>
      <c r="FQA1" s="292"/>
      <c r="FQB1" s="292"/>
      <c r="FQC1" s="292"/>
      <c r="FQD1" s="292"/>
      <c r="FQE1" s="292"/>
      <c r="FQF1" s="292"/>
      <c r="FQG1" s="292"/>
      <c r="FQH1" s="292"/>
      <c r="FQI1" s="292"/>
      <c r="FQJ1" s="292"/>
      <c r="FQK1" s="292"/>
      <c r="FQL1" s="292"/>
      <c r="FQM1" s="292"/>
      <c r="FQN1" s="292"/>
      <c r="FQO1" s="292"/>
      <c r="FQP1" s="292"/>
      <c r="FQQ1" s="292"/>
      <c r="FQR1" s="292"/>
      <c r="FQS1" s="292"/>
      <c r="FQT1" s="292"/>
      <c r="FQU1" s="292"/>
      <c r="FQV1" s="292"/>
      <c r="FQW1" s="292"/>
      <c r="FQX1" s="292"/>
      <c r="FQY1" s="292"/>
      <c r="FQZ1" s="292"/>
      <c r="FRA1" s="292"/>
      <c r="FRB1" s="292"/>
      <c r="FRC1" s="292"/>
      <c r="FRD1" s="292"/>
      <c r="FRE1" s="292"/>
      <c r="FRF1" s="292"/>
      <c r="FRG1" s="292"/>
      <c r="FRH1" s="292"/>
      <c r="FRI1" s="292"/>
      <c r="FRJ1" s="292"/>
      <c r="FRK1" s="292"/>
      <c r="FRL1" s="292"/>
      <c r="FRM1" s="292"/>
      <c r="FRN1" s="292"/>
      <c r="FRO1" s="292"/>
      <c r="FRP1" s="292"/>
      <c r="FRQ1" s="292"/>
      <c r="FRR1" s="292"/>
      <c r="FRS1" s="292"/>
      <c r="FRT1" s="292"/>
      <c r="FRU1" s="292"/>
      <c r="FRV1" s="292"/>
      <c r="FRW1" s="292"/>
      <c r="FRX1" s="292"/>
      <c r="FRY1" s="292"/>
      <c r="FRZ1" s="292"/>
      <c r="FSA1" s="292"/>
      <c r="FSB1" s="292"/>
      <c r="FSC1" s="292"/>
      <c r="FSD1" s="292"/>
      <c r="FSE1" s="292"/>
      <c r="FSF1" s="292"/>
      <c r="FSG1" s="292"/>
      <c r="FSH1" s="292"/>
      <c r="FSI1" s="292"/>
      <c r="FSJ1" s="292"/>
      <c r="FSK1" s="292"/>
      <c r="FSL1" s="292"/>
      <c r="FSM1" s="292"/>
      <c r="FSN1" s="292"/>
      <c r="FSO1" s="292"/>
      <c r="FSP1" s="292"/>
      <c r="FSQ1" s="292"/>
      <c r="FSR1" s="292"/>
      <c r="FSS1" s="292"/>
      <c r="FST1" s="292"/>
      <c r="FSU1" s="292"/>
      <c r="FSV1" s="292"/>
      <c r="FSW1" s="292"/>
      <c r="FSX1" s="292"/>
      <c r="FSY1" s="292"/>
      <c r="FSZ1" s="292"/>
      <c r="FTA1" s="292"/>
      <c r="FTB1" s="292"/>
      <c r="FTC1" s="292"/>
      <c r="FTD1" s="292"/>
      <c r="FTE1" s="292"/>
      <c r="FTF1" s="292"/>
      <c r="FTG1" s="292"/>
      <c r="FTH1" s="292"/>
      <c r="FTI1" s="292"/>
      <c r="FTJ1" s="292"/>
      <c r="FTK1" s="292"/>
      <c r="FTL1" s="292"/>
      <c r="FTM1" s="292"/>
      <c r="FTN1" s="292"/>
      <c r="FTO1" s="292"/>
      <c r="FTP1" s="292"/>
      <c r="FTQ1" s="292"/>
      <c r="FTR1" s="292"/>
      <c r="FTS1" s="292"/>
      <c r="FTT1" s="292"/>
      <c r="FTU1" s="292"/>
      <c r="FTV1" s="292"/>
      <c r="FTW1" s="292"/>
      <c r="FTX1" s="292"/>
      <c r="FTY1" s="292"/>
      <c r="FTZ1" s="292"/>
      <c r="FUA1" s="292"/>
      <c r="FUB1" s="292"/>
      <c r="FUC1" s="292"/>
      <c r="FUD1" s="292"/>
      <c r="FUE1" s="292"/>
      <c r="FUF1" s="292"/>
      <c r="FUG1" s="292"/>
      <c r="FUH1" s="292"/>
      <c r="FUI1" s="292"/>
      <c r="FUJ1" s="292"/>
      <c r="FUK1" s="292"/>
      <c r="FUL1" s="292"/>
      <c r="FUM1" s="292"/>
      <c r="FUN1" s="292"/>
      <c r="FUO1" s="292"/>
      <c r="FUP1" s="292"/>
      <c r="FUQ1" s="292"/>
      <c r="FUR1" s="292"/>
      <c r="FUS1" s="292"/>
      <c r="FUT1" s="292"/>
      <c r="FUU1" s="292"/>
      <c r="FUV1" s="292"/>
      <c r="FUW1" s="292"/>
      <c r="FUX1" s="292"/>
      <c r="FUY1" s="292"/>
      <c r="FUZ1" s="292"/>
      <c r="FVA1" s="292"/>
      <c r="FVB1" s="292"/>
      <c r="FVC1" s="292"/>
      <c r="FVD1" s="292"/>
      <c r="FVE1" s="292"/>
      <c r="FVF1" s="292"/>
      <c r="FVG1" s="292"/>
      <c r="FVH1" s="292"/>
      <c r="FVI1" s="292"/>
      <c r="FVJ1" s="292"/>
      <c r="FVK1" s="292"/>
      <c r="FVL1" s="292"/>
      <c r="FVM1" s="292"/>
      <c r="FVN1" s="292"/>
      <c r="FVO1" s="292"/>
      <c r="FVP1" s="292"/>
      <c r="FVQ1" s="292"/>
      <c r="FVR1" s="292"/>
      <c r="FVS1" s="292"/>
      <c r="FVT1" s="292"/>
      <c r="FVU1" s="292"/>
      <c r="FVV1" s="292"/>
      <c r="FVW1" s="292"/>
      <c r="FVX1" s="292"/>
      <c r="FVY1" s="292"/>
      <c r="FVZ1" s="292"/>
      <c r="FWA1" s="292"/>
      <c r="FWB1" s="292"/>
      <c r="FWC1" s="292"/>
      <c r="FWD1" s="292"/>
      <c r="FWE1" s="292"/>
      <c r="FWF1" s="292"/>
      <c r="FWG1" s="292"/>
      <c r="FWH1" s="292"/>
      <c r="FWI1" s="292"/>
      <c r="FWJ1" s="292"/>
      <c r="FWK1" s="292"/>
      <c r="FWL1" s="292"/>
      <c r="FWM1" s="292"/>
      <c r="FWN1" s="292"/>
      <c r="FWO1" s="292"/>
      <c r="FWP1" s="292"/>
      <c r="FWQ1" s="292"/>
      <c r="FWR1" s="292"/>
      <c r="FWS1" s="292"/>
      <c r="FWT1" s="292"/>
      <c r="FWU1" s="292"/>
      <c r="FWV1" s="292"/>
      <c r="FWW1" s="292"/>
      <c r="FWX1" s="292"/>
      <c r="FWY1" s="292"/>
      <c r="FWZ1" s="292"/>
      <c r="FXA1" s="292"/>
      <c r="FXB1" s="292"/>
      <c r="FXC1" s="292"/>
      <c r="FXD1" s="292"/>
      <c r="FXE1" s="292"/>
      <c r="FXF1" s="292"/>
      <c r="FXG1" s="292"/>
      <c r="FXH1" s="292"/>
      <c r="FXI1" s="292"/>
      <c r="FXJ1" s="292"/>
      <c r="FXK1" s="292"/>
      <c r="FXL1" s="292"/>
      <c r="FXM1" s="292"/>
      <c r="FXN1" s="292"/>
      <c r="FXO1" s="292"/>
      <c r="FXP1" s="292"/>
      <c r="FXQ1" s="292"/>
      <c r="FXR1" s="292"/>
      <c r="FXS1" s="292"/>
      <c r="FXT1" s="292"/>
      <c r="FXU1" s="292"/>
      <c r="FXV1" s="292"/>
      <c r="FXW1" s="292"/>
      <c r="FXX1" s="292"/>
      <c r="FXY1" s="292"/>
      <c r="FXZ1" s="292"/>
      <c r="FYA1" s="292"/>
      <c r="FYB1" s="292"/>
      <c r="FYC1" s="292"/>
      <c r="FYD1" s="292"/>
      <c r="FYE1" s="292"/>
      <c r="FYF1" s="292"/>
      <c r="FYG1" s="292"/>
      <c r="FYH1" s="292"/>
      <c r="FYI1" s="292"/>
      <c r="FYJ1" s="292"/>
      <c r="FYK1" s="292"/>
      <c r="FYL1" s="292"/>
      <c r="FYM1" s="292"/>
      <c r="FYN1" s="292"/>
      <c r="FYO1" s="292"/>
      <c r="FYP1" s="292"/>
      <c r="FYQ1" s="292"/>
      <c r="FYR1" s="292"/>
      <c r="FYS1" s="292"/>
      <c r="FYT1" s="292"/>
      <c r="FYU1" s="292"/>
      <c r="FYV1" s="292"/>
      <c r="FYW1" s="292"/>
      <c r="FYX1" s="292"/>
      <c r="FYY1" s="292"/>
      <c r="FYZ1" s="292"/>
      <c r="FZA1" s="292"/>
      <c r="FZB1" s="292"/>
      <c r="FZC1" s="292"/>
      <c r="FZD1" s="292"/>
      <c r="FZE1" s="292"/>
      <c r="FZF1" s="292"/>
      <c r="FZG1" s="292"/>
      <c r="FZH1" s="292"/>
      <c r="FZI1" s="292"/>
      <c r="FZJ1" s="292"/>
      <c r="FZK1" s="292"/>
      <c r="FZL1" s="292"/>
      <c r="FZM1" s="292"/>
      <c r="FZN1" s="292"/>
      <c r="FZO1" s="292"/>
      <c r="FZP1" s="292"/>
      <c r="FZQ1" s="292"/>
      <c r="FZR1" s="292"/>
      <c r="FZS1" s="292"/>
      <c r="FZT1" s="292"/>
      <c r="FZU1" s="292"/>
      <c r="FZV1" s="292"/>
      <c r="FZW1" s="292"/>
      <c r="FZX1" s="292"/>
      <c r="FZY1" s="292"/>
      <c r="FZZ1" s="292"/>
      <c r="GAA1" s="292"/>
      <c r="GAB1" s="292"/>
      <c r="GAC1" s="292"/>
      <c r="GAD1" s="292"/>
      <c r="GAE1" s="292"/>
      <c r="GAF1" s="292"/>
      <c r="GAG1" s="292"/>
      <c r="GAH1" s="292"/>
      <c r="GAI1" s="292"/>
      <c r="GAJ1" s="292"/>
      <c r="GAK1" s="292"/>
      <c r="GAL1" s="292"/>
      <c r="GAM1" s="292"/>
      <c r="GAN1" s="292"/>
      <c r="GAO1" s="292"/>
      <c r="GAP1" s="292"/>
      <c r="GAQ1" s="292"/>
      <c r="GAR1" s="292"/>
      <c r="GAS1" s="292"/>
      <c r="GAT1" s="292"/>
      <c r="GAU1" s="292"/>
      <c r="GAV1" s="292"/>
      <c r="GAW1" s="292"/>
      <c r="GAX1" s="292"/>
      <c r="GAY1" s="292"/>
      <c r="GAZ1" s="292"/>
      <c r="GBA1" s="292"/>
      <c r="GBB1" s="292"/>
      <c r="GBC1" s="292"/>
      <c r="GBD1" s="292"/>
      <c r="GBE1" s="292"/>
      <c r="GBF1" s="292"/>
      <c r="GBG1" s="292"/>
      <c r="GBH1" s="292"/>
      <c r="GBI1" s="292"/>
      <c r="GBJ1" s="292"/>
      <c r="GBK1" s="292"/>
      <c r="GBL1" s="292"/>
      <c r="GBM1" s="292"/>
      <c r="GBN1" s="292"/>
      <c r="GBO1" s="292"/>
      <c r="GBP1" s="292"/>
      <c r="GBQ1" s="292"/>
      <c r="GBR1" s="292"/>
      <c r="GBS1" s="292"/>
      <c r="GBT1" s="292"/>
      <c r="GBU1" s="292"/>
      <c r="GBV1" s="292"/>
      <c r="GBW1" s="292"/>
      <c r="GBX1" s="292"/>
      <c r="GBY1" s="292"/>
      <c r="GBZ1" s="292"/>
      <c r="GCA1" s="292"/>
      <c r="GCB1" s="292"/>
      <c r="GCC1" s="292"/>
      <c r="GCD1" s="292"/>
      <c r="GCE1" s="292"/>
      <c r="GCF1" s="292"/>
      <c r="GCG1" s="292"/>
      <c r="GCH1" s="292"/>
      <c r="GCI1" s="292"/>
      <c r="GCJ1" s="292"/>
      <c r="GCK1" s="292"/>
      <c r="GCL1" s="292"/>
      <c r="GCM1" s="292"/>
      <c r="GCN1" s="292"/>
      <c r="GCO1" s="292"/>
      <c r="GCP1" s="292"/>
      <c r="GCQ1" s="292"/>
      <c r="GCR1" s="292"/>
      <c r="GCS1" s="292"/>
      <c r="GCT1" s="292"/>
      <c r="GCU1" s="292"/>
      <c r="GCV1" s="292"/>
      <c r="GCW1" s="292"/>
      <c r="GCX1" s="292"/>
      <c r="GCY1" s="292"/>
      <c r="GCZ1" s="292"/>
      <c r="GDA1" s="292"/>
      <c r="GDB1" s="292"/>
      <c r="GDC1" s="292"/>
      <c r="GDD1" s="292"/>
      <c r="GDE1" s="292"/>
      <c r="GDF1" s="292"/>
      <c r="GDG1" s="292"/>
      <c r="GDH1" s="292"/>
      <c r="GDI1" s="292"/>
      <c r="GDJ1" s="292"/>
      <c r="GDK1" s="292"/>
      <c r="GDL1" s="292"/>
      <c r="GDM1" s="292"/>
      <c r="GDN1" s="292"/>
      <c r="GDO1" s="292"/>
      <c r="GDP1" s="292"/>
      <c r="GDQ1" s="292"/>
      <c r="GDR1" s="292"/>
      <c r="GDS1" s="292"/>
      <c r="GDT1" s="292"/>
      <c r="GDU1" s="292"/>
      <c r="GDV1" s="292"/>
      <c r="GDW1" s="292"/>
      <c r="GDX1" s="292"/>
      <c r="GDY1" s="292"/>
      <c r="GDZ1" s="292"/>
      <c r="GEA1" s="292"/>
      <c r="GEB1" s="292"/>
      <c r="GEC1" s="292"/>
      <c r="GED1" s="292"/>
      <c r="GEE1" s="292"/>
      <c r="GEF1" s="292"/>
      <c r="GEG1" s="292"/>
      <c r="GEH1" s="292"/>
      <c r="GEI1" s="292"/>
      <c r="GEJ1" s="292"/>
      <c r="GEK1" s="292"/>
      <c r="GEL1" s="292"/>
      <c r="GEM1" s="292"/>
      <c r="GEN1" s="292"/>
      <c r="GEO1" s="292"/>
      <c r="GEP1" s="292"/>
      <c r="GEQ1" s="292"/>
      <c r="GER1" s="292"/>
      <c r="GES1" s="292"/>
      <c r="GET1" s="292"/>
      <c r="GEU1" s="292"/>
      <c r="GEV1" s="292"/>
      <c r="GEW1" s="292"/>
      <c r="GEX1" s="292"/>
      <c r="GEY1" s="292"/>
      <c r="GEZ1" s="292"/>
      <c r="GFA1" s="292"/>
      <c r="GFB1" s="292"/>
      <c r="GFC1" s="292"/>
      <c r="GFD1" s="292"/>
      <c r="GFE1" s="292"/>
      <c r="GFF1" s="292"/>
      <c r="GFG1" s="292"/>
      <c r="GFH1" s="292"/>
      <c r="GFI1" s="292"/>
      <c r="GFJ1" s="292"/>
      <c r="GFK1" s="292"/>
      <c r="GFL1" s="292"/>
      <c r="GFM1" s="292"/>
      <c r="GFN1" s="292"/>
      <c r="GFO1" s="292"/>
      <c r="GFP1" s="292"/>
      <c r="GFQ1" s="292"/>
      <c r="GFR1" s="292"/>
      <c r="GFS1" s="292"/>
      <c r="GFT1" s="292"/>
      <c r="GFU1" s="292"/>
      <c r="GFV1" s="292"/>
      <c r="GFW1" s="292"/>
      <c r="GFX1" s="292"/>
      <c r="GFY1" s="292"/>
      <c r="GFZ1" s="292"/>
      <c r="GGA1" s="292"/>
      <c r="GGB1" s="292"/>
      <c r="GGC1" s="292"/>
      <c r="GGD1" s="292"/>
      <c r="GGE1" s="292"/>
      <c r="GGF1" s="292"/>
      <c r="GGG1" s="292"/>
      <c r="GGH1" s="292"/>
      <c r="GGI1" s="292"/>
      <c r="GGJ1" s="292"/>
      <c r="GGK1" s="292"/>
      <c r="GGL1" s="292"/>
      <c r="GGM1" s="292"/>
      <c r="GGN1" s="292"/>
      <c r="GGO1" s="292"/>
      <c r="GGP1" s="292"/>
      <c r="GGQ1" s="292"/>
      <c r="GGR1" s="292"/>
      <c r="GGS1" s="292"/>
      <c r="GGT1" s="292"/>
      <c r="GGU1" s="292"/>
      <c r="GGV1" s="292"/>
      <c r="GGW1" s="292"/>
      <c r="GGX1" s="292"/>
      <c r="GGY1" s="292"/>
      <c r="GGZ1" s="292"/>
      <c r="GHA1" s="292"/>
      <c r="GHB1" s="292"/>
      <c r="GHC1" s="292"/>
      <c r="GHD1" s="292"/>
      <c r="GHE1" s="292"/>
      <c r="GHF1" s="292"/>
      <c r="GHG1" s="292"/>
      <c r="GHH1" s="292"/>
      <c r="GHI1" s="292"/>
      <c r="GHJ1" s="292"/>
      <c r="GHK1" s="292"/>
      <c r="GHL1" s="292"/>
      <c r="GHM1" s="292"/>
      <c r="GHN1" s="292"/>
      <c r="GHO1" s="292"/>
      <c r="GHP1" s="292"/>
      <c r="GHQ1" s="292"/>
      <c r="GHR1" s="292"/>
      <c r="GHS1" s="292"/>
      <c r="GHT1" s="292"/>
      <c r="GHU1" s="292"/>
      <c r="GHV1" s="292"/>
      <c r="GHW1" s="292"/>
      <c r="GHX1" s="292"/>
      <c r="GHY1" s="292"/>
      <c r="GHZ1" s="292"/>
      <c r="GIA1" s="292"/>
      <c r="GIB1" s="292"/>
      <c r="GIC1" s="292"/>
      <c r="GID1" s="292"/>
      <c r="GIE1" s="292"/>
      <c r="GIF1" s="292"/>
      <c r="GIG1" s="292"/>
      <c r="GIH1" s="292"/>
      <c r="GII1" s="292"/>
      <c r="GIJ1" s="292"/>
      <c r="GIK1" s="292"/>
      <c r="GIL1" s="292"/>
      <c r="GIM1" s="292"/>
      <c r="GIN1" s="292"/>
      <c r="GIO1" s="292"/>
      <c r="GIP1" s="292"/>
      <c r="GIQ1" s="292"/>
      <c r="GIR1" s="292"/>
      <c r="GIS1" s="292"/>
      <c r="GIT1" s="292"/>
      <c r="GIU1" s="292"/>
      <c r="GIV1" s="292"/>
      <c r="GIW1" s="292"/>
      <c r="GIX1" s="292"/>
      <c r="GIY1" s="292"/>
      <c r="GIZ1" s="292"/>
      <c r="GJA1" s="292"/>
      <c r="GJB1" s="292"/>
      <c r="GJC1" s="292"/>
      <c r="GJD1" s="292"/>
      <c r="GJE1" s="292"/>
      <c r="GJF1" s="292"/>
      <c r="GJG1" s="292"/>
      <c r="GJH1" s="292"/>
      <c r="GJI1" s="292"/>
      <c r="GJJ1" s="292"/>
      <c r="GJK1" s="292"/>
      <c r="GJL1" s="292"/>
      <c r="GJM1" s="292"/>
      <c r="GJN1" s="292"/>
      <c r="GJO1" s="292"/>
      <c r="GJP1" s="292"/>
      <c r="GJQ1" s="292"/>
      <c r="GJR1" s="292"/>
      <c r="GJS1" s="292"/>
      <c r="GJT1" s="292"/>
      <c r="GJU1" s="292"/>
      <c r="GJV1" s="292"/>
      <c r="GJW1" s="292"/>
      <c r="GJX1" s="292"/>
      <c r="GJY1" s="292"/>
      <c r="GJZ1" s="292"/>
      <c r="GKA1" s="292"/>
      <c r="GKB1" s="292"/>
      <c r="GKC1" s="292"/>
      <c r="GKD1" s="292"/>
      <c r="GKE1" s="292"/>
      <c r="GKF1" s="292"/>
      <c r="GKG1" s="292"/>
      <c r="GKH1" s="292"/>
      <c r="GKI1" s="292"/>
      <c r="GKJ1" s="292"/>
      <c r="GKK1" s="292"/>
      <c r="GKL1" s="292"/>
      <c r="GKM1" s="292"/>
      <c r="GKN1" s="292"/>
      <c r="GKO1" s="292"/>
      <c r="GKP1" s="292"/>
      <c r="GKQ1" s="292"/>
      <c r="GKR1" s="292"/>
      <c r="GKS1" s="292"/>
      <c r="GKT1" s="292"/>
      <c r="GKU1" s="292"/>
      <c r="GKV1" s="292"/>
      <c r="GKW1" s="292"/>
      <c r="GKX1" s="292"/>
      <c r="GKY1" s="292"/>
      <c r="GKZ1" s="292"/>
      <c r="GLA1" s="292"/>
      <c r="GLB1" s="292"/>
      <c r="GLC1" s="292"/>
      <c r="GLD1" s="292"/>
      <c r="GLE1" s="292"/>
      <c r="GLF1" s="292"/>
      <c r="GLG1" s="292"/>
      <c r="GLH1" s="292"/>
      <c r="GLI1" s="292"/>
      <c r="GLJ1" s="292"/>
      <c r="GLK1" s="292"/>
      <c r="GLL1" s="292"/>
      <c r="GLM1" s="292"/>
      <c r="GLN1" s="292"/>
      <c r="GLO1" s="292"/>
      <c r="GLP1" s="292"/>
      <c r="GLQ1" s="292"/>
      <c r="GLR1" s="292"/>
      <c r="GLS1" s="292"/>
      <c r="GLT1" s="292"/>
      <c r="GLU1" s="292"/>
      <c r="GLV1" s="292"/>
      <c r="GLW1" s="292"/>
      <c r="GLX1" s="292"/>
      <c r="GLY1" s="292"/>
      <c r="GLZ1" s="292"/>
      <c r="GMA1" s="292"/>
      <c r="GMB1" s="292"/>
      <c r="GMC1" s="292"/>
      <c r="GMD1" s="292"/>
      <c r="GME1" s="292"/>
      <c r="GMF1" s="292"/>
      <c r="GMG1" s="292"/>
      <c r="GMH1" s="292"/>
      <c r="GMI1" s="292"/>
      <c r="GMJ1" s="292"/>
      <c r="GMK1" s="292"/>
      <c r="GML1" s="292"/>
      <c r="GMM1" s="292"/>
      <c r="GMN1" s="292"/>
      <c r="GMO1" s="292"/>
      <c r="GMP1" s="292"/>
      <c r="GMQ1" s="292"/>
      <c r="GMR1" s="292"/>
      <c r="GMS1" s="292"/>
      <c r="GMT1" s="292"/>
      <c r="GMU1" s="292"/>
      <c r="GMV1" s="292"/>
      <c r="GMW1" s="292"/>
      <c r="GMX1" s="292"/>
      <c r="GMY1" s="292"/>
      <c r="GMZ1" s="292"/>
      <c r="GNA1" s="292"/>
      <c r="GNB1" s="292"/>
      <c r="GNC1" s="292"/>
      <c r="GND1" s="292"/>
      <c r="GNE1" s="292"/>
      <c r="GNF1" s="292"/>
      <c r="GNG1" s="292"/>
      <c r="GNH1" s="292"/>
      <c r="GNI1" s="292"/>
      <c r="GNJ1" s="292"/>
      <c r="GNK1" s="292"/>
      <c r="GNL1" s="292"/>
      <c r="GNM1" s="292"/>
      <c r="GNN1" s="292"/>
      <c r="GNO1" s="292"/>
      <c r="GNP1" s="292"/>
      <c r="GNQ1" s="292"/>
      <c r="GNR1" s="292"/>
      <c r="GNS1" s="292"/>
      <c r="GNT1" s="292"/>
      <c r="GNU1" s="292"/>
      <c r="GNV1" s="292"/>
      <c r="GNW1" s="292"/>
      <c r="GNX1" s="292"/>
      <c r="GNY1" s="292"/>
      <c r="GNZ1" s="292"/>
      <c r="GOA1" s="292"/>
      <c r="GOB1" s="292"/>
      <c r="GOC1" s="292"/>
      <c r="GOD1" s="292"/>
      <c r="GOE1" s="292"/>
      <c r="GOF1" s="292"/>
      <c r="GOG1" s="292"/>
      <c r="GOH1" s="292"/>
      <c r="GOI1" s="292"/>
      <c r="GOJ1" s="292"/>
      <c r="GOK1" s="292"/>
      <c r="GOL1" s="292"/>
      <c r="GOM1" s="292"/>
      <c r="GON1" s="292"/>
      <c r="GOO1" s="292"/>
      <c r="GOP1" s="292"/>
      <c r="GOQ1" s="292"/>
      <c r="GOR1" s="292"/>
      <c r="GOS1" s="292"/>
      <c r="GOT1" s="292"/>
      <c r="GOU1" s="292"/>
      <c r="GOV1" s="292"/>
      <c r="GOW1" s="292"/>
      <c r="GOX1" s="292"/>
      <c r="GOY1" s="292"/>
      <c r="GOZ1" s="292"/>
      <c r="GPA1" s="292"/>
      <c r="GPB1" s="292"/>
      <c r="GPC1" s="292"/>
      <c r="GPD1" s="292"/>
      <c r="GPE1" s="292"/>
      <c r="GPF1" s="292"/>
      <c r="GPG1" s="292"/>
      <c r="GPH1" s="292"/>
      <c r="GPI1" s="292"/>
      <c r="GPJ1" s="292"/>
      <c r="GPK1" s="292"/>
      <c r="GPL1" s="292"/>
      <c r="GPM1" s="292"/>
      <c r="GPN1" s="292"/>
      <c r="GPO1" s="292"/>
      <c r="GPP1" s="292"/>
      <c r="GPQ1" s="292"/>
      <c r="GPR1" s="292"/>
      <c r="GPS1" s="292"/>
      <c r="GPT1" s="292"/>
      <c r="GPU1" s="292"/>
      <c r="GPV1" s="292"/>
      <c r="GPW1" s="292"/>
      <c r="GPX1" s="292"/>
      <c r="GPY1" s="292"/>
      <c r="GPZ1" s="292"/>
      <c r="GQA1" s="292"/>
      <c r="GQB1" s="292"/>
      <c r="GQC1" s="292"/>
      <c r="GQD1" s="292"/>
      <c r="GQE1" s="292"/>
      <c r="GQF1" s="292"/>
      <c r="GQG1" s="292"/>
      <c r="GQH1" s="292"/>
      <c r="GQI1" s="292"/>
      <c r="GQJ1" s="292"/>
      <c r="GQK1" s="292"/>
      <c r="GQL1" s="292"/>
      <c r="GQM1" s="292"/>
      <c r="GQN1" s="292"/>
      <c r="GQO1" s="292"/>
      <c r="GQP1" s="292"/>
      <c r="GQQ1" s="292"/>
      <c r="GQR1" s="292"/>
      <c r="GQS1" s="292"/>
      <c r="GQT1" s="292"/>
      <c r="GQU1" s="292"/>
      <c r="GQV1" s="292"/>
      <c r="GQW1" s="292"/>
      <c r="GQX1" s="292"/>
      <c r="GQY1" s="292"/>
      <c r="GQZ1" s="292"/>
      <c r="GRA1" s="292"/>
      <c r="GRB1" s="292"/>
      <c r="GRC1" s="292"/>
      <c r="GRD1" s="292"/>
      <c r="GRE1" s="292"/>
      <c r="GRF1" s="292"/>
      <c r="GRG1" s="292"/>
      <c r="GRH1" s="292"/>
      <c r="GRI1" s="292"/>
      <c r="GRJ1" s="292"/>
      <c r="GRK1" s="292"/>
      <c r="GRL1" s="292"/>
      <c r="GRM1" s="292"/>
      <c r="GRN1" s="292"/>
      <c r="GRO1" s="292"/>
      <c r="GRP1" s="292"/>
      <c r="GRQ1" s="292"/>
      <c r="GRR1" s="292"/>
      <c r="GRS1" s="292"/>
      <c r="GRT1" s="292"/>
      <c r="GRU1" s="292"/>
      <c r="GRV1" s="292"/>
      <c r="GRW1" s="292"/>
      <c r="GRX1" s="292"/>
      <c r="GRY1" s="292"/>
      <c r="GRZ1" s="292"/>
      <c r="GSA1" s="292"/>
      <c r="GSB1" s="292"/>
      <c r="GSC1" s="292"/>
      <c r="GSD1" s="292"/>
      <c r="GSE1" s="292"/>
      <c r="GSF1" s="292"/>
      <c r="GSG1" s="292"/>
      <c r="GSH1" s="292"/>
      <c r="GSI1" s="292"/>
      <c r="GSJ1" s="292"/>
      <c r="GSK1" s="292"/>
      <c r="GSL1" s="292"/>
      <c r="GSM1" s="292"/>
      <c r="GSN1" s="292"/>
      <c r="GSO1" s="292"/>
      <c r="GSP1" s="292"/>
      <c r="GSQ1" s="292"/>
      <c r="GSR1" s="292"/>
      <c r="GSS1" s="292"/>
      <c r="GST1" s="292"/>
      <c r="GSU1" s="292"/>
      <c r="GSV1" s="292"/>
      <c r="GSW1" s="292"/>
      <c r="GSX1" s="292"/>
      <c r="GSY1" s="292"/>
      <c r="GSZ1" s="292"/>
      <c r="GTA1" s="292"/>
      <c r="GTB1" s="292"/>
      <c r="GTC1" s="292"/>
      <c r="GTD1" s="292"/>
      <c r="GTE1" s="292"/>
      <c r="GTF1" s="292"/>
      <c r="GTG1" s="292"/>
      <c r="GTH1" s="292"/>
      <c r="GTI1" s="292"/>
      <c r="GTJ1" s="292"/>
      <c r="GTK1" s="292"/>
      <c r="GTL1" s="292"/>
      <c r="GTM1" s="292"/>
      <c r="GTN1" s="292"/>
      <c r="GTO1" s="292"/>
      <c r="GTP1" s="292"/>
      <c r="GTQ1" s="292"/>
      <c r="GTR1" s="292"/>
      <c r="GTS1" s="292"/>
      <c r="GTT1" s="292"/>
      <c r="GTU1" s="292"/>
      <c r="GTV1" s="292"/>
      <c r="GTW1" s="292"/>
      <c r="GTX1" s="292"/>
      <c r="GTY1" s="292"/>
      <c r="GTZ1" s="292"/>
      <c r="GUA1" s="292"/>
      <c r="GUB1" s="292"/>
      <c r="GUC1" s="292"/>
      <c r="GUD1" s="292"/>
      <c r="GUE1" s="292"/>
      <c r="GUF1" s="292"/>
      <c r="GUG1" s="292"/>
      <c r="GUH1" s="292"/>
      <c r="GUI1" s="292"/>
      <c r="GUJ1" s="292"/>
      <c r="GUK1" s="292"/>
      <c r="GUL1" s="292"/>
      <c r="GUM1" s="292"/>
      <c r="GUN1" s="292"/>
      <c r="GUO1" s="292"/>
      <c r="GUP1" s="292"/>
      <c r="GUQ1" s="292"/>
      <c r="GUR1" s="292"/>
      <c r="GUS1" s="292"/>
      <c r="GUT1" s="292"/>
      <c r="GUU1" s="292"/>
      <c r="GUV1" s="292"/>
      <c r="GUW1" s="292"/>
      <c r="GUX1" s="292"/>
      <c r="GUY1" s="292"/>
      <c r="GUZ1" s="292"/>
      <c r="GVA1" s="292"/>
      <c r="GVB1" s="292"/>
      <c r="GVC1" s="292"/>
      <c r="GVD1" s="292"/>
      <c r="GVE1" s="292"/>
      <c r="GVF1" s="292"/>
      <c r="GVG1" s="292"/>
      <c r="GVH1" s="292"/>
      <c r="GVI1" s="292"/>
      <c r="GVJ1" s="292"/>
      <c r="GVK1" s="292"/>
      <c r="GVL1" s="292"/>
      <c r="GVM1" s="292"/>
      <c r="GVN1" s="292"/>
      <c r="GVO1" s="292"/>
      <c r="GVP1" s="292"/>
      <c r="GVQ1" s="292"/>
      <c r="GVR1" s="292"/>
      <c r="GVS1" s="292"/>
      <c r="GVT1" s="292"/>
      <c r="GVU1" s="292"/>
      <c r="GVV1" s="292"/>
      <c r="GVW1" s="292"/>
      <c r="GVX1" s="292"/>
      <c r="GVY1" s="292"/>
      <c r="GVZ1" s="292"/>
      <c r="GWA1" s="292"/>
      <c r="GWB1" s="292"/>
      <c r="GWC1" s="292"/>
      <c r="GWD1" s="292"/>
      <c r="GWE1" s="292"/>
      <c r="GWF1" s="292"/>
      <c r="GWG1" s="292"/>
      <c r="GWH1" s="292"/>
      <c r="GWI1" s="292"/>
      <c r="GWJ1" s="292"/>
      <c r="GWK1" s="292"/>
      <c r="GWL1" s="292"/>
      <c r="GWM1" s="292"/>
      <c r="GWN1" s="292"/>
      <c r="GWO1" s="292"/>
      <c r="GWP1" s="292"/>
      <c r="GWQ1" s="292"/>
      <c r="GWR1" s="292"/>
      <c r="GWS1" s="292"/>
      <c r="GWT1" s="292"/>
      <c r="GWU1" s="292"/>
      <c r="GWV1" s="292"/>
      <c r="GWW1" s="292"/>
      <c r="GWX1" s="292"/>
      <c r="GWY1" s="292"/>
      <c r="GWZ1" s="292"/>
      <c r="GXA1" s="292"/>
      <c r="GXB1" s="292"/>
      <c r="GXC1" s="292"/>
      <c r="GXD1" s="292"/>
      <c r="GXE1" s="292"/>
      <c r="GXF1" s="292"/>
      <c r="GXG1" s="292"/>
      <c r="GXH1" s="292"/>
      <c r="GXI1" s="292"/>
      <c r="GXJ1" s="292"/>
      <c r="GXK1" s="292"/>
      <c r="GXL1" s="292"/>
      <c r="GXM1" s="292"/>
      <c r="GXN1" s="292"/>
      <c r="GXO1" s="292"/>
      <c r="GXP1" s="292"/>
      <c r="GXQ1" s="292"/>
      <c r="GXR1" s="292"/>
      <c r="GXS1" s="292"/>
      <c r="GXT1" s="292"/>
      <c r="GXU1" s="292"/>
      <c r="GXV1" s="292"/>
      <c r="GXW1" s="292"/>
      <c r="GXX1" s="292"/>
      <c r="GXY1" s="292"/>
      <c r="GXZ1" s="292"/>
      <c r="GYA1" s="292"/>
      <c r="GYB1" s="292"/>
      <c r="GYC1" s="292"/>
      <c r="GYD1" s="292"/>
      <c r="GYE1" s="292"/>
      <c r="GYF1" s="292"/>
      <c r="GYG1" s="292"/>
      <c r="GYH1" s="292"/>
      <c r="GYI1" s="292"/>
      <c r="GYJ1" s="292"/>
      <c r="GYK1" s="292"/>
      <c r="GYL1" s="292"/>
      <c r="GYM1" s="292"/>
      <c r="GYN1" s="292"/>
      <c r="GYO1" s="292"/>
      <c r="GYP1" s="292"/>
      <c r="GYQ1" s="292"/>
      <c r="GYR1" s="292"/>
      <c r="GYS1" s="292"/>
      <c r="GYT1" s="292"/>
      <c r="GYU1" s="292"/>
      <c r="GYV1" s="292"/>
      <c r="GYW1" s="292"/>
      <c r="GYX1" s="292"/>
      <c r="GYY1" s="292"/>
      <c r="GYZ1" s="292"/>
      <c r="GZA1" s="292"/>
      <c r="GZB1" s="292"/>
      <c r="GZC1" s="292"/>
      <c r="GZD1" s="292"/>
      <c r="GZE1" s="292"/>
      <c r="GZF1" s="292"/>
      <c r="GZG1" s="292"/>
      <c r="GZH1" s="292"/>
      <c r="GZI1" s="292"/>
      <c r="GZJ1" s="292"/>
      <c r="GZK1" s="292"/>
      <c r="GZL1" s="292"/>
      <c r="GZM1" s="292"/>
      <c r="GZN1" s="292"/>
      <c r="GZO1" s="292"/>
      <c r="GZP1" s="292"/>
      <c r="GZQ1" s="292"/>
      <c r="GZR1" s="292"/>
      <c r="GZS1" s="292"/>
      <c r="GZT1" s="292"/>
      <c r="GZU1" s="292"/>
      <c r="GZV1" s="292"/>
      <c r="GZW1" s="292"/>
      <c r="GZX1" s="292"/>
      <c r="GZY1" s="292"/>
      <c r="GZZ1" s="292"/>
      <c r="HAA1" s="292"/>
      <c r="HAB1" s="292"/>
      <c r="HAC1" s="292"/>
      <c r="HAD1" s="292"/>
      <c r="HAE1" s="292"/>
      <c r="HAF1" s="292"/>
      <c r="HAG1" s="292"/>
      <c r="HAH1" s="292"/>
      <c r="HAI1" s="292"/>
      <c r="HAJ1" s="292"/>
      <c r="HAK1" s="292"/>
      <c r="HAL1" s="292"/>
      <c r="HAM1" s="292"/>
      <c r="HAN1" s="292"/>
      <c r="HAO1" s="292"/>
      <c r="HAP1" s="292"/>
      <c r="HAQ1" s="292"/>
      <c r="HAR1" s="292"/>
      <c r="HAS1" s="292"/>
      <c r="HAT1" s="292"/>
      <c r="HAU1" s="292"/>
      <c r="HAV1" s="292"/>
      <c r="HAW1" s="292"/>
      <c r="HAX1" s="292"/>
      <c r="HAY1" s="292"/>
      <c r="HAZ1" s="292"/>
      <c r="HBA1" s="292"/>
      <c r="HBB1" s="292"/>
      <c r="HBC1" s="292"/>
      <c r="HBD1" s="292"/>
      <c r="HBE1" s="292"/>
      <c r="HBF1" s="292"/>
      <c r="HBG1" s="292"/>
      <c r="HBH1" s="292"/>
      <c r="HBI1" s="292"/>
      <c r="HBJ1" s="292"/>
      <c r="HBK1" s="292"/>
      <c r="HBL1" s="292"/>
      <c r="HBM1" s="292"/>
      <c r="HBN1" s="292"/>
      <c r="HBO1" s="292"/>
      <c r="HBP1" s="292"/>
      <c r="HBQ1" s="292"/>
      <c r="HBR1" s="292"/>
      <c r="HBS1" s="292"/>
      <c r="HBT1" s="292"/>
      <c r="HBU1" s="292"/>
      <c r="HBV1" s="292"/>
      <c r="HBW1" s="292"/>
      <c r="HBX1" s="292"/>
      <c r="HBY1" s="292"/>
      <c r="HBZ1" s="292"/>
      <c r="HCA1" s="292"/>
      <c r="HCB1" s="292"/>
      <c r="HCC1" s="292"/>
      <c r="HCD1" s="292"/>
      <c r="HCE1" s="292"/>
      <c r="HCF1" s="292"/>
      <c r="HCG1" s="292"/>
      <c r="HCH1" s="292"/>
      <c r="HCI1" s="292"/>
      <c r="HCJ1" s="292"/>
      <c r="HCK1" s="292"/>
      <c r="HCL1" s="292"/>
      <c r="HCM1" s="292"/>
      <c r="HCN1" s="292"/>
      <c r="HCO1" s="292"/>
      <c r="HCP1" s="292"/>
      <c r="HCQ1" s="292"/>
      <c r="HCR1" s="292"/>
      <c r="HCS1" s="292"/>
      <c r="HCT1" s="292"/>
      <c r="HCU1" s="292"/>
      <c r="HCV1" s="292"/>
      <c r="HCW1" s="292"/>
      <c r="HCX1" s="292"/>
      <c r="HCY1" s="292"/>
      <c r="HCZ1" s="292"/>
      <c r="HDA1" s="292"/>
      <c r="HDB1" s="292"/>
      <c r="HDC1" s="292"/>
      <c r="HDD1" s="292"/>
      <c r="HDE1" s="292"/>
      <c r="HDF1" s="292"/>
      <c r="HDG1" s="292"/>
      <c r="HDH1" s="292"/>
      <c r="HDI1" s="292"/>
      <c r="HDJ1" s="292"/>
      <c r="HDK1" s="292"/>
      <c r="HDL1" s="292"/>
      <c r="HDM1" s="292"/>
      <c r="HDN1" s="292"/>
      <c r="HDO1" s="292"/>
      <c r="HDP1" s="292"/>
      <c r="HDQ1" s="292"/>
      <c r="HDR1" s="292"/>
      <c r="HDS1" s="292"/>
      <c r="HDT1" s="292"/>
      <c r="HDU1" s="292"/>
      <c r="HDV1" s="292"/>
      <c r="HDW1" s="292"/>
      <c r="HDX1" s="292"/>
      <c r="HDY1" s="292"/>
      <c r="HDZ1" s="292"/>
      <c r="HEA1" s="292"/>
      <c r="HEB1" s="292"/>
      <c r="HEC1" s="292"/>
      <c r="HED1" s="292"/>
      <c r="HEE1" s="292"/>
      <c r="HEF1" s="292"/>
      <c r="HEG1" s="292"/>
      <c r="HEH1" s="292"/>
      <c r="HEI1" s="292"/>
      <c r="HEJ1" s="292"/>
      <c r="HEK1" s="292"/>
      <c r="HEL1" s="292"/>
      <c r="HEM1" s="292"/>
      <c r="HEN1" s="292"/>
      <c r="HEO1" s="292"/>
      <c r="HEP1" s="292"/>
      <c r="HEQ1" s="292"/>
      <c r="HER1" s="292"/>
      <c r="HES1" s="292"/>
      <c r="HET1" s="292"/>
      <c r="HEU1" s="292"/>
      <c r="HEV1" s="292"/>
      <c r="HEW1" s="292"/>
      <c r="HEX1" s="292"/>
      <c r="HEY1" s="292"/>
      <c r="HEZ1" s="292"/>
      <c r="HFA1" s="292"/>
      <c r="HFB1" s="292"/>
      <c r="HFC1" s="292"/>
      <c r="HFD1" s="292"/>
      <c r="HFE1" s="292"/>
      <c r="HFF1" s="292"/>
      <c r="HFG1" s="292"/>
      <c r="HFH1" s="292"/>
      <c r="HFI1" s="292"/>
      <c r="HFJ1" s="292"/>
      <c r="HFK1" s="292"/>
      <c r="HFL1" s="292"/>
      <c r="HFM1" s="292"/>
      <c r="HFN1" s="292"/>
      <c r="HFO1" s="292"/>
      <c r="HFP1" s="292"/>
      <c r="HFQ1" s="292"/>
      <c r="HFR1" s="292"/>
      <c r="HFS1" s="292"/>
      <c r="HFT1" s="292"/>
      <c r="HFU1" s="292"/>
      <c r="HFV1" s="292"/>
      <c r="HFW1" s="292"/>
      <c r="HFX1" s="292"/>
      <c r="HFY1" s="292"/>
      <c r="HFZ1" s="292"/>
      <c r="HGA1" s="292"/>
      <c r="HGB1" s="292"/>
      <c r="HGC1" s="292"/>
      <c r="HGD1" s="292"/>
      <c r="HGE1" s="292"/>
      <c r="HGF1" s="292"/>
      <c r="HGG1" s="292"/>
      <c r="HGH1" s="292"/>
      <c r="HGI1" s="292"/>
      <c r="HGJ1" s="292"/>
      <c r="HGK1" s="292"/>
      <c r="HGL1" s="292"/>
      <c r="HGM1" s="292"/>
      <c r="HGN1" s="292"/>
      <c r="HGO1" s="292"/>
      <c r="HGP1" s="292"/>
      <c r="HGQ1" s="292"/>
      <c r="HGR1" s="292"/>
      <c r="HGS1" s="292"/>
      <c r="HGT1" s="292"/>
      <c r="HGU1" s="292"/>
      <c r="HGV1" s="292"/>
      <c r="HGW1" s="292"/>
      <c r="HGX1" s="292"/>
      <c r="HGY1" s="292"/>
      <c r="HGZ1" s="292"/>
      <c r="HHA1" s="292"/>
      <c r="HHB1" s="292"/>
      <c r="HHC1" s="292"/>
      <c r="HHD1" s="292"/>
      <c r="HHE1" s="292"/>
      <c r="HHF1" s="292"/>
      <c r="HHG1" s="292"/>
      <c r="HHH1" s="292"/>
      <c r="HHI1" s="292"/>
      <c r="HHJ1" s="292"/>
      <c r="HHK1" s="292"/>
      <c r="HHL1" s="292"/>
      <c r="HHM1" s="292"/>
      <c r="HHN1" s="292"/>
      <c r="HHO1" s="292"/>
      <c r="HHP1" s="292"/>
      <c r="HHQ1" s="292"/>
      <c r="HHR1" s="292"/>
      <c r="HHS1" s="292"/>
      <c r="HHT1" s="292"/>
      <c r="HHU1" s="292"/>
      <c r="HHV1" s="292"/>
      <c r="HHW1" s="292"/>
      <c r="HHX1" s="292"/>
      <c r="HHY1" s="292"/>
      <c r="HHZ1" s="292"/>
      <c r="HIA1" s="292"/>
      <c r="HIB1" s="292"/>
      <c r="HIC1" s="292"/>
      <c r="HID1" s="292"/>
      <c r="HIE1" s="292"/>
      <c r="HIF1" s="292"/>
      <c r="HIG1" s="292"/>
      <c r="HIH1" s="292"/>
      <c r="HII1" s="292"/>
      <c r="HIJ1" s="292"/>
      <c r="HIK1" s="292"/>
      <c r="HIL1" s="292"/>
      <c r="HIM1" s="292"/>
      <c r="HIN1" s="292"/>
      <c r="HIO1" s="292"/>
      <c r="HIP1" s="292"/>
      <c r="HIQ1" s="292"/>
      <c r="HIR1" s="292"/>
      <c r="HIS1" s="292"/>
      <c r="HIT1" s="292"/>
      <c r="HIU1" s="292"/>
      <c r="HIV1" s="292"/>
      <c r="HIW1" s="292"/>
      <c r="HIX1" s="292"/>
      <c r="HIY1" s="292"/>
      <c r="HIZ1" s="292"/>
      <c r="HJA1" s="292"/>
      <c r="HJB1" s="292"/>
      <c r="HJC1" s="292"/>
      <c r="HJD1" s="292"/>
      <c r="HJE1" s="292"/>
      <c r="HJF1" s="292"/>
      <c r="HJG1" s="292"/>
      <c r="HJH1" s="292"/>
      <c r="HJI1" s="292"/>
      <c r="HJJ1" s="292"/>
      <c r="HJK1" s="292"/>
      <c r="HJL1" s="292"/>
      <c r="HJM1" s="292"/>
      <c r="HJN1" s="292"/>
      <c r="HJO1" s="292"/>
      <c r="HJP1" s="292"/>
      <c r="HJQ1" s="292"/>
      <c r="HJR1" s="292"/>
      <c r="HJS1" s="292"/>
      <c r="HJT1" s="292"/>
      <c r="HJU1" s="292"/>
      <c r="HJV1" s="292"/>
      <c r="HJW1" s="292"/>
      <c r="HJX1" s="292"/>
      <c r="HJY1" s="292"/>
      <c r="HJZ1" s="292"/>
      <c r="HKA1" s="292"/>
      <c r="HKB1" s="292"/>
      <c r="HKC1" s="292"/>
      <c r="HKD1" s="292"/>
      <c r="HKE1" s="292"/>
      <c r="HKF1" s="292"/>
      <c r="HKG1" s="292"/>
      <c r="HKH1" s="292"/>
      <c r="HKI1" s="292"/>
      <c r="HKJ1" s="292"/>
      <c r="HKK1" s="292"/>
      <c r="HKL1" s="292"/>
      <c r="HKM1" s="292"/>
      <c r="HKN1" s="292"/>
      <c r="HKO1" s="292"/>
      <c r="HKP1" s="292"/>
      <c r="HKQ1" s="292"/>
      <c r="HKR1" s="292"/>
      <c r="HKS1" s="292"/>
      <c r="HKT1" s="292"/>
      <c r="HKU1" s="292"/>
      <c r="HKV1" s="292"/>
      <c r="HKW1" s="292"/>
      <c r="HKX1" s="292"/>
      <c r="HKY1" s="292"/>
      <c r="HKZ1" s="292"/>
      <c r="HLA1" s="292"/>
      <c r="HLB1" s="292"/>
      <c r="HLC1" s="292"/>
      <c r="HLD1" s="292"/>
      <c r="HLE1" s="292"/>
      <c r="HLF1" s="292"/>
      <c r="HLG1" s="292"/>
      <c r="HLH1" s="292"/>
      <c r="HLI1" s="292"/>
      <c r="HLJ1" s="292"/>
      <c r="HLK1" s="292"/>
      <c r="HLL1" s="292"/>
      <c r="HLM1" s="292"/>
      <c r="HLN1" s="292"/>
      <c r="HLO1" s="292"/>
      <c r="HLP1" s="292"/>
      <c r="HLQ1" s="292"/>
      <c r="HLR1" s="292"/>
      <c r="HLS1" s="292"/>
      <c r="HLT1" s="292"/>
      <c r="HLU1" s="292"/>
      <c r="HLV1" s="292"/>
      <c r="HLW1" s="292"/>
      <c r="HLX1" s="292"/>
      <c r="HLY1" s="292"/>
      <c r="HLZ1" s="292"/>
      <c r="HMA1" s="292"/>
      <c r="HMB1" s="292"/>
      <c r="HMC1" s="292"/>
      <c r="HMD1" s="292"/>
      <c r="HME1" s="292"/>
      <c r="HMF1" s="292"/>
      <c r="HMG1" s="292"/>
      <c r="HMH1" s="292"/>
      <c r="HMI1" s="292"/>
      <c r="HMJ1" s="292"/>
      <c r="HMK1" s="292"/>
      <c r="HML1" s="292"/>
      <c r="HMM1" s="292"/>
      <c r="HMN1" s="292"/>
      <c r="HMO1" s="292"/>
      <c r="HMP1" s="292"/>
      <c r="HMQ1" s="292"/>
      <c r="HMR1" s="292"/>
      <c r="HMS1" s="292"/>
      <c r="HMT1" s="292"/>
      <c r="HMU1" s="292"/>
      <c r="HMV1" s="292"/>
      <c r="HMW1" s="292"/>
      <c r="HMX1" s="292"/>
      <c r="HMY1" s="292"/>
      <c r="HMZ1" s="292"/>
      <c r="HNA1" s="292"/>
      <c r="HNB1" s="292"/>
      <c r="HNC1" s="292"/>
      <c r="HND1" s="292"/>
      <c r="HNE1" s="292"/>
      <c r="HNF1" s="292"/>
      <c r="HNG1" s="292"/>
      <c r="HNH1" s="292"/>
      <c r="HNI1" s="292"/>
      <c r="HNJ1" s="292"/>
      <c r="HNK1" s="292"/>
      <c r="HNL1" s="292"/>
      <c r="HNM1" s="292"/>
      <c r="HNN1" s="292"/>
      <c r="HNO1" s="292"/>
      <c r="HNP1" s="292"/>
      <c r="HNQ1" s="292"/>
      <c r="HNR1" s="292"/>
      <c r="HNS1" s="292"/>
      <c r="HNT1" s="292"/>
      <c r="HNU1" s="292"/>
      <c r="HNV1" s="292"/>
      <c r="HNW1" s="292"/>
      <c r="HNX1" s="292"/>
      <c r="HNY1" s="292"/>
      <c r="HNZ1" s="292"/>
      <c r="HOA1" s="292"/>
      <c r="HOB1" s="292"/>
      <c r="HOC1" s="292"/>
      <c r="HOD1" s="292"/>
      <c r="HOE1" s="292"/>
      <c r="HOF1" s="292"/>
      <c r="HOG1" s="292"/>
      <c r="HOH1" s="292"/>
      <c r="HOI1" s="292"/>
      <c r="HOJ1" s="292"/>
      <c r="HOK1" s="292"/>
      <c r="HOL1" s="292"/>
      <c r="HOM1" s="292"/>
      <c r="HON1" s="292"/>
      <c r="HOO1" s="292"/>
      <c r="HOP1" s="292"/>
      <c r="HOQ1" s="292"/>
      <c r="HOR1" s="292"/>
      <c r="HOS1" s="292"/>
      <c r="HOT1" s="292"/>
      <c r="HOU1" s="292"/>
      <c r="HOV1" s="292"/>
      <c r="HOW1" s="292"/>
      <c r="HOX1" s="292"/>
      <c r="HOY1" s="292"/>
      <c r="HOZ1" s="292"/>
      <c r="HPA1" s="292"/>
      <c r="HPB1" s="292"/>
      <c r="HPC1" s="292"/>
      <c r="HPD1" s="292"/>
      <c r="HPE1" s="292"/>
      <c r="HPF1" s="292"/>
      <c r="HPG1" s="292"/>
      <c r="HPH1" s="292"/>
      <c r="HPI1" s="292"/>
      <c r="HPJ1" s="292"/>
      <c r="HPK1" s="292"/>
      <c r="HPL1" s="292"/>
      <c r="HPM1" s="292"/>
      <c r="HPN1" s="292"/>
      <c r="HPO1" s="292"/>
      <c r="HPP1" s="292"/>
      <c r="HPQ1" s="292"/>
      <c r="HPR1" s="292"/>
      <c r="HPS1" s="292"/>
      <c r="HPT1" s="292"/>
      <c r="HPU1" s="292"/>
      <c r="HPV1" s="292"/>
      <c r="HPW1" s="292"/>
      <c r="HPX1" s="292"/>
      <c r="HPY1" s="292"/>
      <c r="HPZ1" s="292"/>
      <c r="HQA1" s="292"/>
      <c r="HQB1" s="292"/>
      <c r="HQC1" s="292"/>
      <c r="HQD1" s="292"/>
      <c r="HQE1" s="292"/>
      <c r="HQF1" s="292"/>
      <c r="HQG1" s="292"/>
      <c r="HQH1" s="292"/>
      <c r="HQI1" s="292"/>
      <c r="HQJ1" s="292"/>
      <c r="HQK1" s="292"/>
      <c r="HQL1" s="292"/>
      <c r="HQM1" s="292"/>
      <c r="HQN1" s="292"/>
      <c r="HQO1" s="292"/>
      <c r="HQP1" s="292"/>
      <c r="HQQ1" s="292"/>
      <c r="HQR1" s="292"/>
      <c r="HQS1" s="292"/>
      <c r="HQT1" s="292"/>
      <c r="HQU1" s="292"/>
      <c r="HQV1" s="292"/>
      <c r="HQW1" s="292"/>
      <c r="HQX1" s="292"/>
      <c r="HQY1" s="292"/>
      <c r="HQZ1" s="292"/>
      <c r="HRA1" s="292"/>
      <c r="HRB1" s="292"/>
      <c r="HRC1" s="292"/>
      <c r="HRD1" s="292"/>
      <c r="HRE1" s="292"/>
      <c r="HRF1" s="292"/>
      <c r="HRG1" s="292"/>
      <c r="HRH1" s="292"/>
      <c r="HRI1" s="292"/>
      <c r="HRJ1" s="292"/>
      <c r="HRK1" s="292"/>
      <c r="HRL1" s="292"/>
      <c r="HRM1" s="292"/>
      <c r="HRN1" s="292"/>
      <c r="HRO1" s="292"/>
      <c r="HRP1" s="292"/>
      <c r="HRQ1" s="292"/>
      <c r="HRR1" s="292"/>
      <c r="HRS1" s="292"/>
      <c r="HRT1" s="292"/>
      <c r="HRU1" s="292"/>
      <c r="HRV1" s="292"/>
      <c r="HRW1" s="292"/>
      <c r="HRX1" s="292"/>
      <c r="HRY1" s="292"/>
      <c r="HRZ1" s="292"/>
      <c r="HSA1" s="292"/>
      <c r="HSB1" s="292"/>
      <c r="HSC1" s="292"/>
      <c r="HSD1" s="292"/>
      <c r="HSE1" s="292"/>
      <c r="HSF1" s="292"/>
      <c r="HSG1" s="292"/>
      <c r="HSH1" s="292"/>
      <c r="HSI1" s="292"/>
      <c r="HSJ1" s="292"/>
      <c r="HSK1" s="292"/>
      <c r="HSL1" s="292"/>
      <c r="HSM1" s="292"/>
      <c r="HSN1" s="292"/>
      <c r="HSO1" s="292"/>
      <c r="HSP1" s="292"/>
      <c r="HSQ1" s="292"/>
      <c r="HSR1" s="292"/>
      <c r="HSS1" s="292"/>
      <c r="HST1" s="292"/>
      <c r="HSU1" s="292"/>
      <c r="HSV1" s="292"/>
      <c r="HSW1" s="292"/>
      <c r="HSX1" s="292"/>
      <c r="HSY1" s="292"/>
      <c r="HSZ1" s="292"/>
      <c r="HTA1" s="292"/>
      <c r="HTB1" s="292"/>
      <c r="HTC1" s="292"/>
      <c r="HTD1" s="292"/>
      <c r="HTE1" s="292"/>
      <c r="HTF1" s="292"/>
      <c r="HTG1" s="292"/>
      <c r="HTH1" s="292"/>
      <c r="HTI1" s="292"/>
      <c r="HTJ1" s="292"/>
      <c r="HTK1" s="292"/>
      <c r="HTL1" s="292"/>
      <c r="HTM1" s="292"/>
      <c r="HTN1" s="292"/>
      <c r="HTO1" s="292"/>
      <c r="HTP1" s="292"/>
      <c r="HTQ1" s="292"/>
      <c r="HTR1" s="292"/>
      <c r="HTS1" s="292"/>
      <c r="HTT1" s="292"/>
      <c r="HTU1" s="292"/>
      <c r="HTV1" s="292"/>
      <c r="HTW1" s="292"/>
      <c r="HTX1" s="292"/>
      <c r="HTY1" s="292"/>
      <c r="HTZ1" s="292"/>
      <c r="HUA1" s="292"/>
      <c r="HUB1" s="292"/>
      <c r="HUC1" s="292"/>
      <c r="HUD1" s="292"/>
      <c r="HUE1" s="292"/>
      <c r="HUF1" s="292"/>
      <c r="HUG1" s="292"/>
      <c r="HUH1" s="292"/>
      <c r="HUI1" s="292"/>
      <c r="HUJ1" s="292"/>
      <c r="HUK1" s="292"/>
      <c r="HUL1" s="292"/>
      <c r="HUM1" s="292"/>
      <c r="HUN1" s="292"/>
      <c r="HUO1" s="292"/>
      <c r="HUP1" s="292"/>
      <c r="HUQ1" s="292"/>
      <c r="HUR1" s="292"/>
      <c r="HUS1" s="292"/>
      <c r="HUT1" s="292"/>
      <c r="HUU1" s="292"/>
      <c r="HUV1" s="292"/>
      <c r="HUW1" s="292"/>
      <c r="HUX1" s="292"/>
      <c r="HUY1" s="292"/>
      <c r="HUZ1" s="292"/>
      <c r="HVA1" s="292"/>
      <c r="HVB1" s="292"/>
      <c r="HVC1" s="292"/>
      <c r="HVD1" s="292"/>
      <c r="HVE1" s="292"/>
      <c r="HVF1" s="292"/>
      <c r="HVG1" s="292"/>
      <c r="HVH1" s="292"/>
      <c r="HVI1" s="292"/>
      <c r="HVJ1" s="292"/>
      <c r="HVK1" s="292"/>
      <c r="HVL1" s="292"/>
      <c r="HVM1" s="292"/>
      <c r="HVN1" s="292"/>
      <c r="HVO1" s="292"/>
      <c r="HVP1" s="292"/>
      <c r="HVQ1" s="292"/>
      <c r="HVR1" s="292"/>
      <c r="HVS1" s="292"/>
      <c r="HVT1" s="292"/>
      <c r="HVU1" s="292"/>
      <c r="HVV1" s="292"/>
      <c r="HVW1" s="292"/>
      <c r="HVX1" s="292"/>
      <c r="HVY1" s="292"/>
      <c r="HVZ1" s="292"/>
      <c r="HWA1" s="292"/>
      <c r="HWB1" s="292"/>
      <c r="HWC1" s="292"/>
      <c r="HWD1" s="292"/>
      <c r="HWE1" s="292"/>
      <c r="HWF1" s="292"/>
      <c r="HWG1" s="292"/>
      <c r="HWH1" s="292"/>
      <c r="HWI1" s="292"/>
      <c r="HWJ1" s="292"/>
      <c r="HWK1" s="292"/>
      <c r="HWL1" s="292"/>
      <c r="HWM1" s="292"/>
      <c r="HWN1" s="292"/>
      <c r="HWO1" s="292"/>
      <c r="HWP1" s="292"/>
      <c r="HWQ1" s="292"/>
      <c r="HWR1" s="292"/>
      <c r="HWS1" s="292"/>
      <c r="HWT1" s="292"/>
      <c r="HWU1" s="292"/>
      <c r="HWV1" s="292"/>
      <c r="HWW1" s="292"/>
      <c r="HWX1" s="292"/>
      <c r="HWY1" s="292"/>
      <c r="HWZ1" s="292"/>
      <c r="HXA1" s="292"/>
      <c r="HXB1" s="292"/>
      <c r="HXC1" s="292"/>
      <c r="HXD1" s="292"/>
      <c r="HXE1" s="292"/>
      <c r="HXF1" s="292"/>
      <c r="HXG1" s="292"/>
      <c r="HXH1" s="292"/>
      <c r="HXI1" s="292"/>
      <c r="HXJ1" s="292"/>
      <c r="HXK1" s="292"/>
      <c r="HXL1" s="292"/>
      <c r="HXM1" s="292"/>
      <c r="HXN1" s="292"/>
      <c r="HXO1" s="292"/>
      <c r="HXP1" s="292"/>
      <c r="HXQ1" s="292"/>
      <c r="HXR1" s="292"/>
      <c r="HXS1" s="292"/>
      <c r="HXT1" s="292"/>
      <c r="HXU1" s="292"/>
      <c r="HXV1" s="292"/>
      <c r="HXW1" s="292"/>
      <c r="HXX1" s="292"/>
      <c r="HXY1" s="292"/>
      <c r="HXZ1" s="292"/>
      <c r="HYA1" s="292"/>
      <c r="HYB1" s="292"/>
      <c r="HYC1" s="292"/>
      <c r="HYD1" s="292"/>
      <c r="HYE1" s="292"/>
      <c r="HYF1" s="292"/>
      <c r="HYG1" s="292"/>
      <c r="HYH1" s="292"/>
      <c r="HYI1" s="292"/>
      <c r="HYJ1" s="292"/>
      <c r="HYK1" s="292"/>
      <c r="HYL1" s="292"/>
      <c r="HYM1" s="292"/>
      <c r="HYN1" s="292"/>
      <c r="HYO1" s="292"/>
      <c r="HYP1" s="292"/>
      <c r="HYQ1" s="292"/>
      <c r="HYR1" s="292"/>
      <c r="HYS1" s="292"/>
      <c r="HYT1" s="292"/>
      <c r="HYU1" s="292"/>
      <c r="HYV1" s="292"/>
      <c r="HYW1" s="292"/>
      <c r="HYX1" s="292"/>
      <c r="HYY1" s="292"/>
      <c r="HYZ1" s="292"/>
      <c r="HZA1" s="292"/>
      <c r="HZB1" s="292"/>
      <c r="HZC1" s="292"/>
      <c r="HZD1" s="292"/>
      <c r="HZE1" s="292"/>
      <c r="HZF1" s="292"/>
      <c r="HZG1" s="292"/>
      <c r="HZH1" s="292"/>
      <c r="HZI1" s="292"/>
      <c r="HZJ1" s="292"/>
      <c r="HZK1" s="292"/>
      <c r="HZL1" s="292"/>
      <c r="HZM1" s="292"/>
      <c r="HZN1" s="292"/>
      <c r="HZO1" s="292"/>
      <c r="HZP1" s="292"/>
      <c r="HZQ1" s="292"/>
      <c r="HZR1" s="292"/>
      <c r="HZS1" s="292"/>
      <c r="HZT1" s="292"/>
      <c r="HZU1" s="292"/>
      <c r="HZV1" s="292"/>
      <c r="HZW1" s="292"/>
      <c r="HZX1" s="292"/>
      <c r="HZY1" s="292"/>
      <c r="HZZ1" s="292"/>
      <c r="IAA1" s="292"/>
      <c r="IAB1" s="292"/>
      <c r="IAC1" s="292"/>
      <c r="IAD1" s="292"/>
      <c r="IAE1" s="292"/>
      <c r="IAF1" s="292"/>
      <c r="IAG1" s="292"/>
      <c r="IAH1" s="292"/>
      <c r="IAI1" s="292"/>
      <c r="IAJ1" s="292"/>
      <c r="IAK1" s="292"/>
      <c r="IAL1" s="292"/>
      <c r="IAM1" s="292"/>
      <c r="IAN1" s="292"/>
      <c r="IAO1" s="292"/>
      <c r="IAP1" s="292"/>
      <c r="IAQ1" s="292"/>
      <c r="IAR1" s="292"/>
      <c r="IAS1" s="292"/>
      <c r="IAT1" s="292"/>
      <c r="IAU1" s="292"/>
      <c r="IAV1" s="292"/>
      <c r="IAW1" s="292"/>
      <c r="IAX1" s="292"/>
      <c r="IAY1" s="292"/>
      <c r="IAZ1" s="292"/>
      <c r="IBA1" s="292"/>
      <c r="IBB1" s="292"/>
      <c r="IBC1" s="292"/>
      <c r="IBD1" s="292"/>
      <c r="IBE1" s="292"/>
      <c r="IBF1" s="292"/>
      <c r="IBG1" s="292"/>
      <c r="IBH1" s="292"/>
      <c r="IBI1" s="292"/>
      <c r="IBJ1" s="292"/>
      <c r="IBK1" s="292"/>
      <c r="IBL1" s="292"/>
      <c r="IBM1" s="292"/>
      <c r="IBN1" s="292"/>
      <c r="IBO1" s="292"/>
      <c r="IBP1" s="292"/>
      <c r="IBQ1" s="292"/>
      <c r="IBR1" s="292"/>
      <c r="IBS1" s="292"/>
      <c r="IBT1" s="292"/>
      <c r="IBU1" s="292"/>
      <c r="IBV1" s="292"/>
      <c r="IBW1" s="292"/>
      <c r="IBX1" s="292"/>
      <c r="IBY1" s="292"/>
      <c r="IBZ1" s="292"/>
      <c r="ICA1" s="292"/>
      <c r="ICB1" s="292"/>
      <c r="ICC1" s="292"/>
      <c r="ICD1" s="292"/>
      <c r="ICE1" s="292"/>
      <c r="ICF1" s="292"/>
      <c r="ICG1" s="292"/>
      <c r="ICH1" s="292"/>
      <c r="ICI1" s="292"/>
      <c r="ICJ1" s="292"/>
      <c r="ICK1" s="292"/>
      <c r="ICL1" s="292"/>
      <c r="ICM1" s="292"/>
      <c r="ICN1" s="292"/>
      <c r="ICO1" s="292"/>
      <c r="ICP1" s="292"/>
      <c r="ICQ1" s="292"/>
      <c r="ICR1" s="292"/>
      <c r="ICS1" s="292"/>
      <c r="ICT1" s="292"/>
      <c r="ICU1" s="292"/>
      <c r="ICV1" s="292"/>
      <c r="ICW1" s="292"/>
      <c r="ICX1" s="292"/>
      <c r="ICY1" s="292"/>
      <c r="ICZ1" s="292"/>
      <c r="IDA1" s="292"/>
      <c r="IDB1" s="292"/>
      <c r="IDC1" s="292"/>
      <c r="IDD1" s="292"/>
      <c r="IDE1" s="292"/>
      <c r="IDF1" s="292"/>
      <c r="IDG1" s="292"/>
      <c r="IDH1" s="292"/>
      <c r="IDI1" s="292"/>
      <c r="IDJ1" s="292"/>
      <c r="IDK1" s="292"/>
      <c r="IDL1" s="292"/>
      <c r="IDM1" s="292"/>
      <c r="IDN1" s="292"/>
      <c r="IDO1" s="292"/>
      <c r="IDP1" s="292"/>
      <c r="IDQ1" s="292"/>
      <c r="IDR1" s="292"/>
      <c r="IDS1" s="292"/>
      <c r="IDT1" s="292"/>
      <c r="IDU1" s="292"/>
      <c r="IDV1" s="292"/>
      <c r="IDW1" s="292"/>
      <c r="IDX1" s="292"/>
      <c r="IDY1" s="292"/>
      <c r="IDZ1" s="292"/>
      <c r="IEA1" s="292"/>
      <c r="IEB1" s="292"/>
      <c r="IEC1" s="292"/>
      <c r="IED1" s="292"/>
      <c r="IEE1" s="292"/>
      <c r="IEF1" s="292"/>
      <c r="IEG1" s="292"/>
      <c r="IEH1" s="292"/>
      <c r="IEI1" s="292"/>
      <c r="IEJ1" s="292"/>
      <c r="IEK1" s="292"/>
      <c r="IEL1" s="292"/>
      <c r="IEM1" s="292"/>
      <c r="IEN1" s="292"/>
      <c r="IEO1" s="292"/>
      <c r="IEP1" s="292"/>
      <c r="IEQ1" s="292"/>
      <c r="IER1" s="292"/>
      <c r="IES1" s="292"/>
      <c r="IET1" s="292"/>
      <c r="IEU1" s="292"/>
      <c r="IEV1" s="292"/>
      <c r="IEW1" s="292"/>
      <c r="IEX1" s="292"/>
      <c r="IEY1" s="292"/>
      <c r="IEZ1" s="292"/>
      <c r="IFA1" s="292"/>
      <c r="IFB1" s="292"/>
      <c r="IFC1" s="292"/>
      <c r="IFD1" s="292"/>
      <c r="IFE1" s="292"/>
      <c r="IFF1" s="292"/>
      <c r="IFG1" s="292"/>
      <c r="IFH1" s="292"/>
      <c r="IFI1" s="292"/>
      <c r="IFJ1" s="292"/>
      <c r="IFK1" s="292"/>
      <c r="IFL1" s="292"/>
      <c r="IFM1" s="292"/>
      <c r="IFN1" s="292"/>
      <c r="IFO1" s="292"/>
      <c r="IFP1" s="292"/>
      <c r="IFQ1" s="292"/>
      <c r="IFR1" s="292"/>
      <c r="IFS1" s="292"/>
      <c r="IFT1" s="292"/>
      <c r="IFU1" s="292"/>
      <c r="IFV1" s="292"/>
      <c r="IFW1" s="292"/>
      <c r="IFX1" s="292"/>
      <c r="IFY1" s="292"/>
      <c r="IFZ1" s="292"/>
      <c r="IGA1" s="292"/>
      <c r="IGB1" s="292"/>
      <c r="IGC1" s="292"/>
      <c r="IGD1" s="292"/>
      <c r="IGE1" s="292"/>
      <c r="IGF1" s="292"/>
      <c r="IGG1" s="292"/>
      <c r="IGH1" s="292"/>
      <c r="IGI1" s="292"/>
      <c r="IGJ1" s="292"/>
      <c r="IGK1" s="292"/>
      <c r="IGL1" s="292"/>
      <c r="IGM1" s="292"/>
      <c r="IGN1" s="292"/>
      <c r="IGO1" s="292"/>
      <c r="IGP1" s="292"/>
      <c r="IGQ1" s="292"/>
      <c r="IGR1" s="292"/>
      <c r="IGS1" s="292"/>
      <c r="IGT1" s="292"/>
      <c r="IGU1" s="292"/>
      <c r="IGV1" s="292"/>
      <c r="IGW1" s="292"/>
      <c r="IGX1" s="292"/>
      <c r="IGY1" s="292"/>
      <c r="IGZ1" s="292"/>
      <c r="IHA1" s="292"/>
      <c r="IHB1" s="292"/>
      <c r="IHC1" s="292"/>
      <c r="IHD1" s="292"/>
      <c r="IHE1" s="292"/>
      <c r="IHF1" s="292"/>
      <c r="IHG1" s="292"/>
      <c r="IHH1" s="292"/>
      <c r="IHI1" s="292"/>
      <c r="IHJ1" s="292"/>
      <c r="IHK1" s="292"/>
      <c r="IHL1" s="292"/>
      <c r="IHM1" s="292"/>
      <c r="IHN1" s="292"/>
      <c r="IHO1" s="292"/>
      <c r="IHP1" s="292"/>
      <c r="IHQ1" s="292"/>
      <c r="IHR1" s="292"/>
      <c r="IHS1" s="292"/>
      <c r="IHT1" s="292"/>
      <c r="IHU1" s="292"/>
      <c r="IHV1" s="292"/>
      <c r="IHW1" s="292"/>
      <c r="IHX1" s="292"/>
      <c r="IHY1" s="292"/>
      <c r="IHZ1" s="292"/>
      <c r="IIA1" s="292"/>
      <c r="IIB1" s="292"/>
      <c r="IIC1" s="292"/>
      <c r="IID1" s="292"/>
      <c r="IIE1" s="292"/>
      <c r="IIF1" s="292"/>
      <c r="IIG1" s="292"/>
      <c r="IIH1" s="292"/>
      <c r="III1" s="292"/>
      <c r="IIJ1" s="292"/>
      <c r="IIK1" s="292"/>
      <c r="IIL1" s="292"/>
      <c r="IIM1" s="292"/>
      <c r="IIN1" s="292"/>
      <c r="IIO1" s="292"/>
      <c r="IIP1" s="292"/>
      <c r="IIQ1" s="292"/>
      <c r="IIR1" s="292"/>
      <c r="IIS1" s="292"/>
      <c r="IIT1" s="292"/>
      <c r="IIU1" s="292"/>
      <c r="IIV1" s="292"/>
      <c r="IIW1" s="292"/>
      <c r="IIX1" s="292"/>
      <c r="IIY1" s="292"/>
      <c r="IIZ1" s="292"/>
      <c r="IJA1" s="292"/>
      <c r="IJB1" s="292"/>
      <c r="IJC1" s="292"/>
      <c r="IJD1" s="292"/>
      <c r="IJE1" s="292"/>
      <c r="IJF1" s="292"/>
      <c r="IJG1" s="292"/>
      <c r="IJH1" s="292"/>
      <c r="IJI1" s="292"/>
      <c r="IJJ1" s="292"/>
      <c r="IJK1" s="292"/>
      <c r="IJL1" s="292"/>
      <c r="IJM1" s="292"/>
      <c r="IJN1" s="292"/>
      <c r="IJO1" s="292"/>
      <c r="IJP1" s="292"/>
      <c r="IJQ1" s="292"/>
      <c r="IJR1" s="292"/>
      <c r="IJS1" s="292"/>
      <c r="IJT1" s="292"/>
      <c r="IJU1" s="292"/>
      <c r="IJV1" s="292"/>
      <c r="IJW1" s="292"/>
      <c r="IJX1" s="292"/>
      <c r="IJY1" s="292"/>
      <c r="IJZ1" s="292"/>
      <c r="IKA1" s="292"/>
      <c r="IKB1" s="292"/>
      <c r="IKC1" s="292"/>
      <c r="IKD1" s="292"/>
      <c r="IKE1" s="292"/>
      <c r="IKF1" s="292"/>
      <c r="IKG1" s="292"/>
      <c r="IKH1" s="292"/>
      <c r="IKI1" s="292"/>
      <c r="IKJ1" s="292"/>
      <c r="IKK1" s="292"/>
      <c r="IKL1" s="292"/>
      <c r="IKM1" s="292"/>
      <c r="IKN1" s="292"/>
      <c r="IKO1" s="292"/>
      <c r="IKP1" s="292"/>
      <c r="IKQ1" s="292"/>
      <c r="IKR1" s="292"/>
      <c r="IKS1" s="292"/>
      <c r="IKT1" s="292"/>
      <c r="IKU1" s="292"/>
      <c r="IKV1" s="292"/>
      <c r="IKW1" s="292"/>
      <c r="IKX1" s="292"/>
      <c r="IKY1" s="292"/>
      <c r="IKZ1" s="292"/>
      <c r="ILA1" s="292"/>
      <c r="ILB1" s="292"/>
      <c r="ILC1" s="292"/>
      <c r="ILD1" s="292"/>
      <c r="ILE1" s="292"/>
      <c r="ILF1" s="292"/>
      <c r="ILG1" s="292"/>
      <c r="ILH1" s="292"/>
      <c r="ILI1" s="292"/>
      <c r="ILJ1" s="292"/>
      <c r="ILK1" s="292"/>
      <c r="ILL1" s="292"/>
      <c r="ILM1" s="292"/>
      <c r="ILN1" s="292"/>
      <c r="ILO1" s="292"/>
      <c r="ILP1" s="292"/>
      <c r="ILQ1" s="292"/>
      <c r="ILR1" s="292"/>
      <c r="ILS1" s="292"/>
      <c r="ILT1" s="292"/>
      <c r="ILU1" s="292"/>
      <c r="ILV1" s="292"/>
      <c r="ILW1" s="292"/>
      <c r="ILX1" s="292"/>
      <c r="ILY1" s="292"/>
      <c r="ILZ1" s="292"/>
      <c r="IMA1" s="292"/>
      <c r="IMB1" s="292"/>
      <c r="IMC1" s="292"/>
      <c r="IMD1" s="292"/>
      <c r="IME1" s="292"/>
      <c r="IMF1" s="292"/>
      <c r="IMG1" s="292"/>
      <c r="IMH1" s="292"/>
      <c r="IMI1" s="292"/>
      <c r="IMJ1" s="292"/>
      <c r="IMK1" s="292"/>
      <c r="IML1" s="292"/>
      <c r="IMM1" s="292"/>
      <c r="IMN1" s="292"/>
      <c r="IMO1" s="292"/>
      <c r="IMP1" s="292"/>
      <c r="IMQ1" s="292"/>
      <c r="IMR1" s="292"/>
      <c r="IMS1" s="292"/>
      <c r="IMT1" s="292"/>
      <c r="IMU1" s="292"/>
      <c r="IMV1" s="292"/>
      <c r="IMW1" s="292"/>
      <c r="IMX1" s="292"/>
      <c r="IMY1" s="292"/>
      <c r="IMZ1" s="292"/>
      <c r="INA1" s="292"/>
      <c r="INB1" s="292"/>
      <c r="INC1" s="292"/>
      <c r="IND1" s="292"/>
      <c r="INE1" s="292"/>
      <c r="INF1" s="292"/>
      <c r="ING1" s="292"/>
      <c r="INH1" s="292"/>
      <c r="INI1" s="292"/>
      <c r="INJ1" s="292"/>
      <c r="INK1" s="292"/>
      <c r="INL1" s="292"/>
      <c r="INM1" s="292"/>
      <c r="INN1" s="292"/>
      <c r="INO1" s="292"/>
      <c r="INP1" s="292"/>
      <c r="INQ1" s="292"/>
      <c r="INR1" s="292"/>
      <c r="INS1" s="292"/>
      <c r="INT1" s="292"/>
      <c r="INU1" s="292"/>
      <c r="INV1" s="292"/>
      <c r="INW1" s="292"/>
      <c r="INX1" s="292"/>
      <c r="INY1" s="292"/>
      <c r="INZ1" s="292"/>
      <c r="IOA1" s="292"/>
      <c r="IOB1" s="292"/>
      <c r="IOC1" s="292"/>
      <c r="IOD1" s="292"/>
      <c r="IOE1" s="292"/>
      <c r="IOF1" s="292"/>
      <c r="IOG1" s="292"/>
      <c r="IOH1" s="292"/>
      <c r="IOI1" s="292"/>
      <c r="IOJ1" s="292"/>
      <c r="IOK1" s="292"/>
      <c r="IOL1" s="292"/>
      <c r="IOM1" s="292"/>
      <c r="ION1" s="292"/>
      <c r="IOO1" s="292"/>
      <c r="IOP1" s="292"/>
      <c r="IOQ1" s="292"/>
      <c r="IOR1" s="292"/>
      <c r="IOS1" s="292"/>
      <c r="IOT1" s="292"/>
      <c r="IOU1" s="292"/>
      <c r="IOV1" s="292"/>
      <c r="IOW1" s="292"/>
      <c r="IOX1" s="292"/>
      <c r="IOY1" s="292"/>
      <c r="IOZ1" s="292"/>
      <c r="IPA1" s="292"/>
      <c r="IPB1" s="292"/>
      <c r="IPC1" s="292"/>
      <c r="IPD1" s="292"/>
      <c r="IPE1" s="292"/>
      <c r="IPF1" s="292"/>
      <c r="IPG1" s="292"/>
      <c r="IPH1" s="292"/>
      <c r="IPI1" s="292"/>
      <c r="IPJ1" s="292"/>
      <c r="IPK1" s="292"/>
      <c r="IPL1" s="292"/>
      <c r="IPM1" s="292"/>
      <c r="IPN1" s="292"/>
      <c r="IPO1" s="292"/>
      <c r="IPP1" s="292"/>
      <c r="IPQ1" s="292"/>
      <c r="IPR1" s="292"/>
      <c r="IPS1" s="292"/>
      <c r="IPT1" s="292"/>
      <c r="IPU1" s="292"/>
      <c r="IPV1" s="292"/>
      <c r="IPW1" s="292"/>
      <c r="IPX1" s="292"/>
      <c r="IPY1" s="292"/>
      <c r="IPZ1" s="292"/>
      <c r="IQA1" s="292"/>
      <c r="IQB1" s="292"/>
      <c r="IQC1" s="292"/>
      <c r="IQD1" s="292"/>
      <c r="IQE1" s="292"/>
      <c r="IQF1" s="292"/>
      <c r="IQG1" s="292"/>
      <c r="IQH1" s="292"/>
      <c r="IQI1" s="292"/>
      <c r="IQJ1" s="292"/>
      <c r="IQK1" s="292"/>
      <c r="IQL1" s="292"/>
      <c r="IQM1" s="292"/>
      <c r="IQN1" s="292"/>
      <c r="IQO1" s="292"/>
      <c r="IQP1" s="292"/>
      <c r="IQQ1" s="292"/>
      <c r="IQR1" s="292"/>
      <c r="IQS1" s="292"/>
      <c r="IQT1" s="292"/>
      <c r="IQU1" s="292"/>
      <c r="IQV1" s="292"/>
      <c r="IQW1" s="292"/>
      <c r="IQX1" s="292"/>
      <c r="IQY1" s="292"/>
      <c r="IQZ1" s="292"/>
      <c r="IRA1" s="292"/>
      <c r="IRB1" s="292"/>
      <c r="IRC1" s="292"/>
      <c r="IRD1" s="292"/>
      <c r="IRE1" s="292"/>
      <c r="IRF1" s="292"/>
      <c r="IRG1" s="292"/>
      <c r="IRH1" s="292"/>
      <c r="IRI1" s="292"/>
      <c r="IRJ1" s="292"/>
      <c r="IRK1" s="292"/>
      <c r="IRL1" s="292"/>
      <c r="IRM1" s="292"/>
      <c r="IRN1" s="292"/>
      <c r="IRO1" s="292"/>
      <c r="IRP1" s="292"/>
      <c r="IRQ1" s="292"/>
      <c r="IRR1" s="292"/>
      <c r="IRS1" s="292"/>
      <c r="IRT1" s="292"/>
      <c r="IRU1" s="292"/>
      <c r="IRV1" s="292"/>
      <c r="IRW1" s="292"/>
      <c r="IRX1" s="292"/>
      <c r="IRY1" s="292"/>
      <c r="IRZ1" s="292"/>
      <c r="ISA1" s="292"/>
      <c r="ISB1" s="292"/>
      <c r="ISC1" s="292"/>
      <c r="ISD1" s="292"/>
      <c r="ISE1" s="292"/>
      <c r="ISF1" s="292"/>
      <c r="ISG1" s="292"/>
      <c r="ISH1" s="292"/>
      <c r="ISI1" s="292"/>
      <c r="ISJ1" s="292"/>
      <c r="ISK1" s="292"/>
      <c r="ISL1" s="292"/>
      <c r="ISM1" s="292"/>
      <c r="ISN1" s="292"/>
      <c r="ISO1" s="292"/>
      <c r="ISP1" s="292"/>
      <c r="ISQ1" s="292"/>
      <c r="ISR1" s="292"/>
      <c r="ISS1" s="292"/>
      <c r="IST1" s="292"/>
      <c r="ISU1" s="292"/>
      <c r="ISV1" s="292"/>
      <c r="ISW1" s="292"/>
      <c r="ISX1" s="292"/>
      <c r="ISY1" s="292"/>
      <c r="ISZ1" s="292"/>
      <c r="ITA1" s="292"/>
      <c r="ITB1" s="292"/>
      <c r="ITC1" s="292"/>
      <c r="ITD1" s="292"/>
      <c r="ITE1" s="292"/>
      <c r="ITF1" s="292"/>
      <c r="ITG1" s="292"/>
      <c r="ITH1" s="292"/>
      <c r="ITI1" s="292"/>
      <c r="ITJ1" s="292"/>
      <c r="ITK1" s="292"/>
      <c r="ITL1" s="292"/>
      <c r="ITM1" s="292"/>
      <c r="ITN1" s="292"/>
      <c r="ITO1" s="292"/>
      <c r="ITP1" s="292"/>
      <c r="ITQ1" s="292"/>
      <c r="ITR1" s="292"/>
      <c r="ITS1" s="292"/>
      <c r="ITT1" s="292"/>
      <c r="ITU1" s="292"/>
      <c r="ITV1" s="292"/>
      <c r="ITW1" s="292"/>
      <c r="ITX1" s="292"/>
      <c r="ITY1" s="292"/>
      <c r="ITZ1" s="292"/>
      <c r="IUA1" s="292"/>
      <c r="IUB1" s="292"/>
      <c r="IUC1" s="292"/>
      <c r="IUD1" s="292"/>
      <c r="IUE1" s="292"/>
      <c r="IUF1" s="292"/>
      <c r="IUG1" s="292"/>
      <c r="IUH1" s="292"/>
      <c r="IUI1" s="292"/>
      <c r="IUJ1" s="292"/>
      <c r="IUK1" s="292"/>
      <c r="IUL1" s="292"/>
      <c r="IUM1" s="292"/>
      <c r="IUN1" s="292"/>
      <c r="IUO1" s="292"/>
      <c r="IUP1" s="292"/>
      <c r="IUQ1" s="292"/>
      <c r="IUR1" s="292"/>
      <c r="IUS1" s="292"/>
      <c r="IUT1" s="292"/>
      <c r="IUU1" s="292"/>
      <c r="IUV1" s="292"/>
      <c r="IUW1" s="292"/>
      <c r="IUX1" s="292"/>
      <c r="IUY1" s="292"/>
      <c r="IUZ1" s="292"/>
      <c r="IVA1" s="292"/>
      <c r="IVB1" s="292"/>
      <c r="IVC1" s="292"/>
      <c r="IVD1" s="292"/>
      <c r="IVE1" s="292"/>
      <c r="IVF1" s="292"/>
      <c r="IVG1" s="292"/>
      <c r="IVH1" s="292"/>
      <c r="IVI1" s="292"/>
      <c r="IVJ1" s="292"/>
      <c r="IVK1" s="292"/>
      <c r="IVL1" s="292"/>
      <c r="IVM1" s="292"/>
      <c r="IVN1" s="292"/>
      <c r="IVO1" s="292"/>
      <c r="IVP1" s="292"/>
      <c r="IVQ1" s="292"/>
      <c r="IVR1" s="292"/>
      <c r="IVS1" s="292"/>
      <c r="IVT1" s="292"/>
      <c r="IVU1" s="292"/>
      <c r="IVV1" s="292"/>
      <c r="IVW1" s="292"/>
      <c r="IVX1" s="292"/>
      <c r="IVY1" s="292"/>
      <c r="IVZ1" s="292"/>
      <c r="IWA1" s="292"/>
      <c r="IWB1" s="292"/>
      <c r="IWC1" s="292"/>
      <c r="IWD1" s="292"/>
      <c r="IWE1" s="292"/>
      <c r="IWF1" s="292"/>
      <c r="IWG1" s="292"/>
      <c r="IWH1" s="292"/>
      <c r="IWI1" s="292"/>
      <c r="IWJ1" s="292"/>
      <c r="IWK1" s="292"/>
      <c r="IWL1" s="292"/>
      <c r="IWM1" s="292"/>
      <c r="IWN1" s="292"/>
      <c r="IWO1" s="292"/>
      <c r="IWP1" s="292"/>
      <c r="IWQ1" s="292"/>
      <c r="IWR1" s="292"/>
      <c r="IWS1" s="292"/>
      <c r="IWT1" s="292"/>
      <c r="IWU1" s="292"/>
      <c r="IWV1" s="292"/>
      <c r="IWW1" s="292"/>
      <c r="IWX1" s="292"/>
      <c r="IWY1" s="292"/>
      <c r="IWZ1" s="292"/>
      <c r="IXA1" s="292"/>
      <c r="IXB1" s="292"/>
      <c r="IXC1" s="292"/>
      <c r="IXD1" s="292"/>
      <c r="IXE1" s="292"/>
      <c r="IXF1" s="292"/>
      <c r="IXG1" s="292"/>
      <c r="IXH1" s="292"/>
      <c r="IXI1" s="292"/>
      <c r="IXJ1" s="292"/>
      <c r="IXK1" s="292"/>
      <c r="IXL1" s="292"/>
      <c r="IXM1" s="292"/>
      <c r="IXN1" s="292"/>
      <c r="IXO1" s="292"/>
      <c r="IXP1" s="292"/>
      <c r="IXQ1" s="292"/>
      <c r="IXR1" s="292"/>
      <c r="IXS1" s="292"/>
      <c r="IXT1" s="292"/>
      <c r="IXU1" s="292"/>
      <c r="IXV1" s="292"/>
      <c r="IXW1" s="292"/>
      <c r="IXX1" s="292"/>
      <c r="IXY1" s="292"/>
      <c r="IXZ1" s="292"/>
      <c r="IYA1" s="292"/>
      <c r="IYB1" s="292"/>
      <c r="IYC1" s="292"/>
      <c r="IYD1" s="292"/>
      <c r="IYE1" s="292"/>
      <c r="IYF1" s="292"/>
      <c r="IYG1" s="292"/>
      <c r="IYH1" s="292"/>
      <c r="IYI1" s="292"/>
      <c r="IYJ1" s="292"/>
      <c r="IYK1" s="292"/>
      <c r="IYL1" s="292"/>
      <c r="IYM1" s="292"/>
      <c r="IYN1" s="292"/>
      <c r="IYO1" s="292"/>
      <c r="IYP1" s="292"/>
      <c r="IYQ1" s="292"/>
      <c r="IYR1" s="292"/>
      <c r="IYS1" s="292"/>
      <c r="IYT1" s="292"/>
      <c r="IYU1" s="292"/>
      <c r="IYV1" s="292"/>
      <c r="IYW1" s="292"/>
      <c r="IYX1" s="292"/>
      <c r="IYY1" s="292"/>
      <c r="IYZ1" s="292"/>
      <c r="IZA1" s="292"/>
      <c r="IZB1" s="292"/>
      <c r="IZC1" s="292"/>
      <c r="IZD1" s="292"/>
      <c r="IZE1" s="292"/>
      <c r="IZF1" s="292"/>
      <c r="IZG1" s="292"/>
      <c r="IZH1" s="292"/>
      <c r="IZI1" s="292"/>
      <c r="IZJ1" s="292"/>
      <c r="IZK1" s="292"/>
      <c r="IZL1" s="292"/>
      <c r="IZM1" s="292"/>
      <c r="IZN1" s="292"/>
      <c r="IZO1" s="292"/>
      <c r="IZP1" s="292"/>
      <c r="IZQ1" s="292"/>
      <c r="IZR1" s="292"/>
      <c r="IZS1" s="292"/>
      <c r="IZT1" s="292"/>
      <c r="IZU1" s="292"/>
      <c r="IZV1" s="292"/>
      <c r="IZW1" s="292"/>
      <c r="IZX1" s="292"/>
      <c r="IZY1" s="292"/>
      <c r="IZZ1" s="292"/>
      <c r="JAA1" s="292"/>
      <c r="JAB1" s="292"/>
      <c r="JAC1" s="292"/>
      <c r="JAD1" s="292"/>
      <c r="JAE1" s="292"/>
      <c r="JAF1" s="292"/>
      <c r="JAG1" s="292"/>
      <c r="JAH1" s="292"/>
      <c r="JAI1" s="292"/>
      <c r="JAJ1" s="292"/>
      <c r="JAK1" s="292"/>
      <c r="JAL1" s="292"/>
      <c r="JAM1" s="292"/>
      <c r="JAN1" s="292"/>
      <c r="JAO1" s="292"/>
      <c r="JAP1" s="292"/>
      <c r="JAQ1" s="292"/>
      <c r="JAR1" s="292"/>
      <c r="JAS1" s="292"/>
      <c r="JAT1" s="292"/>
      <c r="JAU1" s="292"/>
      <c r="JAV1" s="292"/>
      <c r="JAW1" s="292"/>
      <c r="JAX1" s="292"/>
      <c r="JAY1" s="292"/>
      <c r="JAZ1" s="292"/>
      <c r="JBA1" s="292"/>
      <c r="JBB1" s="292"/>
      <c r="JBC1" s="292"/>
      <c r="JBD1" s="292"/>
      <c r="JBE1" s="292"/>
      <c r="JBF1" s="292"/>
      <c r="JBG1" s="292"/>
      <c r="JBH1" s="292"/>
      <c r="JBI1" s="292"/>
      <c r="JBJ1" s="292"/>
      <c r="JBK1" s="292"/>
      <c r="JBL1" s="292"/>
      <c r="JBM1" s="292"/>
      <c r="JBN1" s="292"/>
      <c r="JBO1" s="292"/>
      <c r="JBP1" s="292"/>
      <c r="JBQ1" s="292"/>
      <c r="JBR1" s="292"/>
      <c r="JBS1" s="292"/>
      <c r="JBT1" s="292"/>
      <c r="JBU1" s="292"/>
      <c r="JBV1" s="292"/>
      <c r="JBW1" s="292"/>
      <c r="JBX1" s="292"/>
      <c r="JBY1" s="292"/>
      <c r="JBZ1" s="292"/>
      <c r="JCA1" s="292"/>
      <c r="JCB1" s="292"/>
      <c r="JCC1" s="292"/>
      <c r="JCD1" s="292"/>
      <c r="JCE1" s="292"/>
      <c r="JCF1" s="292"/>
      <c r="JCG1" s="292"/>
      <c r="JCH1" s="292"/>
      <c r="JCI1" s="292"/>
      <c r="JCJ1" s="292"/>
      <c r="JCK1" s="292"/>
      <c r="JCL1" s="292"/>
      <c r="JCM1" s="292"/>
      <c r="JCN1" s="292"/>
      <c r="JCO1" s="292"/>
      <c r="JCP1" s="292"/>
      <c r="JCQ1" s="292"/>
      <c r="JCR1" s="292"/>
      <c r="JCS1" s="292"/>
      <c r="JCT1" s="292"/>
      <c r="JCU1" s="292"/>
      <c r="JCV1" s="292"/>
      <c r="JCW1" s="292"/>
      <c r="JCX1" s="292"/>
      <c r="JCY1" s="292"/>
      <c r="JCZ1" s="292"/>
      <c r="JDA1" s="292"/>
      <c r="JDB1" s="292"/>
      <c r="JDC1" s="292"/>
      <c r="JDD1" s="292"/>
      <c r="JDE1" s="292"/>
      <c r="JDF1" s="292"/>
      <c r="JDG1" s="292"/>
      <c r="JDH1" s="292"/>
      <c r="JDI1" s="292"/>
      <c r="JDJ1" s="292"/>
      <c r="JDK1" s="292"/>
      <c r="JDL1" s="292"/>
      <c r="JDM1" s="292"/>
      <c r="JDN1" s="292"/>
      <c r="JDO1" s="292"/>
      <c r="JDP1" s="292"/>
      <c r="JDQ1" s="292"/>
      <c r="JDR1" s="292"/>
      <c r="JDS1" s="292"/>
      <c r="JDT1" s="292"/>
      <c r="JDU1" s="292"/>
      <c r="JDV1" s="292"/>
      <c r="JDW1" s="292"/>
      <c r="JDX1" s="292"/>
      <c r="JDY1" s="292"/>
      <c r="JDZ1" s="292"/>
      <c r="JEA1" s="292"/>
      <c r="JEB1" s="292"/>
      <c r="JEC1" s="292"/>
      <c r="JED1" s="292"/>
      <c r="JEE1" s="292"/>
      <c r="JEF1" s="292"/>
      <c r="JEG1" s="292"/>
      <c r="JEH1" s="292"/>
      <c r="JEI1" s="292"/>
      <c r="JEJ1" s="292"/>
      <c r="JEK1" s="292"/>
      <c r="JEL1" s="292"/>
      <c r="JEM1" s="292"/>
      <c r="JEN1" s="292"/>
      <c r="JEO1" s="292"/>
      <c r="JEP1" s="292"/>
      <c r="JEQ1" s="292"/>
      <c r="JER1" s="292"/>
      <c r="JES1" s="292"/>
      <c r="JET1" s="292"/>
      <c r="JEU1" s="292"/>
      <c r="JEV1" s="292"/>
      <c r="JEW1" s="292"/>
      <c r="JEX1" s="292"/>
      <c r="JEY1" s="292"/>
      <c r="JEZ1" s="292"/>
      <c r="JFA1" s="292"/>
      <c r="JFB1" s="292"/>
      <c r="JFC1" s="292"/>
      <c r="JFD1" s="292"/>
      <c r="JFE1" s="292"/>
      <c r="JFF1" s="292"/>
      <c r="JFG1" s="292"/>
      <c r="JFH1" s="292"/>
      <c r="JFI1" s="292"/>
      <c r="JFJ1" s="292"/>
      <c r="JFK1" s="292"/>
      <c r="JFL1" s="292"/>
      <c r="JFM1" s="292"/>
      <c r="JFN1" s="292"/>
      <c r="JFO1" s="292"/>
      <c r="JFP1" s="292"/>
      <c r="JFQ1" s="292"/>
      <c r="JFR1" s="292"/>
      <c r="JFS1" s="292"/>
      <c r="JFT1" s="292"/>
      <c r="JFU1" s="292"/>
      <c r="JFV1" s="292"/>
      <c r="JFW1" s="292"/>
      <c r="JFX1" s="292"/>
      <c r="JFY1" s="292"/>
      <c r="JFZ1" s="292"/>
      <c r="JGA1" s="292"/>
      <c r="JGB1" s="292"/>
      <c r="JGC1" s="292"/>
      <c r="JGD1" s="292"/>
      <c r="JGE1" s="292"/>
      <c r="JGF1" s="292"/>
      <c r="JGG1" s="292"/>
      <c r="JGH1" s="292"/>
      <c r="JGI1" s="292"/>
      <c r="JGJ1" s="292"/>
      <c r="JGK1" s="292"/>
      <c r="JGL1" s="292"/>
      <c r="JGM1" s="292"/>
      <c r="JGN1" s="292"/>
      <c r="JGO1" s="292"/>
      <c r="JGP1" s="292"/>
      <c r="JGQ1" s="292"/>
      <c r="JGR1" s="292"/>
      <c r="JGS1" s="292"/>
      <c r="JGT1" s="292"/>
      <c r="JGU1" s="292"/>
      <c r="JGV1" s="292"/>
      <c r="JGW1" s="292"/>
      <c r="JGX1" s="292"/>
      <c r="JGY1" s="292"/>
      <c r="JGZ1" s="292"/>
      <c r="JHA1" s="292"/>
      <c r="JHB1" s="292"/>
      <c r="JHC1" s="292"/>
      <c r="JHD1" s="292"/>
      <c r="JHE1" s="292"/>
      <c r="JHF1" s="292"/>
      <c r="JHG1" s="292"/>
      <c r="JHH1" s="292"/>
      <c r="JHI1" s="292"/>
      <c r="JHJ1" s="292"/>
      <c r="JHK1" s="292"/>
      <c r="JHL1" s="292"/>
      <c r="JHM1" s="292"/>
      <c r="JHN1" s="292"/>
      <c r="JHO1" s="292"/>
      <c r="JHP1" s="292"/>
      <c r="JHQ1" s="292"/>
      <c r="JHR1" s="292"/>
      <c r="JHS1" s="292"/>
      <c r="JHT1" s="292"/>
      <c r="JHU1" s="292"/>
      <c r="JHV1" s="292"/>
      <c r="JHW1" s="292"/>
      <c r="JHX1" s="292"/>
      <c r="JHY1" s="292"/>
      <c r="JHZ1" s="292"/>
      <c r="JIA1" s="292"/>
      <c r="JIB1" s="292"/>
      <c r="JIC1" s="292"/>
      <c r="JID1" s="292"/>
      <c r="JIE1" s="292"/>
      <c r="JIF1" s="292"/>
      <c r="JIG1" s="292"/>
      <c r="JIH1" s="292"/>
      <c r="JII1" s="292"/>
      <c r="JIJ1" s="292"/>
      <c r="JIK1" s="292"/>
      <c r="JIL1" s="292"/>
      <c r="JIM1" s="292"/>
      <c r="JIN1" s="292"/>
      <c r="JIO1" s="292"/>
      <c r="JIP1" s="292"/>
      <c r="JIQ1" s="292"/>
      <c r="JIR1" s="292"/>
      <c r="JIS1" s="292"/>
      <c r="JIT1" s="292"/>
      <c r="JIU1" s="292"/>
      <c r="JIV1" s="292"/>
      <c r="JIW1" s="292"/>
      <c r="JIX1" s="292"/>
      <c r="JIY1" s="292"/>
      <c r="JIZ1" s="292"/>
      <c r="JJA1" s="292"/>
      <c r="JJB1" s="292"/>
      <c r="JJC1" s="292"/>
      <c r="JJD1" s="292"/>
      <c r="JJE1" s="292"/>
      <c r="JJF1" s="292"/>
      <c r="JJG1" s="292"/>
      <c r="JJH1" s="292"/>
      <c r="JJI1" s="292"/>
      <c r="JJJ1" s="292"/>
      <c r="JJK1" s="292"/>
      <c r="JJL1" s="292"/>
      <c r="JJM1" s="292"/>
      <c r="JJN1" s="292"/>
      <c r="JJO1" s="292"/>
      <c r="JJP1" s="292"/>
      <c r="JJQ1" s="292"/>
      <c r="JJR1" s="292"/>
      <c r="JJS1" s="292"/>
      <c r="JJT1" s="292"/>
      <c r="JJU1" s="292"/>
      <c r="JJV1" s="292"/>
      <c r="JJW1" s="292"/>
      <c r="JJX1" s="292"/>
      <c r="JJY1" s="292"/>
      <c r="JJZ1" s="292"/>
      <c r="JKA1" s="292"/>
      <c r="JKB1" s="292"/>
      <c r="JKC1" s="292"/>
      <c r="JKD1" s="292"/>
      <c r="JKE1" s="292"/>
      <c r="JKF1" s="292"/>
      <c r="JKG1" s="292"/>
      <c r="JKH1" s="292"/>
      <c r="JKI1" s="292"/>
      <c r="JKJ1" s="292"/>
      <c r="JKK1" s="292"/>
      <c r="JKL1" s="292"/>
      <c r="JKM1" s="292"/>
      <c r="JKN1" s="292"/>
      <c r="JKO1" s="292"/>
      <c r="JKP1" s="292"/>
      <c r="JKQ1" s="292"/>
      <c r="JKR1" s="292"/>
      <c r="JKS1" s="292"/>
      <c r="JKT1" s="292"/>
      <c r="JKU1" s="292"/>
      <c r="JKV1" s="292"/>
      <c r="JKW1" s="292"/>
      <c r="JKX1" s="292"/>
      <c r="JKY1" s="292"/>
      <c r="JKZ1" s="292"/>
      <c r="JLA1" s="292"/>
      <c r="JLB1" s="292"/>
      <c r="JLC1" s="292"/>
      <c r="JLD1" s="292"/>
      <c r="JLE1" s="292"/>
      <c r="JLF1" s="292"/>
      <c r="JLG1" s="292"/>
      <c r="JLH1" s="292"/>
      <c r="JLI1" s="292"/>
      <c r="JLJ1" s="292"/>
      <c r="JLK1" s="292"/>
      <c r="JLL1" s="292"/>
      <c r="JLM1" s="292"/>
      <c r="JLN1" s="292"/>
      <c r="JLO1" s="292"/>
      <c r="JLP1" s="292"/>
      <c r="JLQ1" s="292"/>
      <c r="JLR1" s="292"/>
      <c r="JLS1" s="292"/>
      <c r="JLT1" s="292"/>
      <c r="JLU1" s="292"/>
      <c r="JLV1" s="292"/>
      <c r="JLW1" s="292"/>
      <c r="JLX1" s="292"/>
      <c r="JLY1" s="292"/>
      <c r="JLZ1" s="292"/>
      <c r="JMA1" s="292"/>
      <c r="JMB1" s="292"/>
      <c r="JMC1" s="292"/>
      <c r="JMD1" s="292"/>
      <c r="JME1" s="292"/>
      <c r="JMF1" s="292"/>
      <c r="JMG1" s="292"/>
      <c r="JMH1" s="292"/>
      <c r="JMI1" s="292"/>
      <c r="JMJ1" s="292"/>
      <c r="JMK1" s="292"/>
      <c r="JML1" s="292"/>
      <c r="JMM1" s="292"/>
      <c r="JMN1" s="292"/>
      <c r="JMO1" s="292"/>
      <c r="JMP1" s="292"/>
      <c r="JMQ1" s="292"/>
      <c r="JMR1" s="292"/>
      <c r="JMS1" s="292"/>
      <c r="JMT1" s="292"/>
      <c r="JMU1" s="292"/>
      <c r="JMV1" s="292"/>
      <c r="JMW1" s="292"/>
      <c r="JMX1" s="292"/>
      <c r="JMY1" s="292"/>
      <c r="JMZ1" s="292"/>
      <c r="JNA1" s="292"/>
      <c r="JNB1" s="292"/>
      <c r="JNC1" s="292"/>
      <c r="JND1" s="292"/>
      <c r="JNE1" s="292"/>
      <c r="JNF1" s="292"/>
      <c r="JNG1" s="292"/>
      <c r="JNH1" s="292"/>
      <c r="JNI1" s="292"/>
      <c r="JNJ1" s="292"/>
      <c r="JNK1" s="292"/>
      <c r="JNL1" s="292"/>
      <c r="JNM1" s="292"/>
      <c r="JNN1" s="292"/>
      <c r="JNO1" s="292"/>
      <c r="JNP1" s="292"/>
      <c r="JNQ1" s="292"/>
      <c r="JNR1" s="292"/>
      <c r="JNS1" s="292"/>
      <c r="JNT1" s="292"/>
      <c r="JNU1" s="292"/>
      <c r="JNV1" s="292"/>
      <c r="JNW1" s="292"/>
      <c r="JNX1" s="292"/>
      <c r="JNY1" s="292"/>
      <c r="JNZ1" s="292"/>
      <c r="JOA1" s="292"/>
      <c r="JOB1" s="292"/>
      <c r="JOC1" s="292"/>
      <c r="JOD1" s="292"/>
      <c r="JOE1" s="292"/>
      <c r="JOF1" s="292"/>
      <c r="JOG1" s="292"/>
      <c r="JOH1" s="292"/>
      <c r="JOI1" s="292"/>
      <c r="JOJ1" s="292"/>
      <c r="JOK1" s="292"/>
      <c r="JOL1" s="292"/>
      <c r="JOM1" s="292"/>
      <c r="JON1" s="292"/>
      <c r="JOO1" s="292"/>
      <c r="JOP1" s="292"/>
      <c r="JOQ1" s="292"/>
      <c r="JOR1" s="292"/>
      <c r="JOS1" s="292"/>
      <c r="JOT1" s="292"/>
      <c r="JOU1" s="292"/>
      <c r="JOV1" s="292"/>
      <c r="JOW1" s="292"/>
      <c r="JOX1" s="292"/>
      <c r="JOY1" s="292"/>
      <c r="JOZ1" s="292"/>
      <c r="JPA1" s="292"/>
      <c r="JPB1" s="292"/>
      <c r="JPC1" s="292"/>
      <c r="JPD1" s="292"/>
      <c r="JPE1" s="292"/>
      <c r="JPF1" s="292"/>
      <c r="JPG1" s="292"/>
      <c r="JPH1" s="292"/>
      <c r="JPI1" s="292"/>
      <c r="JPJ1" s="292"/>
      <c r="JPK1" s="292"/>
      <c r="JPL1" s="292"/>
      <c r="JPM1" s="292"/>
      <c r="JPN1" s="292"/>
      <c r="JPO1" s="292"/>
      <c r="JPP1" s="292"/>
      <c r="JPQ1" s="292"/>
      <c r="JPR1" s="292"/>
      <c r="JPS1" s="292"/>
      <c r="JPT1" s="292"/>
      <c r="JPU1" s="292"/>
      <c r="JPV1" s="292"/>
      <c r="JPW1" s="292"/>
      <c r="JPX1" s="292"/>
      <c r="JPY1" s="292"/>
      <c r="JPZ1" s="292"/>
      <c r="JQA1" s="292"/>
      <c r="JQB1" s="292"/>
      <c r="JQC1" s="292"/>
      <c r="JQD1" s="292"/>
      <c r="JQE1" s="292"/>
      <c r="JQF1" s="292"/>
      <c r="JQG1" s="292"/>
      <c r="JQH1" s="292"/>
      <c r="JQI1" s="292"/>
      <c r="JQJ1" s="292"/>
      <c r="JQK1" s="292"/>
      <c r="JQL1" s="292"/>
      <c r="JQM1" s="292"/>
      <c r="JQN1" s="292"/>
      <c r="JQO1" s="292"/>
      <c r="JQP1" s="292"/>
      <c r="JQQ1" s="292"/>
      <c r="JQR1" s="292"/>
      <c r="JQS1" s="292"/>
      <c r="JQT1" s="292"/>
      <c r="JQU1" s="292"/>
      <c r="JQV1" s="292"/>
      <c r="JQW1" s="292"/>
      <c r="JQX1" s="292"/>
      <c r="JQY1" s="292"/>
      <c r="JQZ1" s="292"/>
      <c r="JRA1" s="292"/>
      <c r="JRB1" s="292"/>
      <c r="JRC1" s="292"/>
      <c r="JRD1" s="292"/>
      <c r="JRE1" s="292"/>
      <c r="JRF1" s="292"/>
      <c r="JRG1" s="292"/>
      <c r="JRH1" s="292"/>
      <c r="JRI1" s="292"/>
      <c r="JRJ1" s="292"/>
      <c r="JRK1" s="292"/>
      <c r="JRL1" s="292"/>
      <c r="JRM1" s="292"/>
      <c r="JRN1" s="292"/>
      <c r="JRO1" s="292"/>
      <c r="JRP1" s="292"/>
      <c r="JRQ1" s="292"/>
      <c r="JRR1" s="292"/>
      <c r="JRS1" s="292"/>
      <c r="JRT1" s="292"/>
      <c r="JRU1" s="292"/>
      <c r="JRV1" s="292"/>
      <c r="JRW1" s="292"/>
      <c r="JRX1" s="292"/>
      <c r="JRY1" s="292"/>
      <c r="JRZ1" s="292"/>
      <c r="JSA1" s="292"/>
      <c r="JSB1" s="292"/>
      <c r="JSC1" s="292"/>
      <c r="JSD1" s="292"/>
      <c r="JSE1" s="292"/>
      <c r="JSF1" s="292"/>
      <c r="JSG1" s="292"/>
      <c r="JSH1" s="292"/>
      <c r="JSI1" s="292"/>
      <c r="JSJ1" s="292"/>
      <c r="JSK1" s="292"/>
      <c r="JSL1" s="292"/>
      <c r="JSM1" s="292"/>
      <c r="JSN1" s="292"/>
      <c r="JSO1" s="292"/>
      <c r="JSP1" s="292"/>
      <c r="JSQ1" s="292"/>
      <c r="JSR1" s="292"/>
      <c r="JSS1" s="292"/>
      <c r="JST1" s="292"/>
      <c r="JSU1" s="292"/>
      <c r="JSV1" s="292"/>
      <c r="JSW1" s="292"/>
      <c r="JSX1" s="292"/>
      <c r="JSY1" s="292"/>
      <c r="JSZ1" s="292"/>
      <c r="JTA1" s="292"/>
      <c r="JTB1" s="292"/>
      <c r="JTC1" s="292"/>
      <c r="JTD1" s="292"/>
      <c r="JTE1" s="292"/>
      <c r="JTF1" s="292"/>
      <c r="JTG1" s="292"/>
      <c r="JTH1" s="292"/>
      <c r="JTI1" s="292"/>
      <c r="JTJ1" s="292"/>
      <c r="JTK1" s="292"/>
      <c r="JTL1" s="292"/>
      <c r="JTM1" s="292"/>
      <c r="JTN1" s="292"/>
      <c r="JTO1" s="292"/>
      <c r="JTP1" s="292"/>
      <c r="JTQ1" s="292"/>
      <c r="JTR1" s="292"/>
      <c r="JTS1" s="292"/>
      <c r="JTT1" s="292"/>
      <c r="JTU1" s="292"/>
      <c r="JTV1" s="292"/>
      <c r="JTW1" s="292"/>
      <c r="JTX1" s="292"/>
      <c r="JTY1" s="292"/>
      <c r="JTZ1" s="292"/>
      <c r="JUA1" s="292"/>
      <c r="JUB1" s="292"/>
      <c r="JUC1" s="292"/>
      <c r="JUD1" s="292"/>
      <c r="JUE1" s="292"/>
      <c r="JUF1" s="292"/>
      <c r="JUG1" s="292"/>
      <c r="JUH1" s="292"/>
      <c r="JUI1" s="292"/>
      <c r="JUJ1" s="292"/>
      <c r="JUK1" s="292"/>
      <c r="JUL1" s="292"/>
      <c r="JUM1" s="292"/>
      <c r="JUN1" s="292"/>
      <c r="JUO1" s="292"/>
      <c r="JUP1" s="292"/>
      <c r="JUQ1" s="292"/>
      <c r="JUR1" s="292"/>
      <c r="JUS1" s="292"/>
      <c r="JUT1" s="292"/>
      <c r="JUU1" s="292"/>
      <c r="JUV1" s="292"/>
      <c r="JUW1" s="292"/>
      <c r="JUX1" s="292"/>
      <c r="JUY1" s="292"/>
      <c r="JUZ1" s="292"/>
      <c r="JVA1" s="292"/>
      <c r="JVB1" s="292"/>
      <c r="JVC1" s="292"/>
      <c r="JVD1" s="292"/>
      <c r="JVE1" s="292"/>
      <c r="JVF1" s="292"/>
      <c r="JVG1" s="292"/>
      <c r="JVH1" s="292"/>
      <c r="JVI1" s="292"/>
      <c r="JVJ1" s="292"/>
      <c r="JVK1" s="292"/>
      <c r="JVL1" s="292"/>
      <c r="JVM1" s="292"/>
      <c r="JVN1" s="292"/>
      <c r="JVO1" s="292"/>
      <c r="JVP1" s="292"/>
      <c r="JVQ1" s="292"/>
      <c r="JVR1" s="292"/>
      <c r="JVS1" s="292"/>
      <c r="JVT1" s="292"/>
      <c r="JVU1" s="292"/>
      <c r="JVV1" s="292"/>
      <c r="JVW1" s="292"/>
      <c r="JVX1" s="292"/>
      <c r="JVY1" s="292"/>
      <c r="JVZ1" s="292"/>
      <c r="JWA1" s="292"/>
      <c r="JWB1" s="292"/>
      <c r="JWC1" s="292"/>
      <c r="JWD1" s="292"/>
      <c r="JWE1" s="292"/>
      <c r="JWF1" s="292"/>
      <c r="JWG1" s="292"/>
      <c r="JWH1" s="292"/>
      <c r="JWI1" s="292"/>
      <c r="JWJ1" s="292"/>
      <c r="JWK1" s="292"/>
      <c r="JWL1" s="292"/>
      <c r="JWM1" s="292"/>
      <c r="JWN1" s="292"/>
      <c r="JWO1" s="292"/>
      <c r="JWP1" s="292"/>
      <c r="JWQ1" s="292"/>
      <c r="JWR1" s="292"/>
      <c r="JWS1" s="292"/>
      <c r="JWT1" s="292"/>
      <c r="JWU1" s="292"/>
      <c r="JWV1" s="292"/>
      <c r="JWW1" s="292"/>
      <c r="JWX1" s="292"/>
      <c r="JWY1" s="292"/>
      <c r="JWZ1" s="292"/>
      <c r="JXA1" s="292"/>
      <c r="JXB1" s="292"/>
      <c r="JXC1" s="292"/>
      <c r="JXD1" s="292"/>
      <c r="JXE1" s="292"/>
      <c r="JXF1" s="292"/>
      <c r="JXG1" s="292"/>
      <c r="JXH1" s="292"/>
      <c r="JXI1" s="292"/>
      <c r="JXJ1" s="292"/>
      <c r="JXK1" s="292"/>
      <c r="JXL1" s="292"/>
      <c r="JXM1" s="292"/>
      <c r="JXN1" s="292"/>
      <c r="JXO1" s="292"/>
      <c r="JXP1" s="292"/>
      <c r="JXQ1" s="292"/>
      <c r="JXR1" s="292"/>
      <c r="JXS1" s="292"/>
      <c r="JXT1" s="292"/>
      <c r="JXU1" s="292"/>
      <c r="JXV1" s="292"/>
      <c r="JXW1" s="292"/>
      <c r="JXX1" s="292"/>
      <c r="JXY1" s="292"/>
      <c r="JXZ1" s="292"/>
      <c r="JYA1" s="292"/>
      <c r="JYB1" s="292"/>
      <c r="JYC1" s="292"/>
      <c r="JYD1" s="292"/>
      <c r="JYE1" s="292"/>
      <c r="JYF1" s="292"/>
      <c r="JYG1" s="292"/>
      <c r="JYH1" s="292"/>
      <c r="JYI1" s="292"/>
      <c r="JYJ1" s="292"/>
      <c r="JYK1" s="292"/>
      <c r="JYL1" s="292"/>
      <c r="JYM1" s="292"/>
      <c r="JYN1" s="292"/>
      <c r="JYO1" s="292"/>
      <c r="JYP1" s="292"/>
      <c r="JYQ1" s="292"/>
      <c r="JYR1" s="292"/>
      <c r="JYS1" s="292"/>
      <c r="JYT1" s="292"/>
      <c r="JYU1" s="292"/>
      <c r="JYV1" s="292"/>
      <c r="JYW1" s="292"/>
      <c r="JYX1" s="292"/>
      <c r="JYY1" s="292"/>
      <c r="JYZ1" s="292"/>
      <c r="JZA1" s="292"/>
      <c r="JZB1" s="292"/>
      <c r="JZC1" s="292"/>
      <c r="JZD1" s="292"/>
      <c r="JZE1" s="292"/>
      <c r="JZF1" s="292"/>
      <c r="JZG1" s="292"/>
      <c r="JZH1" s="292"/>
      <c r="JZI1" s="292"/>
      <c r="JZJ1" s="292"/>
      <c r="JZK1" s="292"/>
      <c r="JZL1" s="292"/>
      <c r="JZM1" s="292"/>
      <c r="JZN1" s="292"/>
      <c r="JZO1" s="292"/>
      <c r="JZP1" s="292"/>
      <c r="JZQ1" s="292"/>
      <c r="JZR1" s="292"/>
      <c r="JZS1" s="292"/>
      <c r="JZT1" s="292"/>
      <c r="JZU1" s="292"/>
      <c r="JZV1" s="292"/>
      <c r="JZW1" s="292"/>
      <c r="JZX1" s="292"/>
      <c r="JZY1" s="292"/>
      <c r="JZZ1" s="292"/>
      <c r="KAA1" s="292"/>
      <c r="KAB1" s="292"/>
      <c r="KAC1" s="292"/>
      <c r="KAD1" s="292"/>
      <c r="KAE1" s="292"/>
      <c r="KAF1" s="292"/>
      <c r="KAG1" s="292"/>
      <c r="KAH1" s="292"/>
      <c r="KAI1" s="292"/>
      <c r="KAJ1" s="292"/>
      <c r="KAK1" s="292"/>
      <c r="KAL1" s="292"/>
      <c r="KAM1" s="292"/>
      <c r="KAN1" s="292"/>
      <c r="KAO1" s="292"/>
      <c r="KAP1" s="292"/>
      <c r="KAQ1" s="292"/>
      <c r="KAR1" s="292"/>
      <c r="KAS1" s="292"/>
      <c r="KAT1" s="292"/>
      <c r="KAU1" s="292"/>
      <c r="KAV1" s="292"/>
      <c r="KAW1" s="292"/>
      <c r="KAX1" s="292"/>
      <c r="KAY1" s="292"/>
      <c r="KAZ1" s="292"/>
      <c r="KBA1" s="292"/>
      <c r="KBB1" s="292"/>
      <c r="KBC1" s="292"/>
      <c r="KBD1" s="292"/>
      <c r="KBE1" s="292"/>
      <c r="KBF1" s="292"/>
      <c r="KBG1" s="292"/>
      <c r="KBH1" s="292"/>
      <c r="KBI1" s="292"/>
      <c r="KBJ1" s="292"/>
      <c r="KBK1" s="292"/>
      <c r="KBL1" s="292"/>
      <c r="KBM1" s="292"/>
      <c r="KBN1" s="292"/>
      <c r="KBO1" s="292"/>
      <c r="KBP1" s="292"/>
      <c r="KBQ1" s="292"/>
      <c r="KBR1" s="292"/>
      <c r="KBS1" s="292"/>
      <c r="KBT1" s="292"/>
      <c r="KBU1" s="292"/>
      <c r="KBV1" s="292"/>
      <c r="KBW1" s="292"/>
      <c r="KBX1" s="292"/>
      <c r="KBY1" s="292"/>
      <c r="KBZ1" s="292"/>
      <c r="KCA1" s="292"/>
      <c r="KCB1" s="292"/>
      <c r="KCC1" s="292"/>
      <c r="KCD1" s="292"/>
      <c r="KCE1" s="292"/>
      <c r="KCF1" s="292"/>
      <c r="KCG1" s="292"/>
      <c r="KCH1" s="292"/>
      <c r="KCI1" s="292"/>
      <c r="KCJ1" s="292"/>
      <c r="KCK1" s="292"/>
      <c r="KCL1" s="292"/>
      <c r="KCM1" s="292"/>
      <c r="KCN1" s="292"/>
      <c r="KCO1" s="292"/>
      <c r="KCP1" s="292"/>
      <c r="KCQ1" s="292"/>
      <c r="KCR1" s="292"/>
      <c r="KCS1" s="292"/>
      <c r="KCT1" s="292"/>
      <c r="KCU1" s="292"/>
      <c r="KCV1" s="292"/>
      <c r="KCW1" s="292"/>
      <c r="KCX1" s="292"/>
      <c r="KCY1" s="292"/>
      <c r="KCZ1" s="292"/>
      <c r="KDA1" s="292"/>
      <c r="KDB1" s="292"/>
      <c r="KDC1" s="292"/>
      <c r="KDD1" s="292"/>
      <c r="KDE1" s="292"/>
      <c r="KDF1" s="292"/>
      <c r="KDG1" s="292"/>
      <c r="KDH1" s="292"/>
      <c r="KDI1" s="292"/>
      <c r="KDJ1" s="292"/>
      <c r="KDK1" s="292"/>
      <c r="KDL1" s="292"/>
      <c r="KDM1" s="292"/>
      <c r="KDN1" s="292"/>
      <c r="KDO1" s="292"/>
      <c r="KDP1" s="292"/>
      <c r="KDQ1" s="292"/>
      <c r="KDR1" s="292"/>
      <c r="KDS1" s="292"/>
      <c r="KDT1" s="292"/>
      <c r="KDU1" s="292"/>
      <c r="KDV1" s="292"/>
      <c r="KDW1" s="292"/>
      <c r="KDX1" s="292"/>
      <c r="KDY1" s="292"/>
      <c r="KDZ1" s="292"/>
      <c r="KEA1" s="292"/>
      <c r="KEB1" s="292"/>
      <c r="KEC1" s="292"/>
      <c r="KED1" s="292"/>
      <c r="KEE1" s="292"/>
      <c r="KEF1" s="292"/>
      <c r="KEG1" s="292"/>
      <c r="KEH1" s="292"/>
      <c r="KEI1" s="292"/>
      <c r="KEJ1" s="292"/>
      <c r="KEK1" s="292"/>
      <c r="KEL1" s="292"/>
      <c r="KEM1" s="292"/>
      <c r="KEN1" s="292"/>
      <c r="KEO1" s="292"/>
      <c r="KEP1" s="292"/>
      <c r="KEQ1" s="292"/>
      <c r="KER1" s="292"/>
      <c r="KES1" s="292"/>
      <c r="KET1" s="292"/>
      <c r="KEU1" s="292"/>
      <c r="KEV1" s="292"/>
      <c r="KEW1" s="292"/>
      <c r="KEX1" s="292"/>
      <c r="KEY1" s="292"/>
      <c r="KEZ1" s="292"/>
      <c r="KFA1" s="292"/>
      <c r="KFB1" s="292"/>
      <c r="KFC1" s="292"/>
      <c r="KFD1" s="292"/>
      <c r="KFE1" s="292"/>
      <c r="KFF1" s="292"/>
      <c r="KFG1" s="292"/>
      <c r="KFH1" s="292"/>
      <c r="KFI1" s="292"/>
      <c r="KFJ1" s="292"/>
      <c r="KFK1" s="292"/>
      <c r="KFL1" s="292"/>
      <c r="KFM1" s="292"/>
      <c r="KFN1" s="292"/>
      <c r="KFO1" s="292"/>
      <c r="KFP1" s="292"/>
      <c r="KFQ1" s="292"/>
      <c r="KFR1" s="292"/>
      <c r="KFS1" s="292"/>
      <c r="KFT1" s="292"/>
      <c r="KFU1" s="292"/>
      <c r="KFV1" s="292"/>
      <c r="KFW1" s="292"/>
      <c r="KFX1" s="292"/>
      <c r="KFY1" s="292"/>
      <c r="KFZ1" s="292"/>
      <c r="KGA1" s="292"/>
      <c r="KGB1" s="292"/>
      <c r="KGC1" s="292"/>
      <c r="KGD1" s="292"/>
      <c r="KGE1" s="292"/>
      <c r="KGF1" s="292"/>
      <c r="KGG1" s="292"/>
      <c r="KGH1" s="292"/>
      <c r="KGI1" s="292"/>
      <c r="KGJ1" s="292"/>
      <c r="KGK1" s="292"/>
      <c r="KGL1" s="292"/>
      <c r="KGM1" s="292"/>
      <c r="KGN1" s="292"/>
      <c r="KGO1" s="292"/>
      <c r="KGP1" s="292"/>
      <c r="KGQ1" s="292"/>
      <c r="KGR1" s="292"/>
      <c r="KGS1" s="292"/>
      <c r="KGT1" s="292"/>
      <c r="KGU1" s="292"/>
      <c r="KGV1" s="292"/>
      <c r="KGW1" s="292"/>
      <c r="KGX1" s="292"/>
      <c r="KGY1" s="292"/>
      <c r="KGZ1" s="292"/>
      <c r="KHA1" s="292"/>
      <c r="KHB1" s="292"/>
      <c r="KHC1" s="292"/>
      <c r="KHD1" s="292"/>
      <c r="KHE1" s="292"/>
      <c r="KHF1" s="292"/>
      <c r="KHG1" s="292"/>
      <c r="KHH1" s="292"/>
      <c r="KHI1" s="292"/>
      <c r="KHJ1" s="292"/>
      <c r="KHK1" s="292"/>
      <c r="KHL1" s="292"/>
      <c r="KHM1" s="292"/>
      <c r="KHN1" s="292"/>
      <c r="KHO1" s="292"/>
      <c r="KHP1" s="292"/>
      <c r="KHQ1" s="292"/>
      <c r="KHR1" s="292"/>
      <c r="KHS1" s="292"/>
      <c r="KHT1" s="292"/>
      <c r="KHU1" s="292"/>
      <c r="KHV1" s="292"/>
      <c r="KHW1" s="292"/>
      <c r="KHX1" s="292"/>
      <c r="KHY1" s="292"/>
      <c r="KHZ1" s="292"/>
      <c r="KIA1" s="292"/>
      <c r="KIB1" s="292"/>
      <c r="KIC1" s="292"/>
      <c r="KID1" s="292"/>
      <c r="KIE1" s="292"/>
      <c r="KIF1" s="292"/>
      <c r="KIG1" s="292"/>
      <c r="KIH1" s="292"/>
      <c r="KII1" s="292"/>
      <c r="KIJ1" s="292"/>
      <c r="KIK1" s="292"/>
      <c r="KIL1" s="292"/>
      <c r="KIM1" s="292"/>
      <c r="KIN1" s="292"/>
      <c r="KIO1" s="292"/>
      <c r="KIP1" s="292"/>
      <c r="KIQ1" s="292"/>
      <c r="KIR1" s="292"/>
      <c r="KIS1" s="292"/>
      <c r="KIT1" s="292"/>
      <c r="KIU1" s="292"/>
      <c r="KIV1" s="292"/>
      <c r="KIW1" s="292"/>
      <c r="KIX1" s="292"/>
      <c r="KIY1" s="292"/>
      <c r="KIZ1" s="292"/>
      <c r="KJA1" s="292"/>
      <c r="KJB1" s="292"/>
      <c r="KJC1" s="292"/>
      <c r="KJD1" s="292"/>
      <c r="KJE1" s="292"/>
      <c r="KJF1" s="292"/>
      <c r="KJG1" s="292"/>
      <c r="KJH1" s="292"/>
      <c r="KJI1" s="292"/>
      <c r="KJJ1" s="292"/>
      <c r="KJK1" s="292"/>
      <c r="KJL1" s="292"/>
      <c r="KJM1" s="292"/>
      <c r="KJN1" s="292"/>
      <c r="KJO1" s="292"/>
      <c r="KJP1" s="292"/>
      <c r="KJQ1" s="292"/>
      <c r="KJR1" s="292"/>
      <c r="KJS1" s="292"/>
      <c r="KJT1" s="292"/>
      <c r="KJU1" s="292"/>
      <c r="KJV1" s="292"/>
      <c r="KJW1" s="292"/>
      <c r="KJX1" s="292"/>
      <c r="KJY1" s="292"/>
      <c r="KJZ1" s="292"/>
      <c r="KKA1" s="292"/>
      <c r="KKB1" s="292"/>
      <c r="KKC1" s="292"/>
      <c r="KKD1" s="292"/>
      <c r="KKE1" s="292"/>
      <c r="KKF1" s="292"/>
      <c r="KKG1" s="292"/>
      <c r="KKH1" s="292"/>
      <c r="KKI1" s="292"/>
      <c r="KKJ1" s="292"/>
      <c r="KKK1" s="292"/>
      <c r="KKL1" s="292"/>
      <c r="KKM1" s="292"/>
      <c r="KKN1" s="292"/>
      <c r="KKO1" s="292"/>
      <c r="KKP1" s="292"/>
      <c r="KKQ1" s="292"/>
      <c r="KKR1" s="292"/>
      <c r="KKS1" s="292"/>
      <c r="KKT1" s="292"/>
      <c r="KKU1" s="292"/>
      <c r="KKV1" s="292"/>
      <c r="KKW1" s="292"/>
      <c r="KKX1" s="292"/>
      <c r="KKY1" s="292"/>
      <c r="KKZ1" s="292"/>
      <c r="KLA1" s="292"/>
      <c r="KLB1" s="292"/>
      <c r="KLC1" s="292"/>
      <c r="KLD1" s="292"/>
      <c r="KLE1" s="292"/>
      <c r="KLF1" s="292"/>
      <c r="KLG1" s="292"/>
      <c r="KLH1" s="292"/>
      <c r="KLI1" s="292"/>
      <c r="KLJ1" s="292"/>
      <c r="KLK1" s="292"/>
      <c r="KLL1" s="292"/>
      <c r="KLM1" s="292"/>
      <c r="KLN1" s="292"/>
      <c r="KLO1" s="292"/>
      <c r="KLP1" s="292"/>
      <c r="KLQ1" s="292"/>
      <c r="KLR1" s="292"/>
      <c r="KLS1" s="292"/>
      <c r="KLT1" s="292"/>
      <c r="KLU1" s="292"/>
      <c r="KLV1" s="292"/>
      <c r="KLW1" s="292"/>
      <c r="KLX1" s="292"/>
      <c r="KLY1" s="292"/>
      <c r="KLZ1" s="292"/>
      <c r="KMA1" s="292"/>
      <c r="KMB1" s="292"/>
      <c r="KMC1" s="292"/>
      <c r="KMD1" s="292"/>
      <c r="KME1" s="292"/>
      <c r="KMF1" s="292"/>
      <c r="KMG1" s="292"/>
      <c r="KMH1" s="292"/>
      <c r="KMI1" s="292"/>
      <c r="KMJ1" s="292"/>
      <c r="KMK1" s="292"/>
      <c r="KML1" s="292"/>
      <c r="KMM1" s="292"/>
      <c r="KMN1" s="292"/>
      <c r="KMO1" s="292"/>
      <c r="KMP1" s="292"/>
      <c r="KMQ1" s="292"/>
      <c r="KMR1" s="292"/>
      <c r="KMS1" s="292"/>
      <c r="KMT1" s="292"/>
      <c r="KMU1" s="292"/>
      <c r="KMV1" s="292"/>
      <c r="KMW1" s="292"/>
      <c r="KMX1" s="292"/>
      <c r="KMY1" s="292"/>
      <c r="KMZ1" s="292"/>
      <c r="KNA1" s="292"/>
      <c r="KNB1" s="292"/>
      <c r="KNC1" s="292"/>
      <c r="KND1" s="292"/>
      <c r="KNE1" s="292"/>
      <c r="KNF1" s="292"/>
      <c r="KNG1" s="292"/>
      <c r="KNH1" s="292"/>
      <c r="KNI1" s="292"/>
      <c r="KNJ1" s="292"/>
      <c r="KNK1" s="292"/>
      <c r="KNL1" s="292"/>
      <c r="KNM1" s="292"/>
      <c r="KNN1" s="292"/>
      <c r="KNO1" s="292"/>
      <c r="KNP1" s="292"/>
      <c r="KNQ1" s="292"/>
      <c r="KNR1" s="292"/>
      <c r="KNS1" s="292"/>
      <c r="KNT1" s="292"/>
      <c r="KNU1" s="292"/>
      <c r="KNV1" s="292"/>
      <c r="KNW1" s="292"/>
      <c r="KNX1" s="292"/>
      <c r="KNY1" s="292"/>
      <c r="KNZ1" s="292"/>
      <c r="KOA1" s="292"/>
      <c r="KOB1" s="292"/>
      <c r="KOC1" s="292"/>
      <c r="KOD1" s="292"/>
      <c r="KOE1" s="292"/>
      <c r="KOF1" s="292"/>
      <c r="KOG1" s="292"/>
      <c r="KOH1" s="292"/>
      <c r="KOI1" s="292"/>
      <c r="KOJ1" s="292"/>
      <c r="KOK1" s="292"/>
      <c r="KOL1" s="292"/>
      <c r="KOM1" s="292"/>
      <c r="KON1" s="292"/>
      <c r="KOO1" s="292"/>
      <c r="KOP1" s="292"/>
      <c r="KOQ1" s="292"/>
      <c r="KOR1" s="292"/>
      <c r="KOS1" s="292"/>
      <c r="KOT1" s="292"/>
      <c r="KOU1" s="292"/>
      <c r="KOV1" s="292"/>
      <c r="KOW1" s="292"/>
      <c r="KOX1" s="292"/>
      <c r="KOY1" s="292"/>
      <c r="KOZ1" s="292"/>
      <c r="KPA1" s="292"/>
      <c r="KPB1" s="292"/>
      <c r="KPC1" s="292"/>
      <c r="KPD1" s="292"/>
      <c r="KPE1" s="292"/>
      <c r="KPF1" s="292"/>
      <c r="KPG1" s="292"/>
      <c r="KPH1" s="292"/>
      <c r="KPI1" s="292"/>
      <c r="KPJ1" s="292"/>
      <c r="KPK1" s="292"/>
      <c r="KPL1" s="292"/>
      <c r="KPM1" s="292"/>
      <c r="KPN1" s="292"/>
      <c r="KPO1" s="292"/>
      <c r="KPP1" s="292"/>
      <c r="KPQ1" s="292"/>
      <c r="KPR1" s="292"/>
      <c r="KPS1" s="292"/>
      <c r="KPT1" s="292"/>
      <c r="KPU1" s="292"/>
      <c r="KPV1" s="292"/>
      <c r="KPW1" s="292"/>
      <c r="KPX1" s="292"/>
      <c r="KPY1" s="292"/>
      <c r="KPZ1" s="292"/>
      <c r="KQA1" s="292"/>
      <c r="KQB1" s="292"/>
      <c r="KQC1" s="292"/>
      <c r="KQD1" s="292"/>
      <c r="KQE1" s="292"/>
      <c r="KQF1" s="292"/>
      <c r="KQG1" s="292"/>
      <c r="KQH1" s="292"/>
      <c r="KQI1" s="292"/>
      <c r="KQJ1" s="292"/>
      <c r="KQK1" s="292"/>
      <c r="KQL1" s="292"/>
      <c r="KQM1" s="292"/>
      <c r="KQN1" s="292"/>
      <c r="KQO1" s="292"/>
      <c r="KQP1" s="292"/>
      <c r="KQQ1" s="292"/>
      <c r="KQR1" s="292"/>
      <c r="KQS1" s="292"/>
      <c r="KQT1" s="292"/>
      <c r="KQU1" s="292"/>
      <c r="KQV1" s="292"/>
      <c r="KQW1" s="292"/>
      <c r="KQX1" s="292"/>
      <c r="KQY1" s="292"/>
      <c r="KQZ1" s="292"/>
      <c r="KRA1" s="292"/>
      <c r="KRB1" s="292"/>
      <c r="KRC1" s="292"/>
      <c r="KRD1" s="292"/>
      <c r="KRE1" s="292"/>
      <c r="KRF1" s="292"/>
      <c r="KRG1" s="292"/>
      <c r="KRH1" s="292"/>
      <c r="KRI1" s="292"/>
      <c r="KRJ1" s="292"/>
      <c r="KRK1" s="292"/>
      <c r="KRL1" s="292"/>
      <c r="KRM1" s="292"/>
      <c r="KRN1" s="292"/>
      <c r="KRO1" s="292"/>
      <c r="KRP1" s="292"/>
      <c r="KRQ1" s="292"/>
      <c r="KRR1" s="292"/>
      <c r="KRS1" s="292"/>
      <c r="KRT1" s="292"/>
      <c r="KRU1" s="292"/>
      <c r="KRV1" s="292"/>
      <c r="KRW1" s="292"/>
      <c r="KRX1" s="292"/>
      <c r="KRY1" s="292"/>
      <c r="KRZ1" s="292"/>
      <c r="KSA1" s="292"/>
      <c r="KSB1" s="292"/>
      <c r="KSC1" s="292"/>
      <c r="KSD1" s="292"/>
      <c r="KSE1" s="292"/>
      <c r="KSF1" s="292"/>
      <c r="KSG1" s="292"/>
      <c r="KSH1" s="292"/>
      <c r="KSI1" s="292"/>
      <c r="KSJ1" s="292"/>
      <c r="KSK1" s="292"/>
      <c r="KSL1" s="292"/>
      <c r="KSM1" s="292"/>
      <c r="KSN1" s="292"/>
      <c r="KSO1" s="292"/>
      <c r="KSP1" s="292"/>
      <c r="KSQ1" s="292"/>
      <c r="KSR1" s="292"/>
      <c r="KSS1" s="292"/>
      <c r="KST1" s="292"/>
      <c r="KSU1" s="292"/>
      <c r="KSV1" s="292"/>
      <c r="KSW1" s="292"/>
      <c r="KSX1" s="292"/>
      <c r="KSY1" s="292"/>
      <c r="KSZ1" s="292"/>
      <c r="KTA1" s="292"/>
      <c r="KTB1" s="292"/>
      <c r="KTC1" s="292"/>
      <c r="KTD1" s="292"/>
      <c r="KTE1" s="292"/>
      <c r="KTF1" s="292"/>
      <c r="KTG1" s="292"/>
      <c r="KTH1" s="292"/>
      <c r="KTI1" s="292"/>
      <c r="KTJ1" s="292"/>
      <c r="KTK1" s="292"/>
      <c r="KTL1" s="292"/>
      <c r="KTM1" s="292"/>
      <c r="KTN1" s="292"/>
      <c r="KTO1" s="292"/>
      <c r="KTP1" s="292"/>
      <c r="KTQ1" s="292"/>
      <c r="KTR1" s="292"/>
      <c r="KTS1" s="292"/>
      <c r="KTT1" s="292"/>
      <c r="KTU1" s="292"/>
      <c r="KTV1" s="292"/>
      <c r="KTW1" s="292"/>
      <c r="KTX1" s="292"/>
      <c r="KTY1" s="292"/>
      <c r="KTZ1" s="292"/>
      <c r="KUA1" s="292"/>
      <c r="KUB1" s="292"/>
      <c r="KUC1" s="292"/>
      <c r="KUD1" s="292"/>
      <c r="KUE1" s="292"/>
      <c r="KUF1" s="292"/>
      <c r="KUG1" s="292"/>
      <c r="KUH1" s="292"/>
      <c r="KUI1" s="292"/>
      <c r="KUJ1" s="292"/>
      <c r="KUK1" s="292"/>
      <c r="KUL1" s="292"/>
      <c r="KUM1" s="292"/>
      <c r="KUN1" s="292"/>
      <c r="KUO1" s="292"/>
      <c r="KUP1" s="292"/>
      <c r="KUQ1" s="292"/>
      <c r="KUR1" s="292"/>
      <c r="KUS1" s="292"/>
      <c r="KUT1" s="292"/>
      <c r="KUU1" s="292"/>
      <c r="KUV1" s="292"/>
      <c r="KUW1" s="292"/>
      <c r="KUX1" s="292"/>
      <c r="KUY1" s="292"/>
      <c r="KUZ1" s="292"/>
      <c r="KVA1" s="292"/>
      <c r="KVB1" s="292"/>
      <c r="KVC1" s="292"/>
      <c r="KVD1" s="292"/>
      <c r="KVE1" s="292"/>
      <c r="KVF1" s="292"/>
      <c r="KVG1" s="292"/>
      <c r="KVH1" s="292"/>
      <c r="KVI1" s="292"/>
      <c r="KVJ1" s="292"/>
      <c r="KVK1" s="292"/>
      <c r="KVL1" s="292"/>
      <c r="KVM1" s="292"/>
      <c r="KVN1" s="292"/>
      <c r="KVO1" s="292"/>
      <c r="KVP1" s="292"/>
      <c r="KVQ1" s="292"/>
      <c r="KVR1" s="292"/>
      <c r="KVS1" s="292"/>
      <c r="KVT1" s="292"/>
      <c r="KVU1" s="292"/>
      <c r="KVV1" s="292"/>
      <c r="KVW1" s="292"/>
      <c r="KVX1" s="292"/>
      <c r="KVY1" s="292"/>
      <c r="KVZ1" s="292"/>
      <c r="KWA1" s="292"/>
      <c r="KWB1" s="292"/>
      <c r="KWC1" s="292"/>
      <c r="KWD1" s="292"/>
      <c r="KWE1" s="292"/>
      <c r="KWF1" s="292"/>
      <c r="KWG1" s="292"/>
      <c r="KWH1" s="292"/>
      <c r="KWI1" s="292"/>
      <c r="KWJ1" s="292"/>
      <c r="KWK1" s="292"/>
      <c r="KWL1" s="292"/>
      <c r="KWM1" s="292"/>
      <c r="KWN1" s="292"/>
      <c r="KWO1" s="292"/>
      <c r="KWP1" s="292"/>
      <c r="KWQ1" s="292"/>
      <c r="KWR1" s="292"/>
      <c r="KWS1" s="292"/>
      <c r="KWT1" s="292"/>
      <c r="KWU1" s="292"/>
      <c r="KWV1" s="292"/>
      <c r="KWW1" s="292"/>
      <c r="KWX1" s="292"/>
      <c r="KWY1" s="292"/>
      <c r="KWZ1" s="292"/>
      <c r="KXA1" s="292"/>
      <c r="KXB1" s="292"/>
      <c r="KXC1" s="292"/>
      <c r="KXD1" s="292"/>
      <c r="KXE1" s="292"/>
      <c r="KXF1" s="292"/>
      <c r="KXG1" s="292"/>
      <c r="KXH1" s="292"/>
      <c r="KXI1" s="292"/>
      <c r="KXJ1" s="292"/>
      <c r="KXK1" s="292"/>
      <c r="KXL1" s="292"/>
      <c r="KXM1" s="292"/>
      <c r="KXN1" s="292"/>
      <c r="KXO1" s="292"/>
      <c r="KXP1" s="292"/>
      <c r="KXQ1" s="292"/>
      <c r="KXR1" s="292"/>
      <c r="KXS1" s="292"/>
      <c r="KXT1" s="292"/>
      <c r="KXU1" s="292"/>
      <c r="KXV1" s="292"/>
      <c r="KXW1" s="292"/>
      <c r="KXX1" s="292"/>
      <c r="KXY1" s="292"/>
      <c r="KXZ1" s="292"/>
      <c r="KYA1" s="292"/>
      <c r="KYB1" s="292"/>
      <c r="KYC1" s="292"/>
      <c r="KYD1" s="292"/>
      <c r="KYE1" s="292"/>
      <c r="KYF1" s="292"/>
      <c r="KYG1" s="292"/>
      <c r="KYH1" s="292"/>
      <c r="KYI1" s="292"/>
      <c r="KYJ1" s="292"/>
      <c r="KYK1" s="292"/>
      <c r="KYL1" s="292"/>
      <c r="KYM1" s="292"/>
      <c r="KYN1" s="292"/>
      <c r="KYO1" s="292"/>
      <c r="KYP1" s="292"/>
      <c r="KYQ1" s="292"/>
      <c r="KYR1" s="292"/>
      <c r="KYS1" s="292"/>
      <c r="KYT1" s="292"/>
      <c r="KYU1" s="292"/>
      <c r="KYV1" s="292"/>
      <c r="KYW1" s="292"/>
      <c r="KYX1" s="292"/>
      <c r="KYY1" s="292"/>
      <c r="KYZ1" s="292"/>
      <c r="KZA1" s="292"/>
      <c r="KZB1" s="292"/>
      <c r="KZC1" s="292"/>
      <c r="KZD1" s="292"/>
      <c r="KZE1" s="292"/>
      <c r="KZF1" s="292"/>
      <c r="KZG1" s="292"/>
      <c r="KZH1" s="292"/>
      <c r="KZI1" s="292"/>
      <c r="KZJ1" s="292"/>
      <c r="KZK1" s="292"/>
      <c r="KZL1" s="292"/>
      <c r="KZM1" s="292"/>
      <c r="KZN1" s="292"/>
      <c r="KZO1" s="292"/>
      <c r="KZP1" s="292"/>
      <c r="KZQ1" s="292"/>
      <c r="KZR1" s="292"/>
      <c r="KZS1" s="292"/>
      <c r="KZT1" s="292"/>
      <c r="KZU1" s="292"/>
      <c r="KZV1" s="292"/>
      <c r="KZW1" s="292"/>
      <c r="KZX1" s="292"/>
      <c r="KZY1" s="292"/>
      <c r="KZZ1" s="292"/>
      <c r="LAA1" s="292"/>
      <c r="LAB1" s="292"/>
      <c r="LAC1" s="292"/>
      <c r="LAD1" s="292"/>
      <c r="LAE1" s="292"/>
      <c r="LAF1" s="292"/>
      <c r="LAG1" s="292"/>
      <c r="LAH1" s="292"/>
      <c r="LAI1" s="292"/>
      <c r="LAJ1" s="292"/>
      <c r="LAK1" s="292"/>
      <c r="LAL1" s="292"/>
      <c r="LAM1" s="292"/>
      <c r="LAN1" s="292"/>
      <c r="LAO1" s="292"/>
      <c r="LAP1" s="292"/>
      <c r="LAQ1" s="292"/>
      <c r="LAR1" s="292"/>
      <c r="LAS1" s="292"/>
      <c r="LAT1" s="292"/>
      <c r="LAU1" s="292"/>
      <c r="LAV1" s="292"/>
      <c r="LAW1" s="292"/>
      <c r="LAX1" s="292"/>
      <c r="LAY1" s="292"/>
      <c r="LAZ1" s="292"/>
      <c r="LBA1" s="292"/>
      <c r="LBB1" s="292"/>
      <c r="LBC1" s="292"/>
      <c r="LBD1" s="292"/>
      <c r="LBE1" s="292"/>
      <c r="LBF1" s="292"/>
      <c r="LBG1" s="292"/>
      <c r="LBH1" s="292"/>
      <c r="LBI1" s="292"/>
      <c r="LBJ1" s="292"/>
      <c r="LBK1" s="292"/>
      <c r="LBL1" s="292"/>
      <c r="LBM1" s="292"/>
      <c r="LBN1" s="292"/>
      <c r="LBO1" s="292"/>
      <c r="LBP1" s="292"/>
      <c r="LBQ1" s="292"/>
      <c r="LBR1" s="292"/>
      <c r="LBS1" s="292"/>
      <c r="LBT1" s="292"/>
      <c r="LBU1" s="292"/>
      <c r="LBV1" s="292"/>
      <c r="LBW1" s="292"/>
      <c r="LBX1" s="292"/>
      <c r="LBY1" s="292"/>
      <c r="LBZ1" s="292"/>
      <c r="LCA1" s="292"/>
      <c r="LCB1" s="292"/>
      <c r="LCC1" s="292"/>
      <c r="LCD1" s="292"/>
      <c r="LCE1" s="292"/>
      <c r="LCF1" s="292"/>
      <c r="LCG1" s="292"/>
      <c r="LCH1" s="292"/>
      <c r="LCI1" s="292"/>
      <c r="LCJ1" s="292"/>
      <c r="LCK1" s="292"/>
      <c r="LCL1" s="292"/>
      <c r="LCM1" s="292"/>
      <c r="LCN1" s="292"/>
      <c r="LCO1" s="292"/>
      <c r="LCP1" s="292"/>
      <c r="LCQ1" s="292"/>
      <c r="LCR1" s="292"/>
      <c r="LCS1" s="292"/>
      <c r="LCT1" s="292"/>
      <c r="LCU1" s="292"/>
      <c r="LCV1" s="292"/>
      <c r="LCW1" s="292"/>
      <c r="LCX1" s="292"/>
      <c r="LCY1" s="292"/>
      <c r="LCZ1" s="292"/>
      <c r="LDA1" s="292"/>
      <c r="LDB1" s="292"/>
      <c r="LDC1" s="292"/>
      <c r="LDD1" s="292"/>
      <c r="LDE1" s="292"/>
      <c r="LDF1" s="292"/>
      <c r="LDG1" s="292"/>
      <c r="LDH1" s="292"/>
      <c r="LDI1" s="292"/>
      <c r="LDJ1" s="292"/>
      <c r="LDK1" s="292"/>
      <c r="LDL1" s="292"/>
      <c r="LDM1" s="292"/>
      <c r="LDN1" s="292"/>
      <c r="LDO1" s="292"/>
      <c r="LDP1" s="292"/>
      <c r="LDQ1" s="292"/>
      <c r="LDR1" s="292"/>
      <c r="LDS1" s="292"/>
      <c r="LDT1" s="292"/>
      <c r="LDU1" s="292"/>
      <c r="LDV1" s="292"/>
      <c r="LDW1" s="292"/>
      <c r="LDX1" s="292"/>
      <c r="LDY1" s="292"/>
      <c r="LDZ1" s="292"/>
      <c r="LEA1" s="292"/>
      <c r="LEB1" s="292"/>
      <c r="LEC1" s="292"/>
      <c r="LED1" s="292"/>
      <c r="LEE1" s="292"/>
      <c r="LEF1" s="292"/>
      <c r="LEG1" s="292"/>
      <c r="LEH1" s="292"/>
      <c r="LEI1" s="292"/>
      <c r="LEJ1" s="292"/>
      <c r="LEK1" s="292"/>
      <c r="LEL1" s="292"/>
      <c r="LEM1" s="292"/>
      <c r="LEN1" s="292"/>
      <c r="LEO1" s="292"/>
      <c r="LEP1" s="292"/>
      <c r="LEQ1" s="292"/>
      <c r="LER1" s="292"/>
      <c r="LES1" s="292"/>
      <c r="LET1" s="292"/>
      <c r="LEU1" s="292"/>
      <c r="LEV1" s="292"/>
      <c r="LEW1" s="292"/>
      <c r="LEX1" s="292"/>
      <c r="LEY1" s="292"/>
      <c r="LEZ1" s="292"/>
      <c r="LFA1" s="292"/>
      <c r="LFB1" s="292"/>
      <c r="LFC1" s="292"/>
      <c r="LFD1" s="292"/>
      <c r="LFE1" s="292"/>
      <c r="LFF1" s="292"/>
      <c r="LFG1" s="292"/>
      <c r="LFH1" s="292"/>
      <c r="LFI1" s="292"/>
      <c r="LFJ1" s="292"/>
      <c r="LFK1" s="292"/>
      <c r="LFL1" s="292"/>
      <c r="LFM1" s="292"/>
      <c r="LFN1" s="292"/>
      <c r="LFO1" s="292"/>
      <c r="LFP1" s="292"/>
      <c r="LFQ1" s="292"/>
      <c r="LFR1" s="292"/>
      <c r="LFS1" s="292"/>
      <c r="LFT1" s="292"/>
      <c r="LFU1" s="292"/>
      <c r="LFV1" s="292"/>
      <c r="LFW1" s="292"/>
      <c r="LFX1" s="292"/>
      <c r="LFY1" s="292"/>
      <c r="LFZ1" s="292"/>
      <c r="LGA1" s="292"/>
      <c r="LGB1" s="292"/>
      <c r="LGC1" s="292"/>
      <c r="LGD1" s="292"/>
      <c r="LGE1" s="292"/>
      <c r="LGF1" s="292"/>
      <c r="LGG1" s="292"/>
      <c r="LGH1" s="292"/>
      <c r="LGI1" s="292"/>
      <c r="LGJ1" s="292"/>
      <c r="LGK1" s="292"/>
      <c r="LGL1" s="292"/>
      <c r="LGM1" s="292"/>
      <c r="LGN1" s="292"/>
      <c r="LGO1" s="292"/>
      <c r="LGP1" s="292"/>
      <c r="LGQ1" s="292"/>
      <c r="LGR1" s="292"/>
      <c r="LGS1" s="292"/>
      <c r="LGT1" s="292"/>
      <c r="LGU1" s="292"/>
      <c r="LGV1" s="292"/>
      <c r="LGW1" s="292"/>
      <c r="LGX1" s="292"/>
      <c r="LGY1" s="292"/>
      <c r="LGZ1" s="292"/>
      <c r="LHA1" s="292"/>
      <c r="LHB1" s="292"/>
      <c r="LHC1" s="292"/>
      <c r="LHD1" s="292"/>
      <c r="LHE1" s="292"/>
      <c r="LHF1" s="292"/>
      <c r="LHG1" s="292"/>
      <c r="LHH1" s="292"/>
      <c r="LHI1" s="292"/>
      <c r="LHJ1" s="292"/>
      <c r="LHK1" s="292"/>
      <c r="LHL1" s="292"/>
      <c r="LHM1" s="292"/>
      <c r="LHN1" s="292"/>
      <c r="LHO1" s="292"/>
      <c r="LHP1" s="292"/>
      <c r="LHQ1" s="292"/>
      <c r="LHR1" s="292"/>
      <c r="LHS1" s="292"/>
      <c r="LHT1" s="292"/>
      <c r="LHU1" s="292"/>
      <c r="LHV1" s="292"/>
      <c r="LHW1" s="292"/>
      <c r="LHX1" s="292"/>
      <c r="LHY1" s="292"/>
      <c r="LHZ1" s="292"/>
      <c r="LIA1" s="292"/>
      <c r="LIB1" s="292"/>
      <c r="LIC1" s="292"/>
      <c r="LID1" s="292"/>
      <c r="LIE1" s="292"/>
      <c r="LIF1" s="292"/>
      <c r="LIG1" s="292"/>
      <c r="LIH1" s="292"/>
      <c r="LII1" s="292"/>
      <c r="LIJ1" s="292"/>
      <c r="LIK1" s="292"/>
      <c r="LIL1" s="292"/>
      <c r="LIM1" s="292"/>
      <c r="LIN1" s="292"/>
      <c r="LIO1" s="292"/>
      <c r="LIP1" s="292"/>
      <c r="LIQ1" s="292"/>
      <c r="LIR1" s="292"/>
      <c r="LIS1" s="292"/>
      <c r="LIT1" s="292"/>
      <c r="LIU1" s="292"/>
      <c r="LIV1" s="292"/>
      <c r="LIW1" s="292"/>
      <c r="LIX1" s="292"/>
      <c r="LIY1" s="292"/>
      <c r="LIZ1" s="292"/>
      <c r="LJA1" s="292"/>
      <c r="LJB1" s="292"/>
      <c r="LJC1" s="292"/>
      <c r="LJD1" s="292"/>
      <c r="LJE1" s="292"/>
      <c r="LJF1" s="292"/>
      <c r="LJG1" s="292"/>
      <c r="LJH1" s="292"/>
      <c r="LJI1" s="292"/>
      <c r="LJJ1" s="292"/>
      <c r="LJK1" s="292"/>
      <c r="LJL1" s="292"/>
      <c r="LJM1" s="292"/>
      <c r="LJN1" s="292"/>
      <c r="LJO1" s="292"/>
      <c r="LJP1" s="292"/>
      <c r="LJQ1" s="292"/>
      <c r="LJR1" s="292"/>
      <c r="LJS1" s="292"/>
      <c r="LJT1" s="292"/>
      <c r="LJU1" s="292"/>
      <c r="LJV1" s="292"/>
      <c r="LJW1" s="292"/>
      <c r="LJX1" s="292"/>
      <c r="LJY1" s="292"/>
      <c r="LJZ1" s="292"/>
      <c r="LKA1" s="292"/>
      <c r="LKB1" s="292"/>
      <c r="LKC1" s="292"/>
      <c r="LKD1" s="292"/>
      <c r="LKE1" s="292"/>
      <c r="LKF1" s="292"/>
      <c r="LKG1" s="292"/>
      <c r="LKH1" s="292"/>
      <c r="LKI1" s="292"/>
      <c r="LKJ1" s="292"/>
      <c r="LKK1" s="292"/>
      <c r="LKL1" s="292"/>
      <c r="LKM1" s="292"/>
      <c r="LKN1" s="292"/>
      <c r="LKO1" s="292"/>
      <c r="LKP1" s="292"/>
      <c r="LKQ1" s="292"/>
      <c r="LKR1" s="292"/>
      <c r="LKS1" s="292"/>
      <c r="LKT1" s="292"/>
      <c r="LKU1" s="292"/>
      <c r="LKV1" s="292"/>
      <c r="LKW1" s="292"/>
      <c r="LKX1" s="292"/>
      <c r="LKY1" s="292"/>
      <c r="LKZ1" s="292"/>
      <c r="LLA1" s="292"/>
      <c r="LLB1" s="292"/>
      <c r="LLC1" s="292"/>
      <c r="LLD1" s="292"/>
      <c r="LLE1" s="292"/>
      <c r="LLF1" s="292"/>
      <c r="LLG1" s="292"/>
      <c r="LLH1" s="292"/>
      <c r="LLI1" s="292"/>
      <c r="LLJ1" s="292"/>
      <c r="LLK1" s="292"/>
      <c r="LLL1" s="292"/>
      <c r="LLM1" s="292"/>
      <c r="LLN1" s="292"/>
      <c r="LLO1" s="292"/>
      <c r="LLP1" s="292"/>
      <c r="LLQ1" s="292"/>
      <c r="LLR1" s="292"/>
      <c r="LLS1" s="292"/>
      <c r="LLT1" s="292"/>
      <c r="LLU1" s="292"/>
      <c r="LLV1" s="292"/>
      <c r="LLW1" s="292"/>
      <c r="LLX1" s="292"/>
      <c r="LLY1" s="292"/>
      <c r="LLZ1" s="292"/>
      <c r="LMA1" s="292"/>
      <c r="LMB1" s="292"/>
      <c r="LMC1" s="292"/>
      <c r="LMD1" s="292"/>
      <c r="LME1" s="292"/>
      <c r="LMF1" s="292"/>
      <c r="LMG1" s="292"/>
      <c r="LMH1" s="292"/>
      <c r="LMI1" s="292"/>
      <c r="LMJ1" s="292"/>
      <c r="LMK1" s="292"/>
      <c r="LML1" s="292"/>
      <c r="LMM1" s="292"/>
      <c r="LMN1" s="292"/>
      <c r="LMO1" s="292"/>
      <c r="LMP1" s="292"/>
      <c r="LMQ1" s="292"/>
      <c r="LMR1" s="292"/>
      <c r="LMS1" s="292"/>
      <c r="LMT1" s="292"/>
      <c r="LMU1" s="292"/>
      <c r="LMV1" s="292"/>
      <c r="LMW1" s="292"/>
      <c r="LMX1" s="292"/>
      <c r="LMY1" s="292"/>
      <c r="LMZ1" s="292"/>
      <c r="LNA1" s="292"/>
      <c r="LNB1" s="292"/>
      <c r="LNC1" s="292"/>
      <c r="LND1" s="292"/>
      <c r="LNE1" s="292"/>
      <c r="LNF1" s="292"/>
      <c r="LNG1" s="292"/>
      <c r="LNH1" s="292"/>
      <c r="LNI1" s="292"/>
      <c r="LNJ1" s="292"/>
      <c r="LNK1" s="292"/>
      <c r="LNL1" s="292"/>
      <c r="LNM1" s="292"/>
      <c r="LNN1" s="292"/>
      <c r="LNO1" s="292"/>
      <c r="LNP1" s="292"/>
      <c r="LNQ1" s="292"/>
      <c r="LNR1" s="292"/>
      <c r="LNS1" s="292"/>
      <c r="LNT1" s="292"/>
      <c r="LNU1" s="292"/>
      <c r="LNV1" s="292"/>
      <c r="LNW1" s="292"/>
      <c r="LNX1" s="292"/>
      <c r="LNY1" s="292"/>
      <c r="LNZ1" s="292"/>
      <c r="LOA1" s="292"/>
      <c r="LOB1" s="292"/>
      <c r="LOC1" s="292"/>
      <c r="LOD1" s="292"/>
      <c r="LOE1" s="292"/>
      <c r="LOF1" s="292"/>
      <c r="LOG1" s="292"/>
      <c r="LOH1" s="292"/>
      <c r="LOI1" s="292"/>
      <c r="LOJ1" s="292"/>
      <c r="LOK1" s="292"/>
      <c r="LOL1" s="292"/>
      <c r="LOM1" s="292"/>
      <c r="LON1" s="292"/>
      <c r="LOO1" s="292"/>
      <c r="LOP1" s="292"/>
      <c r="LOQ1" s="292"/>
      <c r="LOR1" s="292"/>
      <c r="LOS1" s="292"/>
      <c r="LOT1" s="292"/>
      <c r="LOU1" s="292"/>
      <c r="LOV1" s="292"/>
      <c r="LOW1" s="292"/>
      <c r="LOX1" s="292"/>
      <c r="LOY1" s="292"/>
      <c r="LOZ1" s="292"/>
      <c r="LPA1" s="292"/>
      <c r="LPB1" s="292"/>
      <c r="LPC1" s="292"/>
      <c r="LPD1" s="292"/>
      <c r="LPE1" s="292"/>
      <c r="LPF1" s="292"/>
      <c r="LPG1" s="292"/>
      <c r="LPH1" s="292"/>
      <c r="LPI1" s="292"/>
      <c r="LPJ1" s="292"/>
      <c r="LPK1" s="292"/>
      <c r="LPL1" s="292"/>
      <c r="LPM1" s="292"/>
      <c r="LPN1" s="292"/>
      <c r="LPO1" s="292"/>
      <c r="LPP1" s="292"/>
      <c r="LPQ1" s="292"/>
      <c r="LPR1" s="292"/>
      <c r="LPS1" s="292"/>
      <c r="LPT1" s="292"/>
      <c r="LPU1" s="292"/>
      <c r="LPV1" s="292"/>
      <c r="LPW1" s="292"/>
      <c r="LPX1" s="292"/>
      <c r="LPY1" s="292"/>
      <c r="LPZ1" s="292"/>
      <c r="LQA1" s="292"/>
      <c r="LQB1" s="292"/>
      <c r="LQC1" s="292"/>
      <c r="LQD1" s="292"/>
      <c r="LQE1" s="292"/>
      <c r="LQF1" s="292"/>
      <c r="LQG1" s="292"/>
      <c r="LQH1" s="292"/>
      <c r="LQI1" s="292"/>
      <c r="LQJ1" s="292"/>
      <c r="LQK1" s="292"/>
      <c r="LQL1" s="292"/>
      <c r="LQM1" s="292"/>
      <c r="LQN1" s="292"/>
      <c r="LQO1" s="292"/>
      <c r="LQP1" s="292"/>
      <c r="LQQ1" s="292"/>
      <c r="LQR1" s="292"/>
      <c r="LQS1" s="292"/>
      <c r="LQT1" s="292"/>
      <c r="LQU1" s="292"/>
      <c r="LQV1" s="292"/>
      <c r="LQW1" s="292"/>
      <c r="LQX1" s="292"/>
      <c r="LQY1" s="292"/>
      <c r="LQZ1" s="292"/>
      <c r="LRA1" s="292"/>
      <c r="LRB1" s="292"/>
      <c r="LRC1" s="292"/>
      <c r="LRD1" s="292"/>
      <c r="LRE1" s="292"/>
      <c r="LRF1" s="292"/>
      <c r="LRG1" s="292"/>
      <c r="LRH1" s="292"/>
      <c r="LRI1" s="292"/>
      <c r="LRJ1" s="292"/>
      <c r="LRK1" s="292"/>
      <c r="LRL1" s="292"/>
      <c r="LRM1" s="292"/>
      <c r="LRN1" s="292"/>
      <c r="LRO1" s="292"/>
      <c r="LRP1" s="292"/>
      <c r="LRQ1" s="292"/>
      <c r="LRR1" s="292"/>
      <c r="LRS1" s="292"/>
      <c r="LRT1" s="292"/>
      <c r="LRU1" s="292"/>
      <c r="LRV1" s="292"/>
      <c r="LRW1" s="292"/>
      <c r="LRX1" s="292"/>
      <c r="LRY1" s="292"/>
      <c r="LRZ1" s="292"/>
      <c r="LSA1" s="292"/>
      <c r="LSB1" s="292"/>
      <c r="LSC1" s="292"/>
      <c r="LSD1" s="292"/>
      <c r="LSE1" s="292"/>
      <c r="LSF1" s="292"/>
      <c r="LSG1" s="292"/>
      <c r="LSH1" s="292"/>
      <c r="LSI1" s="292"/>
      <c r="LSJ1" s="292"/>
      <c r="LSK1" s="292"/>
      <c r="LSL1" s="292"/>
      <c r="LSM1" s="292"/>
      <c r="LSN1" s="292"/>
      <c r="LSO1" s="292"/>
      <c r="LSP1" s="292"/>
      <c r="LSQ1" s="292"/>
      <c r="LSR1" s="292"/>
      <c r="LSS1" s="292"/>
      <c r="LST1" s="292"/>
      <c r="LSU1" s="292"/>
      <c r="LSV1" s="292"/>
      <c r="LSW1" s="292"/>
      <c r="LSX1" s="292"/>
      <c r="LSY1" s="292"/>
      <c r="LSZ1" s="292"/>
      <c r="LTA1" s="292"/>
      <c r="LTB1" s="292"/>
      <c r="LTC1" s="292"/>
      <c r="LTD1" s="292"/>
      <c r="LTE1" s="292"/>
      <c r="LTF1" s="292"/>
      <c r="LTG1" s="292"/>
      <c r="LTH1" s="292"/>
      <c r="LTI1" s="292"/>
      <c r="LTJ1" s="292"/>
      <c r="LTK1" s="292"/>
      <c r="LTL1" s="292"/>
      <c r="LTM1" s="292"/>
      <c r="LTN1" s="292"/>
      <c r="LTO1" s="292"/>
      <c r="LTP1" s="292"/>
      <c r="LTQ1" s="292"/>
      <c r="LTR1" s="292"/>
      <c r="LTS1" s="292"/>
      <c r="LTT1" s="292"/>
      <c r="LTU1" s="292"/>
      <c r="LTV1" s="292"/>
      <c r="LTW1" s="292"/>
      <c r="LTX1" s="292"/>
      <c r="LTY1" s="292"/>
      <c r="LTZ1" s="292"/>
      <c r="LUA1" s="292"/>
      <c r="LUB1" s="292"/>
      <c r="LUC1" s="292"/>
      <c r="LUD1" s="292"/>
      <c r="LUE1" s="292"/>
      <c r="LUF1" s="292"/>
      <c r="LUG1" s="292"/>
      <c r="LUH1" s="292"/>
      <c r="LUI1" s="292"/>
      <c r="LUJ1" s="292"/>
      <c r="LUK1" s="292"/>
      <c r="LUL1" s="292"/>
      <c r="LUM1" s="292"/>
      <c r="LUN1" s="292"/>
      <c r="LUO1" s="292"/>
      <c r="LUP1" s="292"/>
      <c r="LUQ1" s="292"/>
      <c r="LUR1" s="292"/>
      <c r="LUS1" s="292"/>
      <c r="LUT1" s="292"/>
      <c r="LUU1" s="292"/>
      <c r="LUV1" s="292"/>
      <c r="LUW1" s="292"/>
      <c r="LUX1" s="292"/>
      <c r="LUY1" s="292"/>
      <c r="LUZ1" s="292"/>
      <c r="LVA1" s="292"/>
      <c r="LVB1" s="292"/>
      <c r="LVC1" s="292"/>
      <c r="LVD1" s="292"/>
      <c r="LVE1" s="292"/>
      <c r="LVF1" s="292"/>
      <c r="LVG1" s="292"/>
      <c r="LVH1" s="292"/>
      <c r="LVI1" s="292"/>
      <c r="LVJ1" s="292"/>
      <c r="LVK1" s="292"/>
      <c r="LVL1" s="292"/>
      <c r="LVM1" s="292"/>
      <c r="LVN1" s="292"/>
      <c r="LVO1" s="292"/>
      <c r="LVP1" s="292"/>
      <c r="LVQ1" s="292"/>
      <c r="LVR1" s="292"/>
      <c r="LVS1" s="292"/>
      <c r="LVT1" s="292"/>
      <c r="LVU1" s="292"/>
      <c r="LVV1" s="292"/>
      <c r="LVW1" s="292"/>
      <c r="LVX1" s="292"/>
      <c r="LVY1" s="292"/>
      <c r="LVZ1" s="292"/>
      <c r="LWA1" s="292"/>
      <c r="LWB1" s="292"/>
      <c r="LWC1" s="292"/>
      <c r="LWD1" s="292"/>
      <c r="LWE1" s="292"/>
      <c r="LWF1" s="292"/>
      <c r="LWG1" s="292"/>
      <c r="LWH1" s="292"/>
      <c r="LWI1" s="292"/>
      <c r="LWJ1" s="292"/>
      <c r="LWK1" s="292"/>
      <c r="LWL1" s="292"/>
      <c r="LWM1" s="292"/>
      <c r="LWN1" s="292"/>
      <c r="LWO1" s="292"/>
      <c r="LWP1" s="292"/>
      <c r="LWQ1" s="292"/>
      <c r="LWR1" s="292"/>
      <c r="LWS1" s="292"/>
      <c r="LWT1" s="292"/>
      <c r="LWU1" s="292"/>
      <c r="LWV1" s="292"/>
      <c r="LWW1" s="292"/>
      <c r="LWX1" s="292"/>
      <c r="LWY1" s="292"/>
      <c r="LWZ1" s="292"/>
      <c r="LXA1" s="292"/>
      <c r="LXB1" s="292"/>
      <c r="LXC1" s="292"/>
      <c r="LXD1" s="292"/>
      <c r="LXE1" s="292"/>
      <c r="LXF1" s="292"/>
      <c r="LXG1" s="292"/>
      <c r="LXH1" s="292"/>
      <c r="LXI1" s="292"/>
      <c r="LXJ1" s="292"/>
      <c r="LXK1" s="292"/>
      <c r="LXL1" s="292"/>
      <c r="LXM1" s="292"/>
      <c r="LXN1" s="292"/>
      <c r="LXO1" s="292"/>
      <c r="LXP1" s="292"/>
      <c r="LXQ1" s="292"/>
      <c r="LXR1" s="292"/>
      <c r="LXS1" s="292"/>
      <c r="LXT1" s="292"/>
      <c r="LXU1" s="292"/>
      <c r="LXV1" s="292"/>
      <c r="LXW1" s="292"/>
      <c r="LXX1" s="292"/>
      <c r="LXY1" s="292"/>
      <c r="LXZ1" s="292"/>
      <c r="LYA1" s="292"/>
      <c r="LYB1" s="292"/>
      <c r="LYC1" s="292"/>
      <c r="LYD1" s="292"/>
      <c r="LYE1" s="292"/>
      <c r="LYF1" s="292"/>
      <c r="LYG1" s="292"/>
      <c r="LYH1" s="292"/>
      <c r="LYI1" s="292"/>
      <c r="LYJ1" s="292"/>
      <c r="LYK1" s="292"/>
      <c r="LYL1" s="292"/>
      <c r="LYM1" s="292"/>
      <c r="LYN1" s="292"/>
      <c r="LYO1" s="292"/>
      <c r="LYP1" s="292"/>
      <c r="LYQ1" s="292"/>
      <c r="LYR1" s="292"/>
      <c r="LYS1" s="292"/>
      <c r="LYT1" s="292"/>
      <c r="LYU1" s="292"/>
      <c r="LYV1" s="292"/>
      <c r="LYW1" s="292"/>
      <c r="LYX1" s="292"/>
      <c r="LYY1" s="292"/>
      <c r="LYZ1" s="292"/>
      <c r="LZA1" s="292"/>
      <c r="LZB1" s="292"/>
      <c r="LZC1" s="292"/>
      <c r="LZD1" s="292"/>
      <c r="LZE1" s="292"/>
      <c r="LZF1" s="292"/>
      <c r="LZG1" s="292"/>
      <c r="LZH1" s="292"/>
      <c r="LZI1" s="292"/>
      <c r="LZJ1" s="292"/>
      <c r="LZK1" s="292"/>
      <c r="LZL1" s="292"/>
      <c r="LZM1" s="292"/>
      <c r="LZN1" s="292"/>
      <c r="LZO1" s="292"/>
      <c r="LZP1" s="292"/>
      <c r="LZQ1" s="292"/>
      <c r="LZR1" s="292"/>
      <c r="LZS1" s="292"/>
      <c r="LZT1" s="292"/>
      <c r="LZU1" s="292"/>
      <c r="LZV1" s="292"/>
      <c r="LZW1" s="292"/>
      <c r="LZX1" s="292"/>
      <c r="LZY1" s="292"/>
      <c r="LZZ1" s="292"/>
      <c r="MAA1" s="292"/>
      <c r="MAB1" s="292"/>
      <c r="MAC1" s="292"/>
      <c r="MAD1" s="292"/>
      <c r="MAE1" s="292"/>
      <c r="MAF1" s="292"/>
      <c r="MAG1" s="292"/>
      <c r="MAH1" s="292"/>
      <c r="MAI1" s="292"/>
      <c r="MAJ1" s="292"/>
      <c r="MAK1" s="292"/>
      <c r="MAL1" s="292"/>
      <c r="MAM1" s="292"/>
      <c r="MAN1" s="292"/>
      <c r="MAO1" s="292"/>
      <c r="MAP1" s="292"/>
      <c r="MAQ1" s="292"/>
      <c r="MAR1" s="292"/>
      <c r="MAS1" s="292"/>
      <c r="MAT1" s="292"/>
      <c r="MAU1" s="292"/>
      <c r="MAV1" s="292"/>
      <c r="MAW1" s="292"/>
      <c r="MAX1" s="292"/>
      <c r="MAY1" s="292"/>
      <c r="MAZ1" s="292"/>
      <c r="MBA1" s="292"/>
      <c r="MBB1" s="292"/>
      <c r="MBC1" s="292"/>
      <c r="MBD1" s="292"/>
      <c r="MBE1" s="292"/>
      <c r="MBF1" s="292"/>
      <c r="MBG1" s="292"/>
      <c r="MBH1" s="292"/>
      <c r="MBI1" s="292"/>
      <c r="MBJ1" s="292"/>
      <c r="MBK1" s="292"/>
      <c r="MBL1" s="292"/>
      <c r="MBM1" s="292"/>
      <c r="MBN1" s="292"/>
      <c r="MBO1" s="292"/>
      <c r="MBP1" s="292"/>
      <c r="MBQ1" s="292"/>
      <c r="MBR1" s="292"/>
      <c r="MBS1" s="292"/>
      <c r="MBT1" s="292"/>
      <c r="MBU1" s="292"/>
      <c r="MBV1" s="292"/>
      <c r="MBW1" s="292"/>
      <c r="MBX1" s="292"/>
      <c r="MBY1" s="292"/>
      <c r="MBZ1" s="292"/>
      <c r="MCA1" s="292"/>
      <c r="MCB1" s="292"/>
      <c r="MCC1" s="292"/>
      <c r="MCD1" s="292"/>
      <c r="MCE1" s="292"/>
      <c r="MCF1" s="292"/>
      <c r="MCG1" s="292"/>
      <c r="MCH1" s="292"/>
      <c r="MCI1" s="292"/>
      <c r="MCJ1" s="292"/>
      <c r="MCK1" s="292"/>
      <c r="MCL1" s="292"/>
      <c r="MCM1" s="292"/>
      <c r="MCN1" s="292"/>
      <c r="MCO1" s="292"/>
      <c r="MCP1" s="292"/>
      <c r="MCQ1" s="292"/>
      <c r="MCR1" s="292"/>
      <c r="MCS1" s="292"/>
      <c r="MCT1" s="292"/>
      <c r="MCU1" s="292"/>
      <c r="MCV1" s="292"/>
      <c r="MCW1" s="292"/>
      <c r="MCX1" s="292"/>
      <c r="MCY1" s="292"/>
      <c r="MCZ1" s="292"/>
      <c r="MDA1" s="292"/>
      <c r="MDB1" s="292"/>
      <c r="MDC1" s="292"/>
      <c r="MDD1" s="292"/>
      <c r="MDE1" s="292"/>
      <c r="MDF1" s="292"/>
      <c r="MDG1" s="292"/>
      <c r="MDH1" s="292"/>
      <c r="MDI1" s="292"/>
      <c r="MDJ1" s="292"/>
      <c r="MDK1" s="292"/>
      <c r="MDL1" s="292"/>
      <c r="MDM1" s="292"/>
      <c r="MDN1" s="292"/>
      <c r="MDO1" s="292"/>
      <c r="MDP1" s="292"/>
      <c r="MDQ1" s="292"/>
      <c r="MDR1" s="292"/>
      <c r="MDS1" s="292"/>
      <c r="MDT1" s="292"/>
      <c r="MDU1" s="292"/>
      <c r="MDV1" s="292"/>
      <c r="MDW1" s="292"/>
      <c r="MDX1" s="292"/>
      <c r="MDY1" s="292"/>
      <c r="MDZ1" s="292"/>
      <c r="MEA1" s="292"/>
      <c r="MEB1" s="292"/>
      <c r="MEC1" s="292"/>
      <c r="MED1" s="292"/>
      <c r="MEE1" s="292"/>
      <c r="MEF1" s="292"/>
      <c r="MEG1" s="292"/>
      <c r="MEH1" s="292"/>
      <c r="MEI1" s="292"/>
      <c r="MEJ1" s="292"/>
      <c r="MEK1" s="292"/>
      <c r="MEL1" s="292"/>
      <c r="MEM1" s="292"/>
      <c r="MEN1" s="292"/>
      <c r="MEO1" s="292"/>
      <c r="MEP1" s="292"/>
      <c r="MEQ1" s="292"/>
      <c r="MER1" s="292"/>
      <c r="MES1" s="292"/>
      <c r="MET1" s="292"/>
      <c r="MEU1" s="292"/>
      <c r="MEV1" s="292"/>
      <c r="MEW1" s="292"/>
      <c r="MEX1" s="292"/>
      <c r="MEY1" s="292"/>
      <c r="MEZ1" s="292"/>
      <c r="MFA1" s="292"/>
      <c r="MFB1" s="292"/>
      <c r="MFC1" s="292"/>
      <c r="MFD1" s="292"/>
      <c r="MFE1" s="292"/>
      <c r="MFF1" s="292"/>
      <c r="MFG1" s="292"/>
      <c r="MFH1" s="292"/>
      <c r="MFI1" s="292"/>
      <c r="MFJ1" s="292"/>
      <c r="MFK1" s="292"/>
      <c r="MFL1" s="292"/>
      <c r="MFM1" s="292"/>
      <c r="MFN1" s="292"/>
      <c r="MFO1" s="292"/>
      <c r="MFP1" s="292"/>
      <c r="MFQ1" s="292"/>
      <c r="MFR1" s="292"/>
      <c r="MFS1" s="292"/>
      <c r="MFT1" s="292"/>
      <c r="MFU1" s="292"/>
      <c r="MFV1" s="292"/>
      <c r="MFW1" s="292"/>
      <c r="MFX1" s="292"/>
      <c r="MFY1" s="292"/>
      <c r="MFZ1" s="292"/>
      <c r="MGA1" s="292"/>
      <c r="MGB1" s="292"/>
      <c r="MGC1" s="292"/>
      <c r="MGD1" s="292"/>
      <c r="MGE1" s="292"/>
      <c r="MGF1" s="292"/>
      <c r="MGG1" s="292"/>
      <c r="MGH1" s="292"/>
      <c r="MGI1" s="292"/>
      <c r="MGJ1" s="292"/>
      <c r="MGK1" s="292"/>
      <c r="MGL1" s="292"/>
      <c r="MGM1" s="292"/>
      <c r="MGN1" s="292"/>
      <c r="MGO1" s="292"/>
      <c r="MGP1" s="292"/>
      <c r="MGQ1" s="292"/>
      <c r="MGR1" s="292"/>
      <c r="MGS1" s="292"/>
      <c r="MGT1" s="292"/>
      <c r="MGU1" s="292"/>
      <c r="MGV1" s="292"/>
      <c r="MGW1" s="292"/>
      <c r="MGX1" s="292"/>
      <c r="MGY1" s="292"/>
      <c r="MGZ1" s="292"/>
      <c r="MHA1" s="292"/>
      <c r="MHB1" s="292"/>
      <c r="MHC1" s="292"/>
      <c r="MHD1" s="292"/>
      <c r="MHE1" s="292"/>
      <c r="MHF1" s="292"/>
      <c r="MHG1" s="292"/>
      <c r="MHH1" s="292"/>
      <c r="MHI1" s="292"/>
      <c r="MHJ1" s="292"/>
      <c r="MHK1" s="292"/>
      <c r="MHL1" s="292"/>
      <c r="MHM1" s="292"/>
      <c r="MHN1" s="292"/>
      <c r="MHO1" s="292"/>
      <c r="MHP1" s="292"/>
      <c r="MHQ1" s="292"/>
      <c r="MHR1" s="292"/>
      <c r="MHS1" s="292"/>
      <c r="MHT1" s="292"/>
      <c r="MHU1" s="292"/>
      <c r="MHV1" s="292"/>
      <c r="MHW1" s="292"/>
      <c r="MHX1" s="292"/>
      <c r="MHY1" s="292"/>
      <c r="MHZ1" s="292"/>
      <c r="MIA1" s="292"/>
      <c r="MIB1" s="292"/>
      <c r="MIC1" s="292"/>
      <c r="MID1" s="292"/>
      <c r="MIE1" s="292"/>
      <c r="MIF1" s="292"/>
      <c r="MIG1" s="292"/>
      <c r="MIH1" s="292"/>
      <c r="MII1" s="292"/>
      <c r="MIJ1" s="292"/>
      <c r="MIK1" s="292"/>
      <c r="MIL1" s="292"/>
      <c r="MIM1" s="292"/>
      <c r="MIN1" s="292"/>
      <c r="MIO1" s="292"/>
      <c r="MIP1" s="292"/>
      <c r="MIQ1" s="292"/>
      <c r="MIR1" s="292"/>
      <c r="MIS1" s="292"/>
      <c r="MIT1" s="292"/>
      <c r="MIU1" s="292"/>
      <c r="MIV1" s="292"/>
      <c r="MIW1" s="292"/>
      <c r="MIX1" s="292"/>
      <c r="MIY1" s="292"/>
      <c r="MIZ1" s="292"/>
      <c r="MJA1" s="292"/>
      <c r="MJB1" s="292"/>
      <c r="MJC1" s="292"/>
      <c r="MJD1" s="292"/>
      <c r="MJE1" s="292"/>
      <c r="MJF1" s="292"/>
      <c r="MJG1" s="292"/>
      <c r="MJH1" s="292"/>
      <c r="MJI1" s="292"/>
      <c r="MJJ1" s="292"/>
      <c r="MJK1" s="292"/>
      <c r="MJL1" s="292"/>
      <c r="MJM1" s="292"/>
      <c r="MJN1" s="292"/>
      <c r="MJO1" s="292"/>
      <c r="MJP1" s="292"/>
      <c r="MJQ1" s="292"/>
      <c r="MJR1" s="292"/>
      <c r="MJS1" s="292"/>
      <c r="MJT1" s="292"/>
      <c r="MJU1" s="292"/>
      <c r="MJV1" s="292"/>
      <c r="MJW1" s="292"/>
      <c r="MJX1" s="292"/>
      <c r="MJY1" s="292"/>
      <c r="MJZ1" s="292"/>
      <c r="MKA1" s="292"/>
      <c r="MKB1" s="292"/>
      <c r="MKC1" s="292"/>
      <c r="MKD1" s="292"/>
      <c r="MKE1" s="292"/>
      <c r="MKF1" s="292"/>
      <c r="MKG1" s="292"/>
      <c r="MKH1" s="292"/>
      <c r="MKI1" s="292"/>
      <c r="MKJ1" s="292"/>
      <c r="MKK1" s="292"/>
      <c r="MKL1" s="292"/>
      <c r="MKM1" s="292"/>
      <c r="MKN1" s="292"/>
      <c r="MKO1" s="292"/>
      <c r="MKP1" s="292"/>
      <c r="MKQ1" s="292"/>
      <c r="MKR1" s="292"/>
      <c r="MKS1" s="292"/>
      <c r="MKT1" s="292"/>
      <c r="MKU1" s="292"/>
      <c r="MKV1" s="292"/>
      <c r="MKW1" s="292"/>
      <c r="MKX1" s="292"/>
      <c r="MKY1" s="292"/>
      <c r="MKZ1" s="292"/>
      <c r="MLA1" s="292"/>
      <c r="MLB1" s="292"/>
      <c r="MLC1" s="292"/>
      <c r="MLD1" s="292"/>
      <c r="MLE1" s="292"/>
      <c r="MLF1" s="292"/>
      <c r="MLG1" s="292"/>
      <c r="MLH1" s="292"/>
      <c r="MLI1" s="292"/>
      <c r="MLJ1" s="292"/>
      <c r="MLK1" s="292"/>
      <c r="MLL1" s="292"/>
      <c r="MLM1" s="292"/>
      <c r="MLN1" s="292"/>
      <c r="MLO1" s="292"/>
      <c r="MLP1" s="292"/>
      <c r="MLQ1" s="292"/>
      <c r="MLR1" s="292"/>
      <c r="MLS1" s="292"/>
      <c r="MLT1" s="292"/>
      <c r="MLU1" s="292"/>
      <c r="MLV1" s="292"/>
      <c r="MLW1" s="292"/>
      <c r="MLX1" s="292"/>
      <c r="MLY1" s="292"/>
      <c r="MLZ1" s="292"/>
      <c r="MMA1" s="292"/>
      <c r="MMB1" s="292"/>
      <c r="MMC1" s="292"/>
      <c r="MMD1" s="292"/>
      <c r="MME1" s="292"/>
      <c r="MMF1" s="292"/>
      <c r="MMG1" s="292"/>
      <c r="MMH1" s="292"/>
      <c r="MMI1" s="292"/>
      <c r="MMJ1" s="292"/>
      <c r="MMK1" s="292"/>
      <c r="MML1" s="292"/>
      <c r="MMM1" s="292"/>
      <c r="MMN1" s="292"/>
      <c r="MMO1" s="292"/>
      <c r="MMP1" s="292"/>
      <c r="MMQ1" s="292"/>
      <c r="MMR1" s="292"/>
      <c r="MMS1" s="292"/>
      <c r="MMT1" s="292"/>
      <c r="MMU1" s="292"/>
      <c r="MMV1" s="292"/>
      <c r="MMW1" s="292"/>
      <c r="MMX1" s="292"/>
      <c r="MMY1" s="292"/>
      <c r="MMZ1" s="292"/>
      <c r="MNA1" s="292"/>
      <c r="MNB1" s="292"/>
      <c r="MNC1" s="292"/>
      <c r="MND1" s="292"/>
      <c r="MNE1" s="292"/>
      <c r="MNF1" s="292"/>
      <c r="MNG1" s="292"/>
      <c r="MNH1" s="292"/>
      <c r="MNI1" s="292"/>
      <c r="MNJ1" s="292"/>
      <c r="MNK1" s="292"/>
      <c r="MNL1" s="292"/>
      <c r="MNM1" s="292"/>
      <c r="MNN1" s="292"/>
      <c r="MNO1" s="292"/>
      <c r="MNP1" s="292"/>
      <c r="MNQ1" s="292"/>
      <c r="MNR1" s="292"/>
      <c r="MNS1" s="292"/>
      <c r="MNT1" s="292"/>
      <c r="MNU1" s="292"/>
      <c r="MNV1" s="292"/>
      <c r="MNW1" s="292"/>
      <c r="MNX1" s="292"/>
      <c r="MNY1" s="292"/>
      <c r="MNZ1" s="292"/>
      <c r="MOA1" s="292"/>
      <c r="MOB1" s="292"/>
      <c r="MOC1" s="292"/>
      <c r="MOD1" s="292"/>
      <c r="MOE1" s="292"/>
      <c r="MOF1" s="292"/>
      <c r="MOG1" s="292"/>
      <c r="MOH1" s="292"/>
      <c r="MOI1" s="292"/>
      <c r="MOJ1" s="292"/>
      <c r="MOK1" s="292"/>
      <c r="MOL1" s="292"/>
      <c r="MOM1" s="292"/>
      <c r="MON1" s="292"/>
      <c r="MOO1" s="292"/>
      <c r="MOP1" s="292"/>
      <c r="MOQ1" s="292"/>
      <c r="MOR1" s="292"/>
      <c r="MOS1" s="292"/>
      <c r="MOT1" s="292"/>
      <c r="MOU1" s="292"/>
      <c r="MOV1" s="292"/>
      <c r="MOW1" s="292"/>
      <c r="MOX1" s="292"/>
      <c r="MOY1" s="292"/>
      <c r="MOZ1" s="292"/>
      <c r="MPA1" s="292"/>
      <c r="MPB1" s="292"/>
      <c r="MPC1" s="292"/>
      <c r="MPD1" s="292"/>
      <c r="MPE1" s="292"/>
      <c r="MPF1" s="292"/>
      <c r="MPG1" s="292"/>
      <c r="MPH1" s="292"/>
      <c r="MPI1" s="292"/>
      <c r="MPJ1" s="292"/>
      <c r="MPK1" s="292"/>
      <c r="MPL1" s="292"/>
      <c r="MPM1" s="292"/>
      <c r="MPN1" s="292"/>
      <c r="MPO1" s="292"/>
      <c r="MPP1" s="292"/>
      <c r="MPQ1" s="292"/>
      <c r="MPR1" s="292"/>
      <c r="MPS1" s="292"/>
      <c r="MPT1" s="292"/>
      <c r="MPU1" s="292"/>
      <c r="MPV1" s="292"/>
      <c r="MPW1" s="292"/>
      <c r="MPX1" s="292"/>
      <c r="MPY1" s="292"/>
      <c r="MPZ1" s="292"/>
      <c r="MQA1" s="292"/>
      <c r="MQB1" s="292"/>
      <c r="MQC1" s="292"/>
      <c r="MQD1" s="292"/>
      <c r="MQE1" s="292"/>
      <c r="MQF1" s="292"/>
      <c r="MQG1" s="292"/>
      <c r="MQH1" s="292"/>
      <c r="MQI1" s="292"/>
      <c r="MQJ1" s="292"/>
      <c r="MQK1" s="292"/>
      <c r="MQL1" s="292"/>
      <c r="MQM1" s="292"/>
      <c r="MQN1" s="292"/>
      <c r="MQO1" s="292"/>
      <c r="MQP1" s="292"/>
      <c r="MQQ1" s="292"/>
      <c r="MQR1" s="292"/>
      <c r="MQS1" s="292"/>
      <c r="MQT1" s="292"/>
      <c r="MQU1" s="292"/>
      <c r="MQV1" s="292"/>
      <c r="MQW1" s="292"/>
      <c r="MQX1" s="292"/>
      <c r="MQY1" s="292"/>
      <c r="MQZ1" s="292"/>
      <c r="MRA1" s="292"/>
      <c r="MRB1" s="292"/>
      <c r="MRC1" s="292"/>
      <c r="MRD1" s="292"/>
      <c r="MRE1" s="292"/>
      <c r="MRF1" s="292"/>
      <c r="MRG1" s="292"/>
      <c r="MRH1" s="292"/>
      <c r="MRI1" s="292"/>
      <c r="MRJ1" s="292"/>
      <c r="MRK1" s="292"/>
      <c r="MRL1" s="292"/>
      <c r="MRM1" s="292"/>
      <c r="MRN1" s="292"/>
      <c r="MRO1" s="292"/>
      <c r="MRP1" s="292"/>
      <c r="MRQ1" s="292"/>
      <c r="MRR1" s="292"/>
      <c r="MRS1" s="292"/>
      <c r="MRT1" s="292"/>
      <c r="MRU1" s="292"/>
      <c r="MRV1" s="292"/>
      <c r="MRW1" s="292"/>
      <c r="MRX1" s="292"/>
      <c r="MRY1" s="292"/>
      <c r="MRZ1" s="292"/>
      <c r="MSA1" s="292"/>
      <c r="MSB1" s="292"/>
      <c r="MSC1" s="292"/>
      <c r="MSD1" s="292"/>
      <c r="MSE1" s="292"/>
      <c r="MSF1" s="292"/>
      <c r="MSG1" s="292"/>
      <c r="MSH1" s="292"/>
      <c r="MSI1" s="292"/>
      <c r="MSJ1" s="292"/>
      <c r="MSK1" s="292"/>
      <c r="MSL1" s="292"/>
      <c r="MSM1" s="292"/>
      <c r="MSN1" s="292"/>
      <c r="MSO1" s="292"/>
      <c r="MSP1" s="292"/>
      <c r="MSQ1" s="292"/>
      <c r="MSR1" s="292"/>
      <c r="MSS1" s="292"/>
      <c r="MST1" s="292"/>
      <c r="MSU1" s="292"/>
      <c r="MSV1" s="292"/>
      <c r="MSW1" s="292"/>
      <c r="MSX1" s="292"/>
      <c r="MSY1" s="292"/>
      <c r="MSZ1" s="292"/>
      <c r="MTA1" s="292"/>
      <c r="MTB1" s="292"/>
      <c r="MTC1" s="292"/>
      <c r="MTD1" s="292"/>
      <c r="MTE1" s="292"/>
      <c r="MTF1" s="292"/>
      <c r="MTG1" s="292"/>
      <c r="MTH1" s="292"/>
      <c r="MTI1" s="292"/>
      <c r="MTJ1" s="292"/>
      <c r="MTK1" s="292"/>
      <c r="MTL1" s="292"/>
      <c r="MTM1" s="292"/>
      <c r="MTN1" s="292"/>
      <c r="MTO1" s="292"/>
      <c r="MTP1" s="292"/>
      <c r="MTQ1" s="292"/>
      <c r="MTR1" s="292"/>
      <c r="MTS1" s="292"/>
      <c r="MTT1" s="292"/>
      <c r="MTU1" s="292"/>
      <c r="MTV1" s="292"/>
      <c r="MTW1" s="292"/>
      <c r="MTX1" s="292"/>
      <c r="MTY1" s="292"/>
      <c r="MTZ1" s="292"/>
      <c r="MUA1" s="292"/>
      <c r="MUB1" s="292"/>
      <c r="MUC1" s="292"/>
      <c r="MUD1" s="292"/>
      <c r="MUE1" s="292"/>
      <c r="MUF1" s="292"/>
      <c r="MUG1" s="292"/>
      <c r="MUH1" s="292"/>
      <c r="MUI1" s="292"/>
      <c r="MUJ1" s="292"/>
      <c r="MUK1" s="292"/>
      <c r="MUL1" s="292"/>
      <c r="MUM1" s="292"/>
      <c r="MUN1" s="292"/>
      <c r="MUO1" s="292"/>
      <c r="MUP1" s="292"/>
      <c r="MUQ1" s="292"/>
      <c r="MUR1" s="292"/>
      <c r="MUS1" s="292"/>
      <c r="MUT1" s="292"/>
      <c r="MUU1" s="292"/>
      <c r="MUV1" s="292"/>
      <c r="MUW1" s="292"/>
      <c r="MUX1" s="292"/>
      <c r="MUY1" s="292"/>
      <c r="MUZ1" s="292"/>
      <c r="MVA1" s="292"/>
      <c r="MVB1" s="292"/>
      <c r="MVC1" s="292"/>
      <c r="MVD1" s="292"/>
      <c r="MVE1" s="292"/>
      <c r="MVF1" s="292"/>
      <c r="MVG1" s="292"/>
      <c r="MVH1" s="292"/>
      <c r="MVI1" s="292"/>
      <c r="MVJ1" s="292"/>
      <c r="MVK1" s="292"/>
      <c r="MVL1" s="292"/>
      <c r="MVM1" s="292"/>
      <c r="MVN1" s="292"/>
      <c r="MVO1" s="292"/>
      <c r="MVP1" s="292"/>
      <c r="MVQ1" s="292"/>
      <c r="MVR1" s="292"/>
      <c r="MVS1" s="292"/>
      <c r="MVT1" s="292"/>
      <c r="MVU1" s="292"/>
      <c r="MVV1" s="292"/>
      <c r="MVW1" s="292"/>
      <c r="MVX1" s="292"/>
      <c r="MVY1" s="292"/>
      <c r="MVZ1" s="292"/>
      <c r="MWA1" s="292"/>
      <c r="MWB1" s="292"/>
      <c r="MWC1" s="292"/>
      <c r="MWD1" s="292"/>
      <c r="MWE1" s="292"/>
      <c r="MWF1" s="292"/>
      <c r="MWG1" s="292"/>
      <c r="MWH1" s="292"/>
      <c r="MWI1" s="292"/>
      <c r="MWJ1" s="292"/>
      <c r="MWK1" s="292"/>
      <c r="MWL1" s="292"/>
      <c r="MWM1" s="292"/>
      <c r="MWN1" s="292"/>
      <c r="MWO1" s="292"/>
      <c r="MWP1" s="292"/>
      <c r="MWQ1" s="292"/>
      <c r="MWR1" s="292"/>
      <c r="MWS1" s="292"/>
      <c r="MWT1" s="292"/>
      <c r="MWU1" s="292"/>
      <c r="MWV1" s="292"/>
      <c r="MWW1" s="292"/>
      <c r="MWX1" s="292"/>
      <c r="MWY1" s="292"/>
      <c r="MWZ1" s="292"/>
      <c r="MXA1" s="292"/>
      <c r="MXB1" s="292"/>
      <c r="MXC1" s="292"/>
      <c r="MXD1" s="292"/>
      <c r="MXE1" s="292"/>
      <c r="MXF1" s="292"/>
      <c r="MXG1" s="292"/>
      <c r="MXH1" s="292"/>
      <c r="MXI1" s="292"/>
      <c r="MXJ1" s="292"/>
      <c r="MXK1" s="292"/>
      <c r="MXL1" s="292"/>
      <c r="MXM1" s="292"/>
      <c r="MXN1" s="292"/>
      <c r="MXO1" s="292"/>
      <c r="MXP1" s="292"/>
      <c r="MXQ1" s="292"/>
      <c r="MXR1" s="292"/>
      <c r="MXS1" s="292"/>
      <c r="MXT1" s="292"/>
      <c r="MXU1" s="292"/>
      <c r="MXV1" s="292"/>
      <c r="MXW1" s="292"/>
      <c r="MXX1" s="292"/>
      <c r="MXY1" s="292"/>
      <c r="MXZ1" s="292"/>
      <c r="MYA1" s="292"/>
      <c r="MYB1" s="292"/>
      <c r="MYC1" s="292"/>
      <c r="MYD1" s="292"/>
      <c r="MYE1" s="292"/>
      <c r="MYF1" s="292"/>
      <c r="MYG1" s="292"/>
      <c r="MYH1" s="292"/>
      <c r="MYI1" s="292"/>
      <c r="MYJ1" s="292"/>
      <c r="MYK1" s="292"/>
      <c r="MYL1" s="292"/>
      <c r="MYM1" s="292"/>
      <c r="MYN1" s="292"/>
      <c r="MYO1" s="292"/>
      <c r="MYP1" s="292"/>
      <c r="MYQ1" s="292"/>
      <c r="MYR1" s="292"/>
      <c r="MYS1" s="292"/>
      <c r="MYT1" s="292"/>
      <c r="MYU1" s="292"/>
      <c r="MYV1" s="292"/>
      <c r="MYW1" s="292"/>
      <c r="MYX1" s="292"/>
      <c r="MYY1" s="292"/>
      <c r="MYZ1" s="292"/>
      <c r="MZA1" s="292"/>
      <c r="MZB1" s="292"/>
      <c r="MZC1" s="292"/>
      <c r="MZD1" s="292"/>
      <c r="MZE1" s="292"/>
      <c r="MZF1" s="292"/>
      <c r="MZG1" s="292"/>
      <c r="MZH1" s="292"/>
      <c r="MZI1" s="292"/>
      <c r="MZJ1" s="292"/>
      <c r="MZK1" s="292"/>
      <c r="MZL1" s="292"/>
      <c r="MZM1" s="292"/>
      <c r="MZN1" s="292"/>
      <c r="MZO1" s="292"/>
      <c r="MZP1" s="292"/>
      <c r="MZQ1" s="292"/>
      <c r="MZR1" s="292"/>
      <c r="MZS1" s="292"/>
      <c r="MZT1" s="292"/>
      <c r="MZU1" s="292"/>
      <c r="MZV1" s="292"/>
      <c r="MZW1" s="292"/>
      <c r="MZX1" s="292"/>
      <c r="MZY1" s="292"/>
      <c r="MZZ1" s="292"/>
      <c r="NAA1" s="292"/>
      <c r="NAB1" s="292"/>
      <c r="NAC1" s="292"/>
      <c r="NAD1" s="292"/>
      <c r="NAE1" s="292"/>
      <c r="NAF1" s="292"/>
      <c r="NAG1" s="292"/>
      <c r="NAH1" s="292"/>
      <c r="NAI1" s="292"/>
      <c r="NAJ1" s="292"/>
      <c r="NAK1" s="292"/>
      <c r="NAL1" s="292"/>
      <c r="NAM1" s="292"/>
      <c r="NAN1" s="292"/>
      <c r="NAO1" s="292"/>
      <c r="NAP1" s="292"/>
      <c r="NAQ1" s="292"/>
      <c r="NAR1" s="292"/>
      <c r="NAS1" s="292"/>
      <c r="NAT1" s="292"/>
      <c r="NAU1" s="292"/>
      <c r="NAV1" s="292"/>
      <c r="NAW1" s="292"/>
      <c r="NAX1" s="292"/>
      <c r="NAY1" s="292"/>
      <c r="NAZ1" s="292"/>
      <c r="NBA1" s="292"/>
      <c r="NBB1" s="292"/>
      <c r="NBC1" s="292"/>
      <c r="NBD1" s="292"/>
      <c r="NBE1" s="292"/>
      <c r="NBF1" s="292"/>
      <c r="NBG1" s="292"/>
      <c r="NBH1" s="292"/>
      <c r="NBI1" s="292"/>
      <c r="NBJ1" s="292"/>
      <c r="NBK1" s="292"/>
      <c r="NBL1" s="292"/>
      <c r="NBM1" s="292"/>
      <c r="NBN1" s="292"/>
      <c r="NBO1" s="292"/>
      <c r="NBP1" s="292"/>
      <c r="NBQ1" s="292"/>
      <c r="NBR1" s="292"/>
      <c r="NBS1" s="292"/>
      <c r="NBT1" s="292"/>
      <c r="NBU1" s="292"/>
      <c r="NBV1" s="292"/>
      <c r="NBW1" s="292"/>
      <c r="NBX1" s="292"/>
      <c r="NBY1" s="292"/>
      <c r="NBZ1" s="292"/>
      <c r="NCA1" s="292"/>
      <c r="NCB1" s="292"/>
      <c r="NCC1" s="292"/>
      <c r="NCD1" s="292"/>
      <c r="NCE1" s="292"/>
      <c r="NCF1" s="292"/>
      <c r="NCG1" s="292"/>
      <c r="NCH1" s="292"/>
      <c r="NCI1" s="292"/>
      <c r="NCJ1" s="292"/>
      <c r="NCK1" s="292"/>
      <c r="NCL1" s="292"/>
      <c r="NCM1" s="292"/>
      <c r="NCN1" s="292"/>
      <c r="NCO1" s="292"/>
      <c r="NCP1" s="292"/>
      <c r="NCQ1" s="292"/>
      <c r="NCR1" s="292"/>
      <c r="NCS1" s="292"/>
      <c r="NCT1" s="292"/>
      <c r="NCU1" s="292"/>
      <c r="NCV1" s="292"/>
      <c r="NCW1" s="292"/>
      <c r="NCX1" s="292"/>
      <c r="NCY1" s="292"/>
      <c r="NCZ1" s="292"/>
      <c r="NDA1" s="292"/>
      <c r="NDB1" s="292"/>
      <c r="NDC1" s="292"/>
      <c r="NDD1" s="292"/>
      <c r="NDE1" s="292"/>
      <c r="NDF1" s="292"/>
      <c r="NDG1" s="292"/>
      <c r="NDH1" s="292"/>
      <c r="NDI1" s="292"/>
      <c r="NDJ1" s="292"/>
      <c r="NDK1" s="292"/>
      <c r="NDL1" s="292"/>
      <c r="NDM1" s="292"/>
      <c r="NDN1" s="292"/>
      <c r="NDO1" s="292"/>
      <c r="NDP1" s="292"/>
      <c r="NDQ1" s="292"/>
      <c r="NDR1" s="292"/>
      <c r="NDS1" s="292"/>
      <c r="NDT1" s="292"/>
      <c r="NDU1" s="292"/>
      <c r="NDV1" s="292"/>
      <c r="NDW1" s="292"/>
      <c r="NDX1" s="292"/>
      <c r="NDY1" s="292"/>
      <c r="NDZ1" s="292"/>
      <c r="NEA1" s="292"/>
      <c r="NEB1" s="292"/>
      <c r="NEC1" s="292"/>
      <c r="NED1" s="292"/>
      <c r="NEE1" s="292"/>
      <c r="NEF1" s="292"/>
      <c r="NEG1" s="292"/>
      <c r="NEH1" s="292"/>
      <c r="NEI1" s="292"/>
      <c r="NEJ1" s="292"/>
      <c r="NEK1" s="292"/>
      <c r="NEL1" s="292"/>
      <c r="NEM1" s="292"/>
      <c r="NEN1" s="292"/>
      <c r="NEO1" s="292"/>
      <c r="NEP1" s="292"/>
      <c r="NEQ1" s="292"/>
      <c r="NER1" s="292"/>
      <c r="NES1" s="292"/>
      <c r="NET1" s="292"/>
      <c r="NEU1" s="292"/>
      <c r="NEV1" s="292"/>
      <c r="NEW1" s="292"/>
      <c r="NEX1" s="292"/>
      <c r="NEY1" s="292"/>
      <c r="NEZ1" s="292"/>
      <c r="NFA1" s="292"/>
      <c r="NFB1" s="292"/>
      <c r="NFC1" s="292"/>
      <c r="NFD1" s="292"/>
      <c r="NFE1" s="292"/>
      <c r="NFF1" s="292"/>
      <c r="NFG1" s="292"/>
      <c r="NFH1" s="292"/>
      <c r="NFI1" s="292"/>
      <c r="NFJ1" s="292"/>
      <c r="NFK1" s="292"/>
      <c r="NFL1" s="292"/>
      <c r="NFM1" s="292"/>
      <c r="NFN1" s="292"/>
      <c r="NFO1" s="292"/>
      <c r="NFP1" s="292"/>
      <c r="NFQ1" s="292"/>
      <c r="NFR1" s="292"/>
      <c r="NFS1" s="292"/>
      <c r="NFT1" s="292"/>
      <c r="NFU1" s="292"/>
      <c r="NFV1" s="292"/>
      <c r="NFW1" s="292"/>
      <c r="NFX1" s="292"/>
      <c r="NFY1" s="292"/>
      <c r="NFZ1" s="292"/>
      <c r="NGA1" s="292"/>
      <c r="NGB1" s="292"/>
      <c r="NGC1" s="292"/>
      <c r="NGD1" s="292"/>
      <c r="NGE1" s="292"/>
      <c r="NGF1" s="292"/>
      <c r="NGG1" s="292"/>
      <c r="NGH1" s="292"/>
      <c r="NGI1" s="292"/>
      <c r="NGJ1" s="292"/>
      <c r="NGK1" s="292"/>
      <c r="NGL1" s="292"/>
      <c r="NGM1" s="292"/>
      <c r="NGN1" s="292"/>
      <c r="NGO1" s="292"/>
      <c r="NGP1" s="292"/>
      <c r="NGQ1" s="292"/>
      <c r="NGR1" s="292"/>
      <c r="NGS1" s="292"/>
      <c r="NGT1" s="292"/>
      <c r="NGU1" s="292"/>
      <c r="NGV1" s="292"/>
      <c r="NGW1" s="292"/>
      <c r="NGX1" s="292"/>
      <c r="NGY1" s="292"/>
      <c r="NGZ1" s="292"/>
      <c r="NHA1" s="292"/>
      <c r="NHB1" s="292"/>
      <c r="NHC1" s="292"/>
      <c r="NHD1" s="292"/>
      <c r="NHE1" s="292"/>
      <c r="NHF1" s="292"/>
      <c r="NHG1" s="292"/>
      <c r="NHH1" s="292"/>
      <c r="NHI1" s="292"/>
      <c r="NHJ1" s="292"/>
      <c r="NHK1" s="292"/>
      <c r="NHL1" s="292"/>
      <c r="NHM1" s="292"/>
      <c r="NHN1" s="292"/>
      <c r="NHO1" s="292"/>
      <c r="NHP1" s="292"/>
      <c r="NHQ1" s="292"/>
      <c r="NHR1" s="292"/>
      <c r="NHS1" s="292"/>
      <c r="NHT1" s="292"/>
      <c r="NHU1" s="292"/>
      <c r="NHV1" s="292"/>
      <c r="NHW1" s="292"/>
      <c r="NHX1" s="292"/>
      <c r="NHY1" s="292"/>
      <c r="NHZ1" s="292"/>
      <c r="NIA1" s="292"/>
      <c r="NIB1" s="292"/>
      <c r="NIC1" s="292"/>
      <c r="NID1" s="292"/>
      <c r="NIE1" s="292"/>
      <c r="NIF1" s="292"/>
      <c r="NIG1" s="292"/>
      <c r="NIH1" s="292"/>
      <c r="NII1" s="292"/>
      <c r="NIJ1" s="292"/>
      <c r="NIK1" s="292"/>
      <c r="NIL1" s="292"/>
      <c r="NIM1" s="292"/>
      <c r="NIN1" s="292"/>
      <c r="NIO1" s="292"/>
      <c r="NIP1" s="292"/>
      <c r="NIQ1" s="292"/>
      <c r="NIR1" s="292"/>
      <c r="NIS1" s="292"/>
      <c r="NIT1" s="292"/>
      <c r="NIU1" s="292"/>
      <c r="NIV1" s="292"/>
      <c r="NIW1" s="292"/>
      <c r="NIX1" s="292"/>
      <c r="NIY1" s="292"/>
      <c r="NIZ1" s="292"/>
      <c r="NJA1" s="292"/>
      <c r="NJB1" s="292"/>
      <c r="NJC1" s="292"/>
      <c r="NJD1" s="292"/>
      <c r="NJE1" s="292"/>
      <c r="NJF1" s="292"/>
      <c r="NJG1" s="292"/>
      <c r="NJH1" s="292"/>
      <c r="NJI1" s="292"/>
      <c r="NJJ1" s="292"/>
      <c r="NJK1" s="292"/>
      <c r="NJL1" s="292"/>
      <c r="NJM1" s="292"/>
      <c r="NJN1" s="292"/>
      <c r="NJO1" s="292"/>
      <c r="NJP1" s="292"/>
      <c r="NJQ1" s="292"/>
      <c r="NJR1" s="292"/>
      <c r="NJS1" s="292"/>
      <c r="NJT1" s="292"/>
      <c r="NJU1" s="292"/>
      <c r="NJV1" s="292"/>
      <c r="NJW1" s="292"/>
      <c r="NJX1" s="292"/>
      <c r="NJY1" s="292"/>
      <c r="NJZ1" s="292"/>
      <c r="NKA1" s="292"/>
      <c r="NKB1" s="292"/>
      <c r="NKC1" s="292"/>
      <c r="NKD1" s="292"/>
      <c r="NKE1" s="292"/>
      <c r="NKF1" s="292"/>
      <c r="NKG1" s="292"/>
      <c r="NKH1" s="292"/>
      <c r="NKI1" s="292"/>
      <c r="NKJ1" s="292"/>
      <c r="NKK1" s="292"/>
      <c r="NKL1" s="292"/>
      <c r="NKM1" s="292"/>
      <c r="NKN1" s="292"/>
      <c r="NKO1" s="292"/>
      <c r="NKP1" s="292"/>
      <c r="NKQ1" s="292"/>
      <c r="NKR1" s="292"/>
      <c r="NKS1" s="292"/>
      <c r="NKT1" s="292"/>
      <c r="NKU1" s="292"/>
      <c r="NKV1" s="292"/>
      <c r="NKW1" s="292"/>
      <c r="NKX1" s="292"/>
      <c r="NKY1" s="292"/>
      <c r="NKZ1" s="292"/>
      <c r="NLA1" s="292"/>
      <c r="NLB1" s="292"/>
      <c r="NLC1" s="292"/>
      <c r="NLD1" s="292"/>
      <c r="NLE1" s="292"/>
      <c r="NLF1" s="292"/>
      <c r="NLG1" s="292"/>
      <c r="NLH1" s="292"/>
      <c r="NLI1" s="292"/>
      <c r="NLJ1" s="292"/>
      <c r="NLK1" s="292"/>
      <c r="NLL1" s="292"/>
      <c r="NLM1" s="292"/>
      <c r="NLN1" s="292"/>
      <c r="NLO1" s="292"/>
      <c r="NLP1" s="292"/>
      <c r="NLQ1" s="292"/>
      <c r="NLR1" s="292"/>
      <c r="NLS1" s="292"/>
      <c r="NLT1" s="292"/>
      <c r="NLU1" s="292"/>
      <c r="NLV1" s="292"/>
      <c r="NLW1" s="292"/>
      <c r="NLX1" s="292"/>
      <c r="NLY1" s="292"/>
      <c r="NLZ1" s="292"/>
      <c r="NMA1" s="292"/>
      <c r="NMB1" s="292"/>
      <c r="NMC1" s="292"/>
      <c r="NMD1" s="292"/>
      <c r="NME1" s="292"/>
      <c r="NMF1" s="292"/>
      <c r="NMG1" s="292"/>
      <c r="NMH1" s="292"/>
      <c r="NMI1" s="292"/>
      <c r="NMJ1" s="292"/>
      <c r="NMK1" s="292"/>
      <c r="NML1" s="292"/>
      <c r="NMM1" s="292"/>
      <c r="NMN1" s="292"/>
      <c r="NMO1" s="292"/>
      <c r="NMP1" s="292"/>
      <c r="NMQ1" s="292"/>
      <c r="NMR1" s="292"/>
      <c r="NMS1" s="292"/>
      <c r="NMT1" s="292"/>
      <c r="NMU1" s="292"/>
      <c r="NMV1" s="292"/>
      <c r="NMW1" s="292"/>
      <c r="NMX1" s="292"/>
      <c r="NMY1" s="292"/>
      <c r="NMZ1" s="292"/>
      <c r="NNA1" s="292"/>
      <c r="NNB1" s="292"/>
      <c r="NNC1" s="292"/>
      <c r="NND1" s="292"/>
      <c r="NNE1" s="292"/>
      <c r="NNF1" s="292"/>
      <c r="NNG1" s="292"/>
      <c r="NNH1" s="292"/>
      <c r="NNI1" s="292"/>
      <c r="NNJ1" s="292"/>
      <c r="NNK1" s="292"/>
      <c r="NNL1" s="292"/>
      <c r="NNM1" s="292"/>
      <c r="NNN1" s="292"/>
      <c r="NNO1" s="292"/>
      <c r="NNP1" s="292"/>
      <c r="NNQ1" s="292"/>
      <c r="NNR1" s="292"/>
      <c r="NNS1" s="292"/>
      <c r="NNT1" s="292"/>
      <c r="NNU1" s="292"/>
      <c r="NNV1" s="292"/>
      <c r="NNW1" s="292"/>
      <c r="NNX1" s="292"/>
      <c r="NNY1" s="292"/>
      <c r="NNZ1" s="292"/>
      <c r="NOA1" s="292"/>
      <c r="NOB1" s="292"/>
      <c r="NOC1" s="292"/>
      <c r="NOD1" s="292"/>
      <c r="NOE1" s="292"/>
      <c r="NOF1" s="292"/>
      <c r="NOG1" s="292"/>
      <c r="NOH1" s="292"/>
      <c r="NOI1" s="292"/>
      <c r="NOJ1" s="292"/>
      <c r="NOK1" s="292"/>
      <c r="NOL1" s="292"/>
      <c r="NOM1" s="292"/>
      <c r="NON1" s="292"/>
      <c r="NOO1" s="292"/>
      <c r="NOP1" s="292"/>
      <c r="NOQ1" s="292"/>
      <c r="NOR1" s="292"/>
      <c r="NOS1" s="292"/>
      <c r="NOT1" s="292"/>
      <c r="NOU1" s="292"/>
      <c r="NOV1" s="292"/>
      <c r="NOW1" s="292"/>
      <c r="NOX1" s="292"/>
      <c r="NOY1" s="292"/>
      <c r="NOZ1" s="292"/>
      <c r="NPA1" s="292"/>
      <c r="NPB1" s="292"/>
      <c r="NPC1" s="292"/>
      <c r="NPD1" s="292"/>
      <c r="NPE1" s="292"/>
      <c r="NPF1" s="292"/>
      <c r="NPG1" s="292"/>
      <c r="NPH1" s="292"/>
      <c r="NPI1" s="292"/>
      <c r="NPJ1" s="292"/>
      <c r="NPK1" s="292"/>
      <c r="NPL1" s="292"/>
      <c r="NPM1" s="292"/>
      <c r="NPN1" s="292"/>
      <c r="NPO1" s="292"/>
      <c r="NPP1" s="292"/>
      <c r="NPQ1" s="292"/>
      <c r="NPR1" s="292"/>
      <c r="NPS1" s="292"/>
      <c r="NPT1" s="292"/>
      <c r="NPU1" s="292"/>
      <c r="NPV1" s="292"/>
      <c r="NPW1" s="292"/>
      <c r="NPX1" s="292"/>
      <c r="NPY1" s="292"/>
      <c r="NPZ1" s="292"/>
      <c r="NQA1" s="292"/>
      <c r="NQB1" s="292"/>
      <c r="NQC1" s="292"/>
      <c r="NQD1" s="292"/>
      <c r="NQE1" s="292"/>
      <c r="NQF1" s="292"/>
      <c r="NQG1" s="292"/>
      <c r="NQH1" s="292"/>
      <c r="NQI1" s="292"/>
      <c r="NQJ1" s="292"/>
      <c r="NQK1" s="292"/>
      <c r="NQL1" s="292"/>
      <c r="NQM1" s="292"/>
      <c r="NQN1" s="292"/>
      <c r="NQO1" s="292"/>
      <c r="NQP1" s="292"/>
      <c r="NQQ1" s="292"/>
      <c r="NQR1" s="292"/>
      <c r="NQS1" s="292"/>
      <c r="NQT1" s="292"/>
      <c r="NQU1" s="292"/>
      <c r="NQV1" s="292"/>
      <c r="NQW1" s="292"/>
      <c r="NQX1" s="292"/>
      <c r="NQY1" s="292"/>
      <c r="NQZ1" s="292"/>
      <c r="NRA1" s="292"/>
      <c r="NRB1" s="292"/>
      <c r="NRC1" s="292"/>
      <c r="NRD1" s="292"/>
      <c r="NRE1" s="292"/>
      <c r="NRF1" s="292"/>
      <c r="NRG1" s="292"/>
      <c r="NRH1" s="292"/>
      <c r="NRI1" s="292"/>
      <c r="NRJ1" s="292"/>
      <c r="NRK1" s="292"/>
      <c r="NRL1" s="292"/>
      <c r="NRM1" s="292"/>
      <c r="NRN1" s="292"/>
      <c r="NRO1" s="292"/>
      <c r="NRP1" s="292"/>
      <c r="NRQ1" s="292"/>
      <c r="NRR1" s="292"/>
      <c r="NRS1" s="292"/>
      <c r="NRT1" s="292"/>
      <c r="NRU1" s="292"/>
      <c r="NRV1" s="292"/>
      <c r="NRW1" s="292"/>
      <c r="NRX1" s="292"/>
      <c r="NRY1" s="292"/>
      <c r="NRZ1" s="292"/>
      <c r="NSA1" s="292"/>
      <c r="NSB1" s="292"/>
      <c r="NSC1" s="292"/>
      <c r="NSD1" s="292"/>
      <c r="NSE1" s="292"/>
      <c r="NSF1" s="292"/>
      <c r="NSG1" s="292"/>
      <c r="NSH1" s="292"/>
      <c r="NSI1" s="292"/>
      <c r="NSJ1" s="292"/>
      <c r="NSK1" s="292"/>
      <c r="NSL1" s="292"/>
      <c r="NSM1" s="292"/>
      <c r="NSN1" s="292"/>
      <c r="NSO1" s="292"/>
      <c r="NSP1" s="292"/>
      <c r="NSQ1" s="292"/>
      <c r="NSR1" s="292"/>
      <c r="NSS1" s="292"/>
      <c r="NST1" s="292"/>
      <c r="NSU1" s="292"/>
      <c r="NSV1" s="292"/>
      <c r="NSW1" s="292"/>
      <c r="NSX1" s="292"/>
      <c r="NSY1" s="292"/>
      <c r="NSZ1" s="292"/>
      <c r="NTA1" s="292"/>
      <c r="NTB1" s="292"/>
      <c r="NTC1" s="292"/>
      <c r="NTD1" s="292"/>
      <c r="NTE1" s="292"/>
      <c r="NTF1" s="292"/>
      <c r="NTG1" s="292"/>
      <c r="NTH1" s="292"/>
      <c r="NTI1" s="292"/>
      <c r="NTJ1" s="292"/>
      <c r="NTK1" s="292"/>
      <c r="NTL1" s="292"/>
      <c r="NTM1" s="292"/>
      <c r="NTN1" s="292"/>
      <c r="NTO1" s="292"/>
      <c r="NTP1" s="292"/>
      <c r="NTQ1" s="292"/>
      <c r="NTR1" s="292"/>
      <c r="NTS1" s="292"/>
      <c r="NTT1" s="292"/>
      <c r="NTU1" s="292"/>
      <c r="NTV1" s="292"/>
      <c r="NTW1" s="292"/>
      <c r="NTX1" s="292"/>
      <c r="NTY1" s="292"/>
      <c r="NTZ1" s="292"/>
      <c r="NUA1" s="292"/>
      <c r="NUB1" s="292"/>
      <c r="NUC1" s="292"/>
      <c r="NUD1" s="292"/>
      <c r="NUE1" s="292"/>
      <c r="NUF1" s="292"/>
      <c r="NUG1" s="292"/>
      <c r="NUH1" s="292"/>
      <c r="NUI1" s="292"/>
      <c r="NUJ1" s="292"/>
      <c r="NUK1" s="292"/>
      <c r="NUL1" s="292"/>
      <c r="NUM1" s="292"/>
      <c r="NUN1" s="292"/>
      <c r="NUO1" s="292"/>
      <c r="NUP1" s="292"/>
      <c r="NUQ1" s="292"/>
      <c r="NUR1" s="292"/>
      <c r="NUS1" s="292"/>
      <c r="NUT1" s="292"/>
      <c r="NUU1" s="292"/>
      <c r="NUV1" s="292"/>
      <c r="NUW1" s="292"/>
      <c r="NUX1" s="292"/>
      <c r="NUY1" s="292"/>
      <c r="NUZ1" s="292"/>
      <c r="NVA1" s="292"/>
      <c r="NVB1" s="292"/>
      <c r="NVC1" s="292"/>
      <c r="NVD1" s="292"/>
      <c r="NVE1" s="292"/>
      <c r="NVF1" s="292"/>
      <c r="NVG1" s="292"/>
      <c r="NVH1" s="292"/>
      <c r="NVI1" s="292"/>
      <c r="NVJ1" s="292"/>
      <c r="NVK1" s="292"/>
      <c r="NVL1" s="292"/>
      <c r="NVM1" s="292"/>
      <c r="NVN1" s="292"/>
      <c r="NVO1" s="292"/>
      <c r="NVP1" s="292"/>
      <c r="NVQ1" s="292"/>
      <c r="NVR1" s="292"/>
      <c r="NVS1" s="292"/>
      <c r="NVT1" s="292"/>
      <c r="NVU1" s="292"/>
      <c r="NVV1" s="292"/>
      <c r="NVW1" s="292"/>
      <c r="NVX1" s="292"/>
      <c r="NVY1" s="292"/>
      <c r="NVZ1" s="292"/>
      <c r="NWA1" s="292"/>
      <c r="NWB1" s="292"/>
      <c r="NWC1" s="292"/>
      <c r="NWD1" s="292"/>
      <c r="NWE1" s="292"/>
      <c r="NWF1" s="292"/>
      <c r="NWG1" s="292"/>
      <c r="NWH1" s="292"/>
      <c r="NWI1" s="292"/>
      <c r="NWJ1" s="292"/>
      <c r="NWK1" s="292"/>
      <c r="NWL1" s="292"/>
      <c r="NWM1" s="292"/>
      <c r="NWN1" s="292"/>
      <c r="NWO1" s="292"/>
      <c r="NWP1" s="292"/>
      <c r="NWQ1" s="292"/>
      <c r="NWR1" s="292"/>
      <c r="NWS1" s="292"/>
      <c r="NWT1" s="292"/>
      <c r="NWU1" s="292"/>
      <c r="NWV1" s="292"/>
      <c r="NWW1" s="292"/>
      <c r="NWX1" s="292"/>
      <c r="NWY1" s="292"/>
      <c r="NWZ1" s="292"/>
      <c r="NXA1" s="292"/>
      <c r="NXB1" s="292"/>
      <c r="NXC1" s="292"/>
      <c r="NXD1" s="292"/>
      <c r="NXE1" s="292"/>
      <c r="NXF1" s="292"/>
      <c r="NXG1" s="292"/>
      <c r="NXH1" s="292"/>
      <c r="NXI1" s="292"/>
      <c r="NXJ1" s="292"/>
      <c r="NXK1" s="292"/>
      <c r="NXL1" s="292"/>
      <c r="NXM1" s="292"/>
      <c r="NXN1" s="292"/>
      <c r="NXO1" s="292"/>
      <c r="NXP1" s="292"/>
      <c r="NXQ1" s="292"/>
      <c r="NXR1" s="292"/>
      <c r="NXS1" s="292"/>
      <c r="NXT1" s="292"/>
      <c r="NXU1" s="292"/>
      <c r="NXV1" s="292"/>
      <c r="NXW1" s="292"/>
      <c r="NXX1" s="292"/>
      <c r="NXY1" s="292"/>
      <c r="NXZ1" s="292"/>
      <c r="NYA1" s="292"/>
      <c r="NYB1" s="292"/>
      <c r="NYC1" s="292"/>
      <c r="NYD1" s="292"/>
      <c r="NYE1" s="292"/>
      <c r="NYF1" s="292"/>
      <c r="NYG1" s="292"/>
      <c r="NYH1" s="292"/>
      <c r="NYI1" s="292"/>
      <c r="NYJ1" s="292"/>
      <c r="NYK1" s="292"/>
      <c r="NYL1" s="292"/>
      <c r="NYM1" s="292"/>
      <c r="NYN1" s="292"/>
      <c r="NYO1" s="292"/>
      <c r="NYP1" s="292"/>
      <c r="NYQ1" s="292"/>
      <c r="NYR1" s="292"/>
      <c r="NYS1" s="292"/>
      <c r="NYT1" s="292"/>
      <c r="NYU1" s="292"/>
      <c r="NYV1" s="292"/>
      <c r="NYW1" s="292"/>
      <c r="NYX1" s="292"/>
      <c r="NYY1" s="292"/>
      <c r="NYZ1" s="292"/>
      <c r="NZA1" s="292"/>
      <c r="NZB1" s="292"/>
      <c r="NZC1" s="292"/>
      <c r="NZD1" s="292"/>
      <c r="NZE1" s="292"/>
      <c r="NZF1" s="292"/>
      <c r="NZG1" s="292"/>
      <c r="NZH1" s="292"/>
      <c r="NZI1" s="292"/>
      <c r="NZJ1" s="292"/>
      <c r="NZK1" s="292"/>
      <c r="NZL1" s="292"/>
      <c r="NZM1" s="292"/>
      <c r="NZN1" s="292"/>
      <c r="NZO1" s="292"/>
      <c r="NZP1" s="292"/>
      <c r="NZQ1" s="292"/>
      <c r="NZR1" s="292"/>
      <c r="NZS1" s="292"/>
      <c r="NZT1" s="292"/>
      <c r="NZU1" s="292"/>
      <c r="NZV1" s="292"/>
      <c r="NZW1" s="292"/>
      <c r="NZX1" s="292"/>
      <c r="NZY1" s="292"/>
      <c r="NZZ1" s="292"/>
      <c r="OAA1" s="292"/>
      <c r="OAB1" s="292"/>
      <c r="OAC1" s="292"/>
      <c r="OAD1" s="292"/>
      <c r="OAE1" s="292"/>
      <c r="OAF1" s="292"/>
      <c r="OAG1" s="292"/>
      <c r="OAH1" s="292"/>
      <c r="OAI1" s="292"/>
      <c r="OAJ1" s="292"/>
      <c r="OAK1" s="292"/>
      <c r="OAL1" s="292"/>
      <c r="OAM1" s="292"/>
      <c r="OAN1" s="292"/>
      <c r="OAO1" s="292"/>
      <c r="OAP1" s="292"/>
      <c r="OAQ1" s="292"/>
      <c r="OAR1" s="292"/>
      <c r="OAS1" s="292"/>
      <c r="OAT1" s="292"/>
      <c r="OAU1" s="292"/>
      <c r="OAV1" s="292"/>
      <c r="OAW1" s="292"/>
      <c r="OAX1" s="292"/>
      <c r="OAY1" s="292"/>
      <c r="OAZ1" s="292"/>
      <c r="OBA1" s="292"/>
      <c r="OBB1" s="292"/>
      <c r="OBC1" s="292"/>
      <c r="OBD1" s="292"/>
      <c r="OBE1" s="292"/>
      <c r="OBF1" s="292"/>
      <c r="OBG1" s="292"/>
      <c r="OBH1" s="292"/>
      <c r="OBI1" s="292"/>
      <c r="OBJ1" s="292"/>
      <c r="OBK1" s="292"/>
      <c r="OBL1" s="292"/>
      <c r="OBM1" s="292"/>
      <c r="OBN1" s="292"/>
      <c r="OBO1" s="292"/>
      <c r="OBP1" s="292"/>
      <c r="OBQ1" s="292"/>
      <c r="OBR1" s="292"/>
      <c r="OBS1" s="292"/>
      <c r="OBT1" s="292"/>
      <c r="OBU1" s="292"/>
      <c r="OBV1" s="292"/>
      <c r="OBW1" s="292"/>
      <c r="OBX1" s="292"/>
      <c r="OBY1" s="292"/>
      <c r="OBZ1" s="292"/>
      <c r="OCA1" s="292"/>
      <c r="OCB1" s="292"/>
      <c r="OCC1" s="292"/>
      <c r="OCD1" s="292"/>
      <c r="OCE1" s="292"/>
      <c r="OCF1" s="292"/>
      <c r="OCG1" s="292"/>
      <c r="OCH1" s="292"/>
      <c r="OCI1" s="292"/>
      <c r="OCJ1" s="292"/>
      <c r="OCK1" s="292"/>
      <c r="OCL1" s="292"/>
      <c r="OCM1" s="292"/>
      <c r="OCN1" s="292"/>
      <c r="OCO1" s="292"/>
      <c r="OCP1" s="292"/>
      <c r="OCQ1" s="292"/>
      <c r="OCR1" s="292"/>
      <c r="OCS1" s="292"/>
      <c r="OCT1" s="292"/>
      <c r="OCU1" s="292"/>
      <c r="OCV1" s="292"/>
      <c r="OCW1" s="292"/>
      <c r="OCX1" s="292"/>
      <c r="OCY1" s="292"/>
      <c r="OCZ1" s="292"/>
      <c r="ODA1" s="292"/>
      <c r="ODB1" s="292"/>
      <c r="ODC1" s="292"/>
      <c r="ODD1" s="292"/>
      <c r="ODE1" s="292"/>
      <c r="ODF1" s="292"/>
      <c r="ODG1" s="292"/>
      <c r="ODH1" s="292"/>
      <c r="ODI1" s="292"/>
      <c r="ODJ1" s="292"/>
      <c r="ODK1" s="292"/>
      <c r="ODL1" s="292"/>
      <c r="ODM1" s="292"/>
      <c r="ODN1" s="292"/>
      <c r="ODO1" s="292"/>
      <c r="ODP1" s="292"/>
      <c r="ODQ1" s="292"/>
      <c r="ODR1" s="292"/>
      <c r="ODS1" s="292"/>
      <c r="ODT1" s="292"/>
      <c r="ODU1" s="292"/>
      <c r="ODV1" s="292"/>
      <c r="ODW1" s="292"/>
      <c r="ODX1" s="292"/>
      <c r="ODY1" s="292"/>
      <c r="ODZ1" s="292"/>
      <c r="OEA1" s="292"/>
      <c r="OEB1" s="292"/>
      <c r="OEC1" s="292"/>
      <c r="OED1" s="292"/>
      <c r="OEE1" s="292"/>
      <c r="OEF1" s="292"/>
      <c r="OEG1" s="292"/>
      <c r="OEH1" s="292"/>
      <c r="OEI1" s="292"/>
      <c r="OEJ1" s="292"/>
      <c r="OEK1" s="292"/>
      <c r="OEL1" s="292"/>
      <c r="OEM1" s="292"/>
      <c r="OEN1" s="292"/>
      <c r="OEO1" s="292"/>
      <c r="OEP1" s="292"/>
      <c r="OEQ1" s="292"/>
      <c r="OER1" s="292"/>
      <c r="OES1" s="292"/>
      <c r="OET1" s="292"/>
      <c r="OEU1" s="292"/>
      <c r="OEV1" s="292"/>
      <c r="OEW1" s="292"/>
      <c r="OEX1" s="292"/>
      <c r="OEY1" s="292"/>
      <c r="OEZ1" s="292"/>
      <c r="OFA1" s="292"/>
      <c r="OFB1" s="292"/>
      <c r="OFC1" s="292"/>
      <c r="OFD1" s="292"/>
      <c r="OFE1" s="292"/>
      <c r="OFF1" s="292"/>
      <c r="OFG1" s="292"/>
      <c r="OFH1" s="292"/>
      <c r="OFI1" s="292"/>
      <c r="OFJ1" s="292"/>
      <c r="OFK1" s="292"/>
      <c r="OFL1" s="292"/>
      <c r="OFM1" s="292"/>
      <c r="OFN1" s="292"/>
      <c r="OFO1" s="292"/>
      <c r="OFP1" s="292"/>
      <c r="OFQ1" s="292"/>
      <c r="OFR1" s="292"/>
      <c r="OFS1" s="292"/>
      <c r="OFT1" s="292"/>
      <c r="OFU1" s="292"/>
      <c r="OFV1" s="292"/>
      <c r="OFW1" s="292"/>
      <c r="OFX1" s="292"/>
      <c r="OFY1" s="292"/>
      <c r="OFZ1" s="292"/>
      <c r="OGA1" s="292"/>
      <c r="OGB1" s="292"/>
      <c r="OGC1" s="292"/>
      <c r="OGD1" s="292"/>
      <c r="OGE1" s="292"/>
      <c r="OGF1" s="292"/>
      <c r="OGG1" s="292"/>
      <c r="OGH1" s="292"/>
      <c r="OGI1" s="292"/>
      <c r="OGJ1" s="292"/>
      <c r="OGK1" s="292"/>
      <c r="OGL1" s="292"/>
      <c r="OGM1" s="292"/>
      <c r="OGN1" s="292"/>
      <c r="OGO1" s="292"/>
      <c r="OGP1" s="292"/>
      <c r="OGQ1" s="292"/>
      <c r="OGR1" s="292"/>
      <c r="OGS1" s="292"/>
      <c r="OGT1" s="292"/>
      <c r="OGU1" s="292"/>
      <c r="OGV1" s="292"/>
      <c r="OGW1" s="292"/>
      <c r="OGX1" s="292"/>
      <c r="OGY1" s="292"/>
      <c r="OGZ1" s="292"/>
      <c r="OHA1" s="292"/>
      <c r="OHB1" s="292"/>
      <c r="OHC1" s="292"/>
      <c r="OHD1" s="292"/>
      <c r="OHE1" s="292"/>
      <c r="OHF1" s="292"/>
      <c r="OHG1" s="292"/>
      <c r="OHH1" s="292"/>
      <c r="OHI1" s="292"/>
      <c r="OHJ1" s="292"/>
      <c r="OHK1" s="292"/>
      <c r="OHL1" s="292"/>
      <c r="OHM1" s="292"/>
      <c r="OHN1" s="292"/>
      <c r="OHO1" s="292"/>
      <c r="OHP1" s="292"/>
      <c r="OHQ1" s="292"/>
      <c r="OHR1" s="292"/>
      <c r="OHS1" s="292"/>
      <c r="OHT1" s="292"/>
      <c r="OHU1" s="292"/>
      <c r="OHV1" s="292"/>
      <c r="OHW1" s="292"/>
      <c r="OHX1" s="292"/>
      <c r="OHY1" s="292"/>
      <c r="OHZ1" s="292"/>
      <c r="OIA1" s="292"/>
      <c r="OIB1" s="292"/>
      <c r="OIC1" s="292"/>
      <c r="OID1" s="292"/>
      <c r="OIE1" s="292"/>
      <c r="OIF1" s="292"/>
      <c r="OIG1" s="292"/>
      <c r="OIH1" s="292"/>
      <c r="OII1" s="292"/>
      <c r="OIJ1" s="292"/>
      <c r="OIK1" s="292"/>
      <c r="OIL1" s="292"/>
      <c r="OIM1" s="292"/>
      <c r="OIN1" s="292"/>
      <c r="OIO1" s="292"/>
      <c r="OIP1" s="292"/>
      <c r="OIQ1" s="292"/>
      <c r="OIR1" s="292"/>
      <c r="OIS1" s="292"/>
      <c r="OIT1" s="292"/>
      <c r="OIU1" s="292"/>
      <c r="OIV1" s="292"/>
      <c r="OIW1" s="292"/>
      <c r="OIX1" s="292"/>
      <c r="OIY1" s="292"/>
      <c r="OIZ1" s="292"/>
      <c r="OJA1" s="292"/>
      <c r="OJB1" s="292"/>
      <c r="OJC1" s="292"/>
      <c r="OJD1" s="292"/>
      <c r="OJE1" s="292"/>
      <c r="OJF1" s="292"/>
      <c r="OJG1" s="292"/>
      <c r="OJH1" s="292"/>
      <c r="OJI1" s="292"/>
      <c r="OJJ1" s="292"/>
      <c r="OJK1" s="292"/>
      <c r="OJL1" s="292"/>
      <c r="OJM1" s="292"/>
      <c r="OJN1" s="292"/>
      <c r="OJO1" s="292"/>
      <c r="OJP1" s="292"/>
      <c r="OJQ1" s="292"/>
      <c r="OJR1" s="292"/>
      <c r="OJS1" s="292"/>
      <c r="OJT1" s="292"/>
      <c r="OJU1" s="292"/>
      <c r="OJV1" s="292"/>
      <c r="OJW1" s="292"/>
      <c r="OJX1" s="292"/>
      <c r="OJY1" s="292"/>
      <c r="OJZ1" s="292"/>
      <c r="OKA1" s="292"/>
      <c r="OKB1" s="292"/>
      <c r="OKC1" s="292"/>
      <c r="OKD1" s="292"/>
      <c r="OKE1" s="292"/>
      <c r="OKF1" s="292"/>
      <c r="OKG1" s="292"/>
      <c r="OKH1" s="292"/>
      <c r="OKI1" s="292"/>
      <c r="OKJ1" s="292"/>
      <c r="OKK1" s="292"/>
      <c r="OKL1" s="292"/>
      <c r="OKM1" s="292"/>
      <c r="OKN1" s="292"/>
      <c r="OKO1" s="292"/>
      <c r="OKP1" s="292"/>
      <c r="OKQ1" s="292"/>
      <c r="OKR1" s="292"/>
      <c r="OKS1" s="292"/>
      <c r="OKT1" s="292"/>
      <c r="OKU1" s="292"/>
      <c r="OKV1" s="292"/>
      <c r="OKW1" s="292"/>
      <c r="OKX1" s="292"/>
      <c r="OKY1" s="292"/>
      <c r="OKZ1" s="292"/>
      <c r="OLA1" s="292"/>
      <c r="OLB1" s="292"/>
      <c r="OLC1" s="292"/>
      <c r="OLD1" s="292"/>
      <c r="OLE1" s="292"/>
      <c r="OLF1" s="292"/>
      <c r="OLG1" s="292"/>
      <c r="OLH1" s="292"/>
      <c r="OLI1" s="292"/>
      <c r="OLJ1" s="292"/>
      <c r="OLK1" s="292"/>
      <c r="OLL1" s="292"/>
      <c r="OLM1" s="292"/>
      <c r="OLN1" s="292"/>
      <c r="OLO1" s="292"/>
      <c r="OLP1" s="292"/>
      <c r="OLQ1" s="292"/>
      <c r="OLR1" s="292"/>
      <c r="OLS1" s="292"/>
      <c r="OLT1" s="292"/>
      <c r="OLU1" s="292"/>
      <c r="OLV1" s="292"/>
      <c r="OLW1" s="292"/>
      <c r="OLX1" s="292"/>
      <c r="OLY1" s="292"/>
      <c r="OLZ1" s="292"/>
      <c r="OMA1" s="292"/>
      <c r="OMB1" s="292"/>
      <c r="OMC1" s="292"/>
      <c r="OMD1" s="292"/>
      <c r="OME1" s="292"/>
      <c r="OMF1" s="292"/>
      <c r="OMG1" s="292"/>
      <c r="OMH1" s="292"/>
      <c r="OMI1" s="292"/>
      <c r="OMJ1" s="292"/>
      <c r="OMK1" s="292"/>
      <c r="OML1" s="292"/>
      <c r="OMM1" s="292"/>
      <c r="OMN1" s="292"/>
      <c r="OMO1" s="292"/>
      <c r="OMP1" s="292"/>
      <c r="OMQ1" s="292"/>
      <c r="OMR1" s="292"/>
      <c r="OMS1" s="292"/>
      <c r="OMT1" s="292"/>
      <c r="OMU1" s="292"/>
      <c r="OMV1" s="292"/>
      <c r="OMW1" s="292"/>
      <c r="OMX1" s="292"/>
      <c r="OMY1" s="292"/>
      <c r="OMZ1" s="292"/>
      <c r="ONA1" s="292"/>
      <c r="ONB1" s="292"/>
      <c r="ONC1" s="292"/>
      <c r="OND1" s="292"/>
      <c r="ONE1" s="292"/>
      <c r="ONF1" s="292"/>
      <c r="ONG1" s="292"/>
      <c r="ONH1" s="292"/>
      <c r="ONI1" s="292"/>
      <c r="ONJ1" s="292"/>
      <c r="ONK1" s="292"/>
      <c r="ONL1" s="292"/>
      <c r="ONM1" s="292"/>
      <c r="ONN1" s="292"/>
      <c r="ONO1" s="292"/>
      <c r="ONP1" s="292"/>
      <c r="ONQ1" s="292"/>
      <c r="ONR1" s="292"/>
      <c r="ONS1" s="292"/>
      <c r="ONT1" s="292"/>
      <c r="ONU1" s="292"/>
      <c r="ONV1" s="292"/>
      <c r="ONW1" s="292"/>
      <c r="ONX1" s="292"/>
      <c r="ONY1" s="292"/>
      <c r="ONZ1" s="292"/>
      <c r="OOA1" s="292"/>
      <c r="OOB1" s="292"/>
      <c r="OOC1" s="292"/>
      <c r="OOD1" s="292"/>
      <c r="OOE1" s="292"/>
      <c r="OOF1" s="292"/>
      <c r="OOG1" s="292"/>
      <c r="OOH1" s="292"/>
      <c r="OOI1" s="292"/>
      <c r="OOJ1" s="292"/>
      <c r="OOK1" s="292"/>
      <c r="OOL1" s="292"/>
      <c r="OOM1" s="292"/>
      <c r="OON1" s="292"/>
      <c r="OOO1" s="292"/>
      <c r="OOP1" s="292"/>
      <c r="OOQ1" s="292"/>
      <c r="OOR1" s="292"/>
      <c r="OOS1" s="292"/>
      <c r="OOT1" s="292"/>
      <c r="OOU1" s="292"/>
      <c r="OOV1" s="292"/>
      <c r="OOW1" s="292"/>
      <c r="OOX1" s="292"/>
      <c r="OOY1" s="292"/>
      <c r="OOZ1" s="292"/>
      <c r="OPA1" s="292"/>
      <c r="OPB1" s="292"/>
      <c r="OPC1" s="292"/>
      <c r="OPD1" s="292"/>
      <c r="OPE1" s="292"/>
      <c r="OPF1" s="292"/>
      <c r="OPG1" s="292"/>
      <c r="OPH1" s="292"/>
      <c r="OPI1" s="292"/>
      <c r="OPJ1" s="292"/>
      <c r="OPK1" s="292"/>
      <c r="OPL1" s="292"/>
      <c r="OPM1" s="292"/>
      <c r="OPN1" s="292"/>
      <c r="OPO1" s="292"/>
      <c r="OPP1" s="292"/>
      <c r="OPQ1" s="292"/>
      <c r="OPR1" s="292"/>
      <c r="OPS1" s="292"/>
      <c r="OPT1" s="292"/>
      <c r="OPU1" s="292"/>
      <c r="OPV1" s="292"/>
      <c r="OPW1" s="292"/>
      <c r="OPX1" s="292"/>
      <c r="OPY1" s="292"/>
      <c r="OPZ1" s="292"/>
      <c r="OQA1" s="292"/>
      <c r="OQB1" s="292"/>
      <c r="OQC1" s="292"/>
      <c r="OQD1" s="292"/>
      <c r="OQE1" s="292"/>
      <c r="OQF1" s="292"/>
      <c r="OQG1" s="292"/>
      <c r="OQH1" s="292"/>
      <c r="OQI1" s="292"/>
      <c r="OQJ1" s="292"/>
      <c r="OQK1" s="292"/>
      <c r="OQL1" s="292"/>
      <c r="OQM1" s="292"/>
      <c r="OQN1" s="292"/>
      <c r="OQO1" s="292"/>
      <c r="OQP1" s="292"/>
      <c r="OQQ1" s="292"/>
      <c r="OQR1" s="292"/>
      <c r="OQS1" s="292"/>
      <c r="OQT1" s="292"/>
      <c r="OQU1" s="292"/>
      <c r="OQV1" s="292"/>
      <c r="OQW1" s="292"/>
      <c r="OQX1" s="292"/>
      <c r="OQY1" s="292"/>
      <c r="OQZ1" s="292"/>
      <c r="ORA1" s="292"/>
      <c r="ORB1" s="292"/>
      <c r="ORC1" s="292"/>
      <c r="ORD1" s="292"/>
      <c r="ORE1" s="292"/>
      <c r="ORF1" s="292"/>
      <c r="ORG1" s="292"/>
      <c r="ORH1" s="292"/>
      <c r="ORI1" s="292"/>
      <c r="ORJ1" s="292"/>
      <c r="ORK1" s="292"/>
      <c r="ORL1" s="292"/>
      <c r="ORM1" s="292"/>
      <c r="ORN1" s="292"/>
      <c r="ORO1" s="292"/>
      <c r="ORP1" s="292"/>
      <c r="ORQ1" s="292"/>
      <c r="ORR1" s="292"/>
      <c r="ORS1" s="292"/>
      <c r="ORT1" s="292"/>
      <c r="ORU1" s="292"/>
      <c r="ORV1" s="292"/>
      <c r="ORW1" s="292"/>
      <c r="ORX1" s="292"/>
      <c r="ORY1" s="292"/>
      <c r="ORZ1" s="292"/>
      <c r="OSA1" s="292"/>
      <c r="OSB1" s="292"/>
      <c r="OSC1" s="292"/>
      <c r="OSD1" s="292"/>
      <c r="OSE1" s="292"/>
      <c r="OSF1" s="292"/>
      <c r="OSG1" s="292"/>
      <c r="OSH1" s="292"/>
      <c r="OSI1" s="292"/>
      <c r="OSJ1" s="292"/>
      <c r="OSK1" s="292"/>
      <c r="OSL1" s="292"/>
      <c r="OSM1" s="292"/>
      <c r="OSN1" s="292"/>
      <c r="OSO1" s="292"/>
      <c r="OSP1" s="292"/>
      <c r="OSQ1" s="292"/>
      <c r="OSR1" s="292"/>
      <c r="OSS1" s="292"/>
      <c r="OST1" s="292"/>
      <c r="OSU1" s="292"/>
      <c r="OSV1" s="292"/>
      <c r="OSW1" s="292"/>
      <c r="OSX1" s="292"/>
      <c r="OSY1" s="292"/>
      <c r="OSZ1" s="292"/>
      <c r="OTA1" s="292"/>
      <c r="OTB1" s="292"/>
      <c r="OTC1" s="292"/>
      <c r="OTD1" s="292"/>
      <c r="OTE1" s="292"/>
      <c r="OTF1" s="292"/>
      <c r="OTG1" s="292"/>
      <c r="OTH1" s="292"/>
      <c r="OTI1" s="292"/>
      <c r="OTJ1" s="292"/>
      <c r="OTK1" s="292"/>
      <c r="OTL1" s="292"/>
      <c r="OTM1" s="292"/>
      <c r="OTN1" s="292"/>
      <c r="OTO1" s="292"/>
      <c r="OTP1" s="292"/>
      <c r="OTQ1" s="292"/>
      <c r="OTR1" s="292"/>
      <c r="OTS1" s="292"/>
      <c r="OTT1" s="292"/>
      <c r="OTU1" s="292"/>
      <c r="OTV1" s="292"/>
      <c r="OTW1" s="292"/>
      <c r="OTX1" s="292"/>
      <c r="OTY1" s="292"/>
      <c r="OTZ1" s="292"/>
      <c r="OUA1" s="292"/>
      <c r="OUB1" s="292"/>
      <c r="OUC1" s="292"/>
      <c r="OUD1" s="292"/>
      <c r="OUE1" s="292"/>
      <c r="OUF1" s="292"/>
      <c r="OUG1" s="292"/>
      <c r="OUH1" s="292"/>
      <c r="OUI1" s="292"/>
      <c r="OUJ1" s="292"/>
      <c r="OUK1" s="292"/>
      <c r="OUL1" s="292"/>
      <c r="OUM1" s="292"/>
      <c r="OUN1" s="292"/>
      <c r="OUO1" s="292"/>
      <c r="OUP1" s="292"/>
      <c r="OUQ1" s="292"/>
      <c r="OUR1" s="292"/>
      <c r="OUS1" s="292"/>
      <c r="OUT1" s="292"/>
      <c r="OUU1" s="292"/>
      <c r="OUV1" s="292"/>
      <c r="OUW1" s="292"/>
      <c r="OUX1" s="292"/>
      <c r="OUY1" s="292"/>
      <c r="OUZ1" s="292"/>
      <c r="OVA1" s="292"/>
      <c r="OVB1" s="292"/>
      <c r="OVC1" s="292"/>
      <c r="OVD1" s="292"/>
      <c r="OVE1" s="292"/>
      <c r="OVF1" s="292"/>
      <c r="OVG1" s="292"/>
      <c r="OVH1" s="292"/>
      <c r="OVI1" s="292"/>
      <c r="OVJ1" s="292"/>
      <c r="OVK1" s="292"/>
      <c r="OVL1" s="292"/>
      <c r="OVM1" s="292"/>
      <c r="OVN1" s="292"/>
      <c r="OVO1" s="292"/>
      <c r="OVP1" s="292"/>
      <c r="OVQ1" s="292"/>
      <c r="OVR1" s="292"/>
      <c r="OVS1" s="292"/>
      <c r="OVT1" s="292"/>
      <c r="OVU1" s="292"/>
      <c r="OVV1" s="292"/>
      <c r="OVW1" s="292"/>
      <c r="OVX1" s="292"/>
      <c r="OVY1" s="292"/>
      <c r="OVZ1" s="292"/>
      <c r="OWA1" s="292"/>
      <c r="OWB1" s="292"/>
      <c r="OWC1" s="292"/>
      <c r="OWD1" s="292"/>
      <c r="OWE1" s="292"/>
      <c r="OWF1" s="292"/>
      <c r="OWG1" s="292"/>
      <c r="OWH1" s="292"/>
      <c r="OWI1" s="292"/>
      <c r="OWJ1" s="292"/>
      <c r="OWK1" s="292"/>
      <c r="OWL1" s="292"/>
      <c r="OWM1" s="292"/>
      <c r="OWN1" s="292"/>
      <c r="OWO1" s="292"/>
      <c r="OWP1" s="292"/>
      <c r="OWQ1" s="292"/>
      <c r="OWR1" s="292"/>
      <c r="OWS1" s="292"/>
      <c r="OWT1" s="292"/>
      <c r="OWU1" s="292"/>
      <c r="OWV1" s="292"/>
      <c r="OWW1" s="292"/>
      <c r="OWX1" s="292"/>
      <c r="OWY1" s="292"/>
      <c r="OWZ1" s="292"/>
      <c r="OXA1" s="292"/>
      <c r="OXB1" s="292"/>
      <c r="OXC1" s="292"/>
      <c r="OXD1" s="292"/>
      <c r="OXE1" s="292"/>
      <c r="OXF1" s="292"/>
      <c r="OXG1" s="292"/>
      <c r="OXH1" s="292"/>
      <c r="OXI1" s="292"/>
      <c r="OXJ1" s="292"/>
      <c r="OXK1" s="292"/>
      <c r="OXL1" s="292"/>
      <c r="OXM1" s="292"/>
      <c r="OXN1" s="292"/>
      <c r="OXO1" s="292"/>
      <c r="OXP1" s="292"/>
      <c r="OXQ1" s="292"/>
      <c r="OXR1" s="292"/>
      <c r="OXS1" s="292"/>
      <c r="OXT1" s="292"/>
      <c r="OXU1" s="292"/>
      <c r="OXV1" s="292"/>
      <c r="OXW1" s="292"/>
      <c r="OXX1" s="292"/>
      <c r="OXY1" s="292"/>
      <c r="OXZ1" s="292"/>
      <c r="OYA1" s="292"/>
      <c r="OYB1" s="292"/>
      <c r="OYC1" s="292"/>
      <c r="OYD1" s="292"/>
      <c r="OYE1" s="292"/>
      <c r="OYF1" s="292"/>
      <c r="OYG1" s="292"/>
      <c r="OYH1" s="292"/>
      <c r="OYI1" s="292"/>
      <c r="OYJ1" s="292"/>
      <c r="OYK1" s="292"/>
      <c r="OYL1" s="292"/>
      <c r="OYM1" s="292"/>
      <c r="OYN1" s="292"/>
      <c r="OYO1" s="292"/>
      <c r="OYP1" s="292"/>
      <c r="OYQ1" s="292"/>
      <c r="OYR1" s="292"/>
      <c r="OYS1" s="292"/>
      <c r="OYT1" s="292"/>
      <c r="OYU1" s="292"/>
      <c r="OYV1" s="292"/>
      <c r="OYW1" s="292"/>
      <c r="OYX1" s="292"/>
      <c r="OYY1" s="292"/>
      <c r="OYZ1" s="292"/>
      <c r="OZA1" s="292"/>
      <c r="OZB1" s="292"/>
      <c r="OZC1" s="292"/>
      <c r="OZD1" s="292"/>
      <c r="OZE1" s="292"/>
      <c r="OZF1" s="292"/>
      <c r="OZG1" s="292"/>
      <c r="OZH1" s="292"/>
      <c r="OZI1" s="292"/>
      <c r="OZJ1" s="292"/>
      <c r="OZK1" s="292"/>
      <c r="OZL1" s="292"/>
      <c r="OZM1" s="292"/>
      <c r="OZN1" s="292"/>
      <c r="OZO1" s="292"/>
      <c r="OZP1" s="292"/>
      <c r="OZQ1" s="292"/>
      <c r="OZR1" s="292"/>
      <c r="OZS1" s="292"/>
      <c r="OZT1" s="292"/>
      <c r="OZU1" s="292"/>
      <c r="OZV1" s="292"/>
      <c r="OZW1" s="292"/>
      <c r="OZX1" s="292"/>
      <c r="OZY1" s="292"/>
      <c r="OZZ1" s="292"/>
      <c r="PAA1" s="292"/>
      <c r="PAB1" s="292"/>
      <c r="PAC1" s="292"/>
      <c r="PAD1" s="292"/>
      <c r="PAE1" s="292"/>
      <c r="PAF1" s="292"/>
      <c r="PAG1" s="292"/>
      <c r="PAH1" s="292"/>
      <c r="PAI1" s="292"/>
      <c r="PAJ1" s="292"/>
      <c r="PAK1" s="292"/>
      <c r="PAL1" s="292"/>
      <c r="PAM1" s="292"/>
      <c r="PAN1" s="292"/>
      <c r="PAO1" s="292"/>
      <c r="PAP1" s="292"/>
      <c r="PAQ1" s="292"/>
      <c r="PAR1" s="292"/>
      <c r="PAS1" s="292"/>
      <c r="PAT1" s="292"/>
      <c r="PAU1" s="292"/>
      <c r="PAV1" s="292"/>
      <c r="PAW1" s="292"/>
      <c r="PAX1" s="292"/>
      <c r="PAY1" s="292"/>
      <c r="PAZ1" s="292"/>
      <c r="PBA1" s="292"/>
      <c r="PBB1" s="292"/>
      <c r="PBC1" s="292"/>
      <c r="PBD1" s="292"/>
      <c r="PBE1" s="292"/>
      <c r="PBF1" s="292"/>
      <c r="PBG1" s="292"/>
      <c r="PBH1" s="292"/>
      <c r="PBI1" s="292"/>
      <c r="PBJ1" s="292"/>
      <c r="PBK1" s="292"/>
      <c r="PBL1" s="292"/>
      <c r="PBM1" s="292"/>
      <c r="PBN1" s="292"/>
      <c r="PBO1" s="292"/>
      <c r="PBP1" s="292"/>
      <c r="PBQ1" s="292"/>
      <c r="PBR1" s="292"/>
      <c r="PBS1" s="292"/>
      <c r="PBT1" s="292"/>
      <c r="PBU1" s="292"/>
      <c r="PBV1" s="292"/>
      <c r="PBW1" s="292"/>
      <c r="PBX1" s="292"/>
      <c r="PBY1" s="292"/>
      <c r="PBZ1" s="292"/>
      <c r="PCA1" s="292"/>
      <c r="PCB1" s="292"/>
      <c r="PCC1" s="292"/>
      <c r="PCD1" s="292"/>
      <c r="PCE1" s="292"/>
      <c r="PCF1" s="292"/>
      <c r="PCG1" s="292"/>
      <c r="PCH1" s="292"/>
      <c r="PCI1" s="292"/>
      <c r="PCJ1" s="292"/>
      <c r="PCK1" s="292"/>
      <c r="PCL1" s="292"/>
      <c r="PCM1" s="292"/>
      <c r="PCN1" s="292"/>
      <c r="PCO1" s="292"/>
      <c r="PCP1" s="292"/>
      <c r="PCQ1" s="292"/>
      <c r="PCR1" s="292"/>
      <c r="PCS1" s="292"/>
      <c r="PCT1" s="292"/>
      <c r="PCU1" s="292"/>
      <c r="PCV1" s="292"/>
      <c r="PCW1" s="292"/>
      <c r="PCX1" s="292"/>
      <c r="PCY1" s="292"/>
      <c r="PCZ1" s="292"/>
      <c r="PDA1" s="292"/>
      <c r="PDB1" s="292"/>
      <c r="PDC1" s="292"/>
      <c r="PDD1" s="292"/>
      <c r="PDE1" s="292"/>
      <c r="PDF1" s="292"/>
      <c r="PDG1" s="292"/>
      <c r="PDH1" s="292"/>
      <c r="PDI1" s="292"/>
      <c r="PDJ1" s="292"/>
      <c r="PDK1" s="292"/>
      <c r="PDL1" s="292"/>
      <c r="PDM1" s="292"/>
      <c r="PDN1" s="292"/>
      <c r="PDO1" s="292"/>
      <c r="PDP1" s="292"/>
      <c r="PDQ1" s="292"/>
      <c r="PDR1" s="292"/>
      <c r="PDS1" s="292"/>
      <c r="PDT1" s="292"/>
      <c r="PDU1" s="292"/>
      <c r="PDV1" s="292"/>
      <c r="PDW1" s="292"/>
      <c r="PDX1" s="292"/>
      <c r="PDY1" s="292"/>
      <c r="PDZ1" s="292"/>
      <c r="PEA1" s="292"/>
      <c r="PEB1" s="292"/>
      <c r="PEC1" s="292"/>
      <c r="PED1" s="292"/>
      <c r="PEE1" s="292"/>
      <c r="PEF1" s="292"/>
      <c r="PEG1" s="292"/>
      <c r="PEH1" s="292"/>
      <c r="PEI1" s="292"/>
      <c r="PEJ1" s="292"/>
      <c r="PEK1" s="292"/>
      <c r="PEL1" s="292"/>
      <c r="PEM1" s="292"/>
      <c r="PEN1" s="292"/>
      <c r="PEO1" s="292"/>
      <c r="PEP1" s="292"/>
      <c r="PEQ1" s="292"/>
      <c r="PER1" s="292"/>
      <c r="PES1" s="292"/>
      <c r="PET1" s="292"/>
      <c r="PEU1" s="292"/>
      <c r="PEV1" s="292"/>
      <c r="PEW1" s="292"/>
      <c r="PEX1" s="292"/>
      <c r="PEY1" s="292"/>
      <c r="PEZ1" s="292"/>
      <c r="PFA1" s="292"/>
      <c r="PFB1" s="292"/>
      <c r="PFC1" s="292"/>
      <c r="PFD1" s="292"/>
      <c r="PFE1" s="292"/>
      <c r="PFF1" s="292"/>
      <c r="PFG1" s="292"/>
      <c r="PFH1" s="292"/>
      <c r="PFI1" s="292"/>
      <c r="PFJ1" s="292"/>
      <c r="PFK1" s="292"/>
      <c r="PFL1" s="292"/>
      <c r="PFM1" s="292"/>
      <c r="PFN1" s="292"/>
      <c r="PFO1" s="292"/>
      <c r="PFP1" s="292"/>
      <c r="PFQ1" s="292"/>
      <c r="PFR1" s="292"/>
      <c r="PFS1" s="292"/>
      <c r="PFT1" s="292"/>
      <c r="PFU1" s="292"/>
      <c r="PFV1" s="292"/>
      <c r="PFW1" s="292"/>
      <c r="PFX1" s="292"/>
      <c r="PFY1" s="292"/>
      <c r="PFZ1" s="292"/>
      <c r="PGA1" s="292"/>
      <c r="PGB1" s="292"/>
      <c r="PGC1" s="292"/>
      <c r="PGD1" s="292"/>
      <c r="PGE1" s="292"/>
      <c r="PGF1" s="292"/>
      <c r="PGG1" s="292"/>
      <c r="PGH1" s="292"/>
      <c r="PGI1" s="292"/>
      <c r="PGJ1" s="292"/>
      <c r="PGK1" s="292"/>
      <c r="PGL1" s="292"/>
      <c r="PGM1" s="292"/>
      <c r="PGN1" s="292"/>
      <c r="PGO1" s="292"/>
      <c r="PGP1" s="292"/>
      <c r="PGQ1" s="292"/>
      <c r="PGR1" s="292"/>
      <c r="PGS1" s="292"/>
      <c r="PGT1" s="292"/>
      <c r="PGU1" s="292"/>
      <c r="PGV1" s="292"/>
      <c r="PGW1" s="292"/>
      <c r="PGX1" s="292"/>
      <c r="PGY1" s="292"/>
      <c r="PGZ1" s="292"/>
      <c r="PHA1" s="292"/>
      <c r="PHB1" s="292"/>
      <c r="PHC1" s="292"/>
      <c r="PHD1" s="292"/>
      <c r="PHE1" s="292"/>
      <c r="PHF1" s="292"/>
      <c r="PHG1" s="292"/>
      <c r="PHH1" s="292"/>
      <c r="PHI1" s="292"/>
      <c r="PHJ1" s="292"/>
      <c r="PHK1" s="292"/>
      <c r="PHL1" s="292"/>
      <c r="PHM1" s="292"/>
      <c r="PHN1" s="292"/>
      <c r="PHO1" s="292"/>
      <c r="PHP1" s="292"/>
      <c r="PHQ1" s="292"/>
      <c r="PHR1" s="292"/>
      <c r="PHS1" s="292"/>
      <c r="PHT1" s="292"/>
      <c r="PHU1" s="292"/>
      <c r="PHV1" s="292"/>
      <c r="PHW1" s="292"/>
      <c r="PHX1" s="292"/>
      <c r="PHY1" s="292"/>
      <c r="PHZ1" s="292"/>
      <c r="PIA1" s="292"/>
      <c r="PIB1" s="292"/>
      <c r="PIC1" s="292"/>
      <c r="PID1" s="292"/>
      <c r="PIE1" s="292"/>
      <c r="PIF1" s="292"/>
      <c r="PIG1" s="292"/>
      <c r="PIH1" s="292"/>
      <c r="PII1" s="292"/>
      <c r="PIJ1" s="292"/>
      <c r="PIK1" s="292"/>
      <c r="PIL1" s="292"/>
      <c r="PIM1" s="292"/>
      <c r="PIN1" s="292"/>
      <c r="PIO1" s="292"/>
      <c r="PIP1" s="292"/>
      <c r="PIQ1" s="292"/>
      <c r="PIR1" s="292"/>
      <c r="PIS1" s="292"/>
      <c r="PIT1" s="292"/>
      <c r="PIU1" s="292"/>
      <c r="PIV1" s="292"/>
      <c r="PIW1" s="292"/>
      <c r="PIX1" s="292"/>
      <c r="PIY1" s="292"/>
      <c r="PIZ1" s="292"/>
      <c r="PJA1" s="292"/>
      <c r="PJB1" s="292"/>
      <c r="PJC1" s="292"/>
      <c r="PJD1" s="292"/>
      <c r="PJE1" s="292"/>
      <c r="PJF1" s="292"/>
      <c r="PJG1" s="292"/>
      <c r="PJH1" s="292"/>
      <c r="PJI1" s="292"/>
      <c r="PJJ1" s="292"/>
      <c r="PJK1" s="292"/>
      <c r="PJL1" s="292"/>
      <c r="PJM1" s="292"/>
      <c r="PJN1" s="292"/>
      <c r="PJO1" s="292"/>
      <c r="PJP1" s="292"/>
      <c r="PJQ1" s="292"/>
      <c r="PJR1" s="292"/>
      <c r="PJS1" s="292"/>
      <c r="PJT1" s="292"/>
      <c r="PJU1" s="292"/>
      <c r="PJV1" s="292"/>
      <c r="PJW1" s="292"/>
      <c r="PJX1" s="292"/>
      <c r="PJY1" s="292"/>
      <c r="PJZ1" s="292"/>
      <c r="PKA1" s="292"/>
      <c r="PKB1" s="292"/>
      <c r="PKC1" s="292"/>
      <c r="PKD1" s="292"/>
      <c r="PKE1" s="292"/>
      <c r="PKF1" s="292"/>
      <c r="PKG1" s="292"/>
      <c r="PKH1" s="292"/>
      <c r="PKI1" s="292"/>
      <c r="PKJ1" s="292"/>
      <c r="PKK1" s="292"/>
      <c r="PKL1" s="292"/>
      <c r="PKM1" s="292"/>
      <c r="PKN1" s="292"/>
      <c r="PKO1" s="292"/>
      <c r="PKP1" s="292"/>
      <c r="PKQ1" s="292"/>
      <c r="PKR1" s="292"/>
      <c r="PKS1" s="292"/>
      <c r="PKT1" s="292"/>
      <c r="PKU1" s="292"/>
      <c r="PKV1" s="292"/>
      <c r="PKW1" s="292"/>
      <c r="PKX1" s="292"/>
      <c r="PKY1" s="292"/>
      <c r="PKZ1" s="292"/>
      <c r="PLA1" s="292"/>
      <c r="PLB1" s="292"/>
      <c r="PLC1" s="292"/>
      <c r="PLD1" s="292"/>
      <c r="PLE1" s="292"/>
      <c r="PLF1" s="292"/>
      <c r="PLG1" s="292"/>
      <c r="PLH1" s="292"/>
      <c r="PLI1" s="292"/>
      <c r="PLJ1" s="292"/>
      <c r="PLK1" s="292"/>
      <c r="PLL1" s="292"/>
      <c r="PLM1" s="292"/>
      <c r="PLN1" s="292"/>
      <c r="PLO1" s="292"/>
      <c r="PLP1" s="292"/>
      <c r="PLQ1" s="292"/>
      <c r="PLR1" s="292"/>
      <c r="PLS1" s="292"/>
      <c r="PLT1" s="292"/>
      <c r="PLU1" s="292"/>
      <c r="PLV1" s="292"/>
      <c r="PLW1" s="292"/>
      <c r="PLX1" s="292"/>
      <c r="PLY1" s="292"/>
      <c r="PLZ1" s="292"/>
      <c r="PMA1" s="292"/>
      <c r="PMB1" s="292"/>
      <c r="PMC1" s="292"/>
      <c r="PMD1" s="292"/>
      <c r="PME1" s="292"/>
      <c r="PMF1" s="292"/>
      <c r="PMG1" s="292"/>
      <c r="PMH1" s="292"/>
      <c r="PMI1" s="292"/>
      <c r="PMJ1" s="292"/>
      <c r="PMK1" s="292"/>
      <c r="PML1" s="292"/>
      <c r="PMM1" s="292"/>
      <c r="PMN1" s="292"/>
      <c r="PMO1" s="292"/>
      <c r="PMP1" s="292"/>
      <c r="PMQ1" s="292"/>
      <c r="PMR1" s="292"/>
      <c r="PMS1" s="292"/>
      <c r="PMT1" s="292"/>
      <c r="PMU1" s="292"/>
      <c r="PMV1" s="292"/>
      <c r="PMW1" s="292"/>
      <c r="PMX1" s="292"/>
      <c r="PMY1" s="292"/>
      <c r="PMZ1" s="292"/>
      <c r="PNA1" s="292"/>
      <c r="PNB1" s="292"/>
      <c r="PNC1" s="292"/>
      <c r="PND1" s="292"/>
      <c r="PNE1" s="292"/>
      <c r="PNF1" s="292"/>
      <c r="PNG1" s="292"/>
      <c r="PNH1" s="292"/>
      <c r="PNI1" s="292"/>
      <c r="PNJ1" s="292"/>
      <c r="PNK1" s="292"/>
      <c r="PNL1" s="292"/>
      <c r="PNM1" s="292"/>
      <c r="PNN1" s="292"/>
      <c r="PNO1" s="292"/>
      <c r="PNP1" s="292"/>
      <c r="PNQ1" s="292"/>
      <c r="PNR1" s="292"/>
      <c r="PNS1" s="292"/>
      <c r="PNT1" s="292"/>
      <c r="PNU1" s="292"/>
      <c r="PNV1" s="292"/>
      <c r="PNW1" s="292"/>
      <c r="PNX1" s="292"/>
      <c r="PNY1" s="292"/>
      <c r="PNZ1" s="292"/>
      <c r="POA1" s="292"/>
      <c r="POB1" s="292"/>
      <c r="POC1" s="292"/>
      <c r="POD1" s="292"/>
      <c r="POE1" s="292"/>
      <c r="POF1" s="292"/>
      <c r="POG1" s="292"/>
      <c r="POH1" s="292"/>
      <c r="POI1" s="292"/>
      <c r="POJ1" s="292"/>
      <c r="POK1" s="292"/>
      <c r="POL1" s="292"/>
      <c r="POM1" s="292"/>
      <c r="PON1" s="292"/>
      <c r="POO1" s="292"/>
      <c r="POP1" s="292"/>
      <c r="POQ1" s="292"/>
      <c r="POR1" s="292"/>
      <c r="POS1" s="292"/>
      <c r="POT1" s="292"/>
      <c r="POU1" s="292"/>
      <c r="POV1" s="292"/>
      <c r="POW1" s="292"/>
      <c r="POX1" s="292"/>
      <c r="POY1" s="292"/>
      <c r="POZ1" s="292"/>
      <c r="PPA1" s="292"/>
      <c r="PPB1" s="292"/>
      <c r="PPC1" s="292"/>
      <c r="PPD1" s="292"/>
      <c r="PPE1" s="292"/>
      <c r="PPF1" s="292"/>
      <c r="PPG1" s="292"/>
      <c r="PPH1" s="292"/>
      <c r="PPI1" s="292"/>
      <c r="PPJ1" s="292"/>
      <c r="PPK1" s="292"/>
      <c r="PPL1" s="292"/>
      <c r="PPM1" s="292"/>
      <c r="PPN1" s="292"/>
      <c r="PPO1" s="292"/>
      <c r="PPP1" s="292"/>
      <c r="PPQ1" s="292"/>
      <c r="PPR1" s="292"/>
      <c r="PPS1" s="292"/>
      <c r="PPT1" s="292"/>
      <c r="PPU1" s="292"/>
      <c r="PPV1" s="292"/>
      <c r="PPW1" s="292"/>
      <c r="PPX1" s="292"/>
      <c r="PPY1" s="292"/>
      <c r="PPZ1" s="292"/>
      <c r="PQA1" s="292"/>
      <c r="PQB1" s="292"/>
      <c r="PQC1" s="292"/>
      <c r="PQD1" s="292"/>
      <c r="PQE1" s="292"/>
      <c r="PQF1" s="292"/>
      <c r="PQG1" s="292"/>
      <c r="PQH1" s="292"/>
      <c r="PQI1" s="292"/>
      <c r="PQJ1" s="292"/>
      <c r="PQK1" s="292"/>
      <c r="PQL1" s="292"/>
      <c r="PQM1" s="292"/>
      <c r="PQN1" s="292"/>
      <c r="PQO1" s="292"/>
      <c r="PQP1" s="292"/>
      <c r="PQQ1" s="292"/>
      <c r="PQR1" s="292"/>
      <c r="PQS1" s="292"/>
      <c r="PQT1" s="292"/>
      <c r="PQU1" s="292"/>
      <c r="PQV1" s="292"/>
      <c r="PQW1" s="292"/>
      <c r="PQX1" s="292"/>
      <c r="PQY1" s="292"/>
      <c r="PQZ1" s="292"/>
      <c r="PRA1" s="292"/>
      <c r="PRB1" s="292"/>
      <c r="PRC1" s="292"/>
      <c r="PRD1" s="292"/>
      <c r="PRE1" s="292"/>
      <c r="PRF1" s="292"/>
      <c r="PRG1" s="292"/>
      <c r="PRH1" s="292"/>
      <c r="PRI1" s="292"/>
      <c r="PRJ1" s="292"/>
      <c r="PRK1" s="292"/>
      <c r="PRL1" s="292"/>
      <c r="PRM1" s="292"/>
      <c r="PRN1" s="292"/>
      <c r="PRO1" s="292"/>
      <c r="PRP1" s="292"/>
      <c r="PRQ1" s="292"/>
      <c r="PRR1" s="292"/>
      <c r="PRS1" s="292"/>
      <c r="PRT1" s="292"/>
      <c r="PRU1" s="292"/>
      <c r="PRV1" s="292"/>
      <c r="PRW1" s="292"/>
      <c r="PRX1" s="292"/>
      <c r="PRY1" s="292"/>
      <c r="PRZ1" s="292"/>
      <c r="PSA1" s="292"/>
      <c r="PSB1" s="292"/>
      <c r="PSC1" s="292"/>
      <c r="PSD1" s="292"/>
      <c r="PSE1" s="292"/>
      <c r="PSF1" s="292"/>
      <c r="PSG1" s="292"/>
      <c r="PSH1" s="292"/>
      <c r="PSI1" s="292"/>
      <c r="PSJ1" s="292"/>
      <c r="PSK1" s="292"/>
      <c r="PSL1" s="292"/>
      <c r="PSM1" s="292"/>
      <c r="PSN1" s="292"/>
      <c r="PSO1" s="292"/>
      <c r="PSP1" s="292"/>
      <c r="PSQ1" s="292"/>
      <c r="PSR1" s="292"/>
      <c r="PSS1" s="292"/>
      <c r="PST1" s="292"/>
      <c r="PSU1" s="292"/>
      <c r="PSV1" s="292"/>
      <c r="PSW1" s="292"/>
      <c r="PSX1" s="292"/>
      <c r="PSY1" s="292"/>
      <c r="PSZ1" s="292"/>
      <c r="PTA1" s="292"/>
      <c r="PTB1" s="292"/>
      <c r="PTC1" s="292"/>
      <c r="PTD1" s="292"/>
      <c r="PTE1" s="292"/>
      <c r="PTF1" s="292"/>
      <c r="PTG1" s="292"/>
      <c r="PTH1" s="292"/>
      <c r="PTI1" s="292"/>
      <c r="PTJ1" s="292"/>
      <c r="PTK1" s="292"/>
      <c r="PTL1" s="292"/>
      <c r="PTM1" s="292"/>
      <c r="PTN1" s="292"/>
      <c r="PTO1" s="292"/>
      <c r="PTP1" s="292"/>
      <c r="PTQ1" s="292"/>
      <c r="PTR1" s="292"/>
      <c r="PTS1" s="292"/>
      <c r="PTT1" s="292"/>
      <c r="PTU1" s="292"/>
      <c r="PTV1" s="292"/>
      <c r="PTW1" s="292"/>
      <c r="PTX1" s="292"/>
      <c r="PTY1" s="292"/>
      <c r="PTZ1" s="292"/>
      <c r="PUA1" s="292"/>
      <c r="PUB1" s="292"/>
      <c r="PUC1" s="292"/>
      <c r="PUD1" s="292"/>
      <c r="PUE1" s="292"/>
      <c r="PUF1" s="292"/>
      <c r="PUG1" s="292"/>
      <c r="PUH1" s="292"/>
      <c r="PUI1" s="292"/>
      <c r="PUJ1" s="292"/>
      <c r="PUK1" s="292"/>
      <c r="PUL1" s="292"/>
      <c r="PUM1" s="292"/>
      <c r="PUN1" s="292"/>
      <c r="PUO1" s="292"/>
      <c r="PUP1" s="292"/>
      <c r="PUQ1" s="292"/>
      <c r="PUR1" s="292"/>
      <c r="PUS1" s="292"/>
      <c r="PUT1" s="292"/>
      <c r="PUU1" s="292"/>
      <c r="PUV1" s="292"/>
      <c r="PUW1" s="292"/>
      <c r="PUX1" s="292"/>
      <c r="PUY1" s="292"/>
      <c r="PUZ1" s="292"/>
      <c r="PVA1" s="292"/>
      <c r="PVB1" s="292"/>
      <c r="PVC1" s="292"/>
      <c r="PVD1" s="292"/>
      <c r="PVE1" s="292"/>
      <c r="PVF1" s="292"/>
      <c r="PVG1" s="292"/>
      <c r="PVH1" s="292"/>
      <c r="PVI1" s="292"/>
      <c r="PVJ1" s="292"/>
      <c r="PVK1" s="292"/>
      <c r="PVL1" s="292"/>
      <c r="PVM1" s="292"/>
      <c r="PVN1" s="292"/>
      <c r="PVO1" s="292"/>
      <c r="PVP1" s="292"/>
      <c r="PVQ1" s="292"/>
      <c r="PVR1" s="292"/>
      <c r="PVS1" s="292"/>
      <c r="PVT1" s="292"/>
      <c r="PVU1" s="292"/>
      <c r="PVV1" s="292"/>
      <c r="PVW1" s="292"/>
      <c r="PVX1" s="292"/>
      <c r="PVY1" s="292"/>
      <c r="PVZ1" s="292"/>
      <c r="PWA1" s="292"/>
      <c r="PWB1" s="292"/>
      <c r="PWC1" s="292"/>
      <c r="PWD1" s="292"/>
      <c r="PWE1" s="292"/>
      <c r="PWF1" s="292"/>
      <c r="PWG1" s="292"/>
      <c r="PWH1" s="292"/>
      <c r="PWI1" s="292"/>
      <c r="PWJ1" s="292"/>
      <c r="PWK1" s="292"/>
      <c r="PWL1" s="292"/>
      <c r="PWM1" s="292"/>
      <c r="PWN1" s="292"/>
      <c r="PWO1" s="292"/>
      <c r="PWP1" s="292"/>
      <c r="PWQ1" s="292"/>
      <c r="PWR1" s="292"/>
      <c r="PWS1" s="292"/>
      <c r="PWT1" s="292"/>
      <c r="PWU1" s="292"/>
      <c r="PWV1" s="292"/>
      <c r="PWW1" s="292"/>
      <c r="PWX1" s="292"/>
      <c r="PWY1" s="292"/>
      <c r="PWZ1" s="292"/>
      <c r="PXA1" s="292"/>
      <c r="PXB1" s="292"/>
      <c r="PXC1" s="292"/>
      <c r="PXD1" s="292"/>
      <c r="PXE1" s="292"/>
      <c r="PXF1" s="292"/>
      <c r="PXG1" s="292"/>
      <c r="PXH1" s="292"/>
      <c r="PXI1" s="292"/>
      <c r="PXJ1" s="292"/>
      <c r="PXK1" s="292"/>
      <c r="PXL1" s="292"/>
      <c r="PXM1" s="292"/>
      <c r="PXN1" s="292"/>
      <c r="PXO1" s="292"/>
      <c r="PXP1" s="292"/>
      <c r="PXQ1" s="292"/>
      <c r="PXR1" s="292"/>
      <c r="PXS1" s="292"/>
      <c r="PXT1" s="292"/>
      <c r="PXU1" s="292"/>
      <c r="PXV1" s="292"/>
      <c r="PXW1" s="292"/>
      <c r="PXX1" s="292"/>
      <c r="PXY1" s="292"/>
      <c r="PXZ1" s="292"/>
      <c r="PYA1" s="292"/>
      <c r="PYB1" s="292"/>
      <c r="PYC1" s="292"/>
      <c r="PYD1" s="292"/>
      <c r="PYE1" s="292"/>
      <c r="PYF1" s="292"/>
      <c r="PYG1" s="292"/>
      <c r="PYH1" s="292"/>
      <c r="PYI1" s="292"/>
      <c r="PYJ1" s="292"/>
      <c r="PYK1" s="292"/>
      <c r="PYL1" s="292"/>
      <c r="PYM1" s="292"/>
      <c r="PYN1" s="292"/>
      <c r="PYO1" s="292"/>
      <c r="PYP1" s="292"/>
      <c r="PYQ1" s="292"/>
      <c r="PYR1" s="292"/>
      <c r="PYS1" s="292"/>
      <c r="PYT1" s="292"/>
      <c r="PYU1" s="292"/>
      <c r="PYV1" s="292"/>
      <c r="PYW1" s="292"/>
      <c r="PYX1" s="292"/>
      <c r="PYY1" s="292"/>
      <c r="PYZ1" s="292"/>
      <c r="PZA1" s="292"/>
      <c r="PZB1" s="292"/>
      <c r="PZC1" s="292"/>
      <c r="PZD1" s="292"/>
      <c r="PZE1" s="292"/>
      <c r="PZF1" s="292"/>
      <c r="PZG1" s="292"/>
      <c r="PZH1" s="292"/>
      <c r="PZI1" s="292"/>
      <c r="PZJ1" s="292"/>
      <c r="PZK1" s="292"/>
      <c r="PZL1" s="292"/>
      <c r="PZM1" s="292"/>
      <c r="PZN1" s="292"/>
      <c r="PZO1" s="292"/>
      <c r="PZP1" s="292"/>
      <c r="PZQ1" s="292"/>
      <c r="PZR1" s="292"/>
      <c r="PZS1" s="292"/>
      <c r="PZT1" s="292"/>
      <c r="PZU1" s="292"/>
      <c r="PZV1" s="292"/>
      <c r="PZW1" s="292"/>
      <c r="PZX1" s="292"/>
      <c r="PZY1" s="292"/>
      <c r="PZZ1" s="292"/>
      <c r="QAA1" s="292"/>
      <c r="QAB1" s="292"/>
      <c r="QAC1" s="292"/>
      <c r="QAD1" s="292"/>
      <c r="QAE1" s="292"/>
      <c r="QAF1" s="292"/>
      <c r="QAG1" s="292"/>
      <c r="QAH1" s="292"/>
      <c r="QAI1" s="292"/>
      <c r="QAJ1" s="292"/>
      <c r="QAK1" s="292"/>
      <c r="QAL1" s="292"/>
      <c r="QAM1" s="292"/>
      <c r="QAN1" s="292"/>
      <c r="QAO1" s="292"/>
      <c r="QAP1" s="292"/>
      <c r="QAQ1" s="292"/>
      <c r="QAR1" s="292"/>
      <c r="QAS1" s="292"/>
      <c r="QAT1" s="292"/>
      <c r="QAU1" s="292"/>
      <c r="QAV1" s="292"/>
      <c r="QAW1" s="292"/>
      <c r="QAX1" s="292"/>
      <c r="QAY1" s="292"/>
      <c r="QAZ1" s="292"/>
      <c r="QBA1" s="292"/>
      <c r="QBB1" s="292"/>
      <c r="QBC1" s="292"/>
      <c r="QBD1" s="292"/>
      <c r="QBE1" s="292"/>
      <c r="QBF1" s="292"/>
      <c r="QBG1" s="292"/>
      <c r="QBH1" s="292"/>
      <c r="QBI1" s="292"/>
      <c r="QBJ1" s="292"/>
      <c r="QBK1" s="292"/>
      <c r="QBL1" s="292"/>
      <c r="QBM1" s="292"/>
      <c r="QBN1" s="292"/>
      <c r="QBO1" s="292"/>
      <c r="QBP1" s="292"/>
      <c r="QBQ1" s="292"/>
      <c r="QBR1" s="292"/>
      <c r="QBS1" s="292"/>
      <c r="QBT1" s="292"/>
      <c r="QBU1" s="292"/>
      <c r="QBV1" s="292"/>
      <c r="QBW1" s="292"/>
      <c r="QBX1" s="292"/>
      <c r="QBY1" s="292"/>
      <c r="QBZ1" s="292"/>
      <c r="QCA1" s="292"/>
      <c r="QCB1" s="292"/>
      <c r="QCC1" s="292"/>
      <c r="QCD1" s="292"/>
      <c r="QCE1" s="292"/>
      <c r="QCF1" s="292"/>
      <c r="QCG1" s="292"/>
      <c r="QCH1" s="292"/>
      <c r="QCI1" s="292"/>
      <c r="QCJ1" s="292"/>
      <c r="QCK1" s="292"/>
      <c r="QCL1" s="292"/>
      <c r="QCM1" s="292"/>
      <c r="QCN1" s="292"/>
      <c r="QCO1" s="292"/>
      <c r="QCP1" s="292"/>
      <c r="QCQ1" s="292"/>
      <c r="QCR1" s="292"/>
      <c r="QCS1" s="292"/>
      <c r="QCT1" s="292"/>
      <c r="QCU1" s="292"/>
      <c r="QCV1" s="292"/>
      <c r="QCW1" s="292"/>
      <c r="QCX1" s="292"/>
      <c r="QCY1" s="292"/>
      <c r="QCZ1" s="292"/>
      <c r="QDA1" s="292"/>
      <c r="QDB1" s="292"/>
      <c r="QDC1" s="292"/>
      <c r="QDD1" s="292"/>
      <c r="QDE1" s="292"/>
      <c r="QDF1" s="292"/>
      <c r="QDG1" s="292"/>
      <c r="QDH1" s="292"/>
      <c r="QDI1" s="292"/>
      <c r="QDJ1" s="292"/>
      <c r="QDK1" s="292"/>
      <c r="QDL1" s="292"/>
      <c r="QDM1" s="292"/>
      <c r="QDN1" s="292"/>
      <c r="QDO1" s="292"/>
      <c r="QDP1" s="292"/>
      <c r="QDQ1" s="292"/>
      <c r="QDR1" s="292"/>
      <c r="QDS1" s="292"/>
      <c r="QDT1" s="292"/>
      <c r="QDU1" s="292"/>
      <c r="QDV1" s="292"/>
      <c r="QDW1" s="292"/>
      <c r="QDX1" s="292"/>
      <c r="QDY1" s="292"/>
      <c r="QDZ1" s="292"/>
      <c r="QEA1" s="292"/>
      <c r="QEB1" s="292"/>
      <c r="QEC1" s="292"/>
      <c r="QED1" s="292"/>
      <c r="QEE1" s="292"/>
      <c r="QEF1" s="292"/>
      <c r="QEG1" s="292"/>
      <c r="QEH1" s="292"/>
      <c r="QEI1" s="292"/>
      <c r="QEJ1" s="292"/>
      <c r="QEK1" s="292"/>
      <c r="QEL1" s="292"/>
      <c r="QEM1" s="292"/>
      <c r="QEN1" s="292"/>
      <c r="QEO1" s="292"/>
      <c r="QEP1" s="292"/>
      <c r="QEQ1" s="292"/>
      <c r="QER1" s="292"/>
      <c r="QES1" s="292"/>
      <c r="QET1" s="292"/>
      <c r="QEU1" s="292"/>
      <c r="QEV1" s="292"/>
      <c r="QEW1" s="292"/>
      <c r="QEX1" s="292"/>
      <c r="QEY1" s="292"/>
      <c r="QEZ1" s="292"/>
      <c r="QFA1" s="292"/>
      <c r="QFB1" s="292"/>
      <c r="QFC1" s="292"/>
      <c r="QFD1" s="292"/>
      <c r="QFE1" s="292"/>
      <c r="QFF1" s="292"/>
      <c r="QFG1" s="292"/>
      <c r="QFH1" s="292"/>
      <c r="QFI1" s="292"/>
      <c r="QFJ1" s="292"/>
      <c r="QFK1" s="292"/>
      <c r="QFL1" s="292"/>
      <c r="QFM1" s="292"/>
      <c r="QFN1" s="292"/>
      <c r="QFO1" s="292"/>
      <c r="QFP1" s="292"/>
      <c r="QFQ1" s="292"/>
      <c r="QFR1" s="292"/>
      <c r="QFS1" s="292"/>
      <c r="QFT1" s="292"/>
      <c r="QFU1" s="292"/>
      <c r="QFV1" s="292"/>
      <c r="QFW1" s="292"/>
      <c r="QFX1" s="292"/>
      <c r="QFY1" s="292"/>
      <c r="QFZ1" s="292"/>
      <c r="QGA1" s="292"/>
      <c r="QGB1" s="292"/>
      <c r="QGC1" s="292"/>
      <c r="QGD1" s="292"/>
      <c r="QGE1" s="292"/>
      <c r="QGF1" s="292"/>
      <c r="QGG1" s="292"/>
      <c r="QGH1" s="292"/>
      <c r="QGI1" s="292"/>
      <c r="QGJ1" s="292"/>
      <c r="QGK1" s="292"/>
      <c r="QGL1" s="292"/>
      <c r="QGM1" s="292"/>
      <c r="QGN1" s="292"/>
      <c r="QGO1" s="292"/>
      <c r="QGP1" s="292"/>
      <c r="QGQ1" s="292"/>
      <c r="QGR1" s="292"/>
      <c r="QGS1" s="292"/>
      <c r="QGT1" s="292"/>
      <c r="QGU1" s="292"/>
      <c r="QGV1" s="292"/>
      <c r="QGW1" s="292"/>
      <c r="QGX1" s="292"/>
      <c r="QGY1" s="292"/>
      <c r="QGZ1" s="292"/>
      <c r="QHA1" s="292"/>
      <c r="QHB1" s="292"/>
      <c r="QHC1" s="292"/>
      <c r="QHD1" s="292"/>
      <c r="QHE1" s="292"/>
      <c r="QHF1" s="292"/>
      <c r="QHG1" s="292"/>
      <c r="QHH1" s="292"/>
      <c r="QHI1" s="292"/>
      <c r="QHJ1" s="292"/>
      <c r="QHK1" s="292"/>
      <c r="QHL1" s="292"/>
      <c r="QHM1" s="292"/>
      <c r="QHN1" s="292"/>
      <c r="QHO1" s="292"/>
      <c r="QHP1" s="292"/>
      <c r="QHQ1" s="292"/>
      <c r="QHR1" s="292"/>
      <c r="QHS1" s="292"/>
      <c r="QHT1" s="292"/>
      <c r="QHU1" s="292"/>
      <c r="QHV1" s="292"/>
      <c r="QHW1" s="292"/>
      <c r="QHX1" s="292"/>
      <c r="QHY1" s="292"/>
      <c r="QHZ1" s="292"/>
      <c r="QIA1" s="292"/>
      <c r="QIB1" s="292"/>
      <c r="QIC1" s="292"/>
      <c r="QID1" s="292"/>
      <c r="QIE1" s="292"/>
      <c r="QIF1" s="292"/>
      <c r="QIG1" s="292"/>
      <c r="QIH1" s="292"/>
      <c r="QII1" s="292"/>
      <c r="QIJ1" s="292"/>
      <c r="QIK1" s="292"/>
      <c r="QIL1" s="292"/>
      <c r="QIM1" s="292"/>
      <c r="QIN1" s="292"/>
      <c r="QIO1" s="292"/>
      <c r="QIP1" s="292"/>
      <c r="QIQ1" s="292"/>
      <c r="QIR1" s="292"/>
      <c r="QIS1" s="292"/>
      <c r="QIT1" s="292"/>
      <c r="QIU1" s="292"/>
      <c r="QIV1" s="292"/>
      <c r="QIW1" s="292"/>
      <c r="QIX1" s="292"/>
      <c r="QIY1" s="292"/>
      <c r="QIZ1" s="292"/>
      <c r="QJA1" s="292"/>
      <c r="QJB1" s="292"/>
      <c r="QJC1" s="292"/>
      <c r="QJD1" s="292"/>
      <c r="QJE1" s="292"/>
      <c r="QJF1" s="292"/>
      <c r="QJG1" s="292"/>
      <c r="QJH1" s="292"/>
      <c r="QJI1" s="292"/>
      <c r="QJJ1" s="292"/>
      <c r="QJK1" s="292"/>
      <c r="QJL1" s="292"/>
      <c r="QJM1" s="292"/>
      <c r="QJN1" s="292"/>
      <c r="QJO1" s="292"/>
      <c r="QJP1" s="292"/>
      <c r="QJQ1" s="292"/>
      <c r="QJR1" s="292"/>
      <c r="QJS1" s="292"/>
      <c r="QJT1" s="292"/>
      <c r="QJU1" s="292"/>
      <c r="QJV1" s="292"/>
      <c r="QJW1" s="292"/>
      <c r="QJX1" s="292"/>
      <c r="QJY1" s="292"/>
      <c r="QJZ1" s="292"/>
      <c r="QKA1" s="292"/>
      <c r="QKB1" s="292"/>
      <c r="QKC1" s="292"/>
      <c r="QKD1" s="292"/>
      <c r="QKE1" s="292"/>
      <c r="QKF1" s="292"/>
      <c r="QKG1" s="292"/>
      <c r="QKH1" s="292"/>
      <c r="QKI1" s="292"/>
      <c r="QKJ1" s="292"/>
      <c r="QKK1" s="292"/>
      <c r="QKL1" s="292"/>
      <c r="QKM1" s="292"/>
      <c r="QKN1" s="292"/>
      <c r="QKO1" s="292"/>
      <c r="QKP1" s="292"/>
      <c r="QKQ1" s="292"/>
      <c r="QKR1" s="292"/>
      <c r="QKS1" s="292"/>
      <c r="QKT1" s="292"/>
      <c r="QKU1" s="292"/>
      <c r="QKV1" s="292"/>
      <c r="QKW1" s="292"/>
      <c r="QKX1" s="292"/>
      <c r="QKY1" s="292"/>
      <c r="QKZ1" s="292"/>
      <c r="QLA1" s="292"/>
      <c r="QLB1" s="292"/>
      <c r="QLC1" s="292"/>
      <c r="QLD1" s="292"/>
      <c r="QLE1" s="292"/>
      <c r="QLF1" s="292"/>
      <c r="QLG1" s="292"/>
      <c r="QLH1" s="292"/>
      <c r="QLI1" s="292"/>
      <c r="QLJ1" s="292"/>
      <c r="QLK1" s="292"/>
      <c r="QLL1" s="292"/>
      <c r="QLM1" s="292"/>
      <c r="QLN1" s="292"/>
      <c r="QLO1" s="292"/>
      <c r="QLP1" s="292"/>
      <c r="QLQ1" s="292"/>
      <c r="QLR1" s="292"/>
      <c r="QLS1" s="292"/>
      <c r="QLT1" s="292"/>
      <c r="QLU1" s="292"/>
      <c r="QLV1" s="292"/>
      <c r="QLW1" s="292"/>
      <c r="QLX1" s="292"/>
      <c r="QLY1" s="292"/>
      <c r="QLZ1" s="292"/>
      <c r="QMA1" s="292"/>
      <c r="QMB1" s="292"/>
      <c r="QMC1" s="292"/>
      <c r="QMD1" s="292"/>
      <c r="QME1" s="292"/>
      <c r="QMF1" s="292"/>
      <c r="QMG1" s="292"/>
      <c r="QMH1" s="292"/>
      <c r="QMI1" s="292"/>
      <c r="QMJ1" s="292"/>
      <c r="QMK1" s="292"/>
      <c r="QML1" s="292"/>
      <c r="QMM1" s="292"/>
      <c r="QMN1" s="292"/>
      <c r="QMO1" s="292"/>
      <c r="QMP1" s="292"/>
      <c r="QMQ1" s="292"/>
      <c r="QMR1" s="292"/>
      <c r="QMS1" s="292"/>
      <c r="QMT1" s="292"/>
      <c r="QMU1" s="292"/>
      <c r="QMV1" s="292"/>
      <c r="QMW1" s="292"/>
      <c r="QMX1" s="292"/>
      <c r="QMY1" s="292"/>
      <c r="QMZ1" s="292"/>
      <c r="QNA1" s="292"/>
      <c r="QNB1" s="292"/>
      <c r="QNC1" s="292"/>
      <c r="QND1" s="292"/>
      <c r="QNE1" s="292"/>
      <c r="QNF1" s="292"/>
      <c r="QNG1" s="292"/>
      <c r="QNH1" s="292"/>
      <c r="QNI1" s="292"/>
      <c r="QNJ1" s="292"/>
      <c r="QNK1" s="292"/>
      <c r="QNL1" s="292"/>
      <c r="QNM1" s="292"/>
      <c r="QNN1" s="292"/>
      <c r="QNO1" s="292"/>
      <c r="QNP1" s="292"/>
      <c r="QNQ1" s="292"/>
      <c r="QNR1" s="292"/>
      <c r="QNS1" s="292"/>
      <c r="QNT1" s="292"/>
      <c r="QNU1" s="292"/>
      <c r="QNV1" s="292"/>
      <c r="QNW1" s="292"/>
      <c r="QNX1" s="292"/>
      <c r="QNY1" s="292"/>
      <c r="QNZ1" s="292"/>
      <c r="QOA1" s="292"/>
      <c r="QOB1" s="292"/>
      <c r="QOC1" s="292"/>
      <c r="QOD1" s="292"/>
      <c r="QOE1" s="292"/>
      <c r="QOF1" s="292"/>
      <c r="QOG1" s="292"/>
      <c r="QOH1" s="292"/>
      <c r="QOI1" s="292"/>
      <c r="QOJ1" s="292"/>
      <c r="QOK1" s="292"/>
      <c r="QOL1" s="292"/>
      <c r="QOM1" s="292"/>
      <c r="QON1" s="292"/>
      <c r="QOO1" s="292"/>
      <c r="QOP1" s="292"/>
      <c r="QOQ1" s="292"/>
      <c r="QOR1" s="292"/>
      <c r="QOS1" s="292"/>
      <c r="QOT1" s="292"/>
      <c r="QOU1" s="292"/>
      <c r="QOV1" s="292"/>
      <c r="QOW1" s="292"/>
      <c r="QOX1" s="292"/>
      <c r="QOY1" s="292"/>
      <c r="QOZ1" s="292"/>
      <c r="QPA1" s="292"/>
      <c r="QPB1" s="292"/>
      <c r="QPC1" s="292"/>
      <c r="QPD1" s="292"/>
      <c r="QPE1" s="292"/>
      <c r="QPF1" s="292"/>
      <c r="QPG1" s="292"/>
      <c r="QPH1" s="292"/>
      <c r="QPI1" s="292"/>
      <c r="QPJ1" s="292"/>
      <c r="QPK1" s="292"/>
      <c r="QPL1" s="292"/>
      <c r="QPM1" s="292"/>
      <c r="QPN1" s="292"/>
      <c r="QPO1" s="292"/>
      <c r="QPP1" s="292"/>
      <c r="QPQ1" s="292"/>
      <c r="QPR1" s="292"/>
      <c r="QPS1" s="292"/>
      <c r="QPT1" s="292"/>
      <c r="QPU1" s="292"/>
      <c r="QPV1" s="292"/>
      <c r="QPW1" s="292"/>
      <c r="QPX1" s="292"/>
      <c r="QPY1" s="292"/>
      <c r="QPZ1" s="292"/>
      <c r="QQA1" s="292"/>
      <c r="QQB1" s="292"/>
      <c r="QQC1" s="292"/>
      <c r="QQD1" s="292"/>
      <c r="QQE1" s="292"/>
      <c r="QQF1" s="292"/>
      <c r="QQG1" s="292"/>
      <c r="QQH1" s="292"/>
      <c r="QQI1" s="292"/>
      <c r="QQJ1" s="292"/>
      <c r="QQK1" s="292"/>
      <c r="QQL1" s="292"/>
      <c r="QQM1" s="292"/>
      <c r="QQN1" s="292"/>
      <c r="QQO1" s="292"/>
      <c r="QQP1" s="292"/>
      <c r="QQQ1" s="292"/>
      <c r="QQR1" s="292"/>
      <c r="QQS1" s="292"/>
      <c r="QQT1" s="292"/>
      <c r="QQU1" s="292"/>
      <c r="QQV1" s="292"/>
      <c r="QQW1" s="292"/>
      <c r="QQX1" s="292"/>
      <c r="QQY1" s="292"/>
      <c r="QQZ1" s="292"/>
      <c r="QRA1" s="292"/>
      <c r="QRB1" s="292"/>
      <c r="QRC1" s="292"/>
      <c r="QRD1" s="292"/>
      <c r="QRE1" s="292"/>
      <c r="QRF1" s="292"/>
      <c r="QRG1" s="292"/>
      <c r="QRH1" s="292"/>
      <c r="QRI1" s="292"/>
      <c r="QRJ1" s="292"/>
      <c r="QRK1" s="292"/>
      <c r="QRL1" s="292"/>
      <c r="QRM1" s="292"/>
      <c r="QRN1" s="292"/>
      <c r="QRO1" s="292"/>
      <c r="QRP1" s="292"/>
      <c r="QRQ1" s="292"/>
      <c r="QRR1" s="292"/>
      <c r="QRS1" s="292"/>
      <c r="QRT1" s="292"/>
      <c r="QRU1" s="292"/>
      <c r="QRV1" s="292"/>
      <c r="QRW1" s="292"/>
      <c r="QRX1" s="292"/>
      <c r="QRY1" s="292"/>
      <c r="QRZ1" s="292"/>
      <c r="QSA1" s="292"/>
      <c r="QSB1" s="292"/>
      <c r="QSC1" s="292"/>
      <c r="QSD1" s="292"/>
      <c r="QSE1" s="292"/>
      <c r="QSF1" s="292"/>
      <c r="QSG1" s="292"/>
      <c r="QSH1" s="292"/>
      <c r="QSI1" s="292"/>
      <c r="QSJ1" s="292"/>
      <c r="QSK1" s="292"/>
      <c r="QSL1" s="292"/>
      <c r="QSM1" s="292"/>
      <c r="QSN1" s="292"/>
      <c r="QSO1" s="292"/>
      <c r="QSP1" s="292"/>
      <c r="QSQ1" s="292"/>
      <c r="QSR1" s="292"/>
      <c r="QSS1" s="292"/>
      <c r="QST1" s="292"/>
      <c r="QSU1" s="292"/>
      <c r="QSV1" s="292"/>
      <c r="QSW1" s="292"/>
      <c r="QSX1" s="292"/>
      <c r="QSY1" s="292"/>
      <c r="QSZ1" s="292"/>
      <c r="QTA1" s="292"/>
      <c r="QTB1" s="292"/>
      <c r="QTC1" s="292"/>
      <c r="QTD1" s="292"/>
      <c r="QTE1" s="292"/>
      <c r="QTF1" s="292"/>
      <c r="QTG1" s="292"/>
      <c r="QTH1" s="292"/>
      <c r="QTI1" s="292"/>
      <c r="QTJ1" s="292"/>
      <c r="QTK1" s="292"/>
      <c r="QTL1" s="292"/>
      <c r="QTM1" s="292"/>
      <c r="QTN1" s="292"/>
      <c r="QTO1" s="292"/>
      <c r="QTP1" s="292"/>
      <c r="QTQ1" s="292"/>
      <c r="QTR1" s="292"/>
      <c r="QTS1" s="292"/>
      <c r="QTT1" s="292"/>
      <c r="QTU1" s="292"/>
      <c r="QTV1" s="292"/>
      <c r="QTW1" s="292"/>
      <c r="QTX1" s="292"/>
      <c r="QTY1" s="292"/>
      <c r="QTZ1" s="292"/>
      <c r="QUA1" s="292"/>
      <c r="QUB1" s="292"/>
      <c r="QUC1" s="292"/>
      <c r="QUD1" s="292"/>
      <c r="QUE1" s="292"/>
      <c r="QUF1" s="292"/>
      <c r="QUG1" s="292"/>
      <c r="QUH1" s="292"/>
      <c r="QUI1" s="292"/>
      <c r="QUJ1" s="292"/>
      <c r="QUK1" s="292"/>
      <c r="QUL1" s="292"/>
      <c r="QUM1" s="292"/>
      <c r="QUN1" s="292"/>
      <c r="QUO1" s="292"/>
      <c r="QUP1" s="292"/>
      <c r="QUQ1" s="292"/>
      <c r="QUR1" s="292"/>
      <c r="QUS1" s="292"/>
      <c r="QUT1" s="292"/>
      <c r="QUU1" s="292"/>
      <c r="QUV1" s="292"/>
      <c r="QUW1" s="292"/>
      <c r="QUX1" s="292"/>
      <c r="QUY1" s="292"/>
      <c r="QUZ1" s="292"/>
      <c r="QVA1" s="292"/>
      <c r="QVB1" s="292"/>
      <c r="QVC1" s="292"/>
      <c r="QVD1" s="292"/>
      <c r="QVE1" s="292"/>
      <c r="QVF1" s="292"/>
      <c r="QVG1" s="292"/>
      <c r="QVH1" s="292"/>
      <c r="QVI1" s="292"/>
      <c r="QVJ1" s="292"/>
      <c r="QVK1" s="292"/>
      <c r="QVL1" s="292"/>
      <c r="QVM1" s="292"/>
      <c r="QVN1" s="292"/>
      <c r="QVO1" s="292"/>
      <c r="QVP1" s="292"/>
      <c r="QVQ1" s="292"/>
      <c r="QVR1" s="292"/>
      <c r="QVS1" s="292"/>
      <c r="QVT1" s="292"/>
      <c r="QVU1" s="292"/>
      <c r="QVV1" s="292"/>
      <c r="QVW1" s="292"/>
      <c r="QVX1" s="292"/>
      <c r="QVY1" s="292"/>
      <c r="QVZ1" s="292"/>
      <c r="QWA1" s="292"/>
      <c r="QWB1" s="292"/>
      <c r="QWC1" s="292"/>
      <c r="QWD1" s="292"/>
      <c r="QWE1" s="292"/>
      <c r="QWF1" s="292"/>
      <c r="QWG1" s="292"/>
      <c r="QWH1" s="292"/>
      <c r="QWI1" s="292"/>
      <c r="QWJ1" s="292"/>
      <c r="QWK1" s="292"/>
      <c r="QWL1" s="292"/>
      <c r="QWM1" s="292"/>
      <c r="QWN1" s="292"/>
      <c r="QWO1" s="292"/>
      <c r="QWP1" s="292"/>
      <c r="QWQ1" s="292"/>
      <c r="QWR1" s="292"/>
      <c r="QWS1" s="292"/>
      <c r="QWT1" s="292"/>
      <c r="QWU1" s="292"/>
      <c r="QWV1" s="292"/>
      <c r="QWW1" s="292"/>
      <c r="QWX1" s="292"/>
      <c r="QWY1" s="292"/>
      <c r="QWZ1" s="292"/>
      <c r="QXA1" s="292"/>
      <c r="QXB1" s="292"/>
      <c r="QXC1" s="292"/>
      <c r="QXD1" s="292"/>
      <c r="QXE1" s="292"/>
      <c r="QXF1" s="292"/>
      <c r="QXG1" s="292"/>
      <c r="QXH1" s="292"/>
      <c r="QXI1" s="292"/>
      <c r="QXJ1" s="292"/>
      <c r="QXK1" s="292"/>
      <c r="QXL1" s="292"/>
      <c r="QXM1" s="292"/>
      <c r="QXN1" s="292"/>
      <c r="QXO1" s="292"/>
      <c r="QXP1" s="292"/>
      <c r="QXQ1" s="292"/>
      <c r="QXR1" s="292"/>
      <c r="QXS1" s="292"/>
      <c r="QXT1" s="292"/>
      <c r="QXU1" s="292"/>
      <c r="QXV1" s="292"/>
      <c r="QXW1" s="292"/>
      <c r="QXX1" s="292"/>
      <c r="QXY1" s="292"/>
      <c r="QXZ1" s="292"/>
      <c r="QYA1" s="292"/>
      <c r="QYB1" s="292"/>
      <c r="QYC1" s="292"/>
      <c r="QYD1" s="292"/>
      <c r="QYE1" s="292"/>
      <c r="QYF1" s="292"/>
      <c r="QYG1" s="292"/>
      <c r="QYH1" s="292"/>
      <c r="QYI1" s="292"/>
      <c r="QYJ1" s="292"/>
      <c r="QYK1" s="292"/>
      <c r="QYL1" s="292"/>
      <c r="QYM1" s="292"/>
      <c r="QYN1" s="292"/>
      <c r="QYO1" s="292"/>
      <c r="QYP1" s="292"/>
      <c r="QYQ1" s="292"/>
      <c r="QYR1" s="292"/>
      <c r="QYS1" s="292"/>
      <c r="QYT1" s="292"/>
      <c r="QYU1" s="292"/>
      <c r="QYV1" s="292"/>
      <c r="QYW1" s="292"/>
      <c r="QYX1" s="292"/>
      <c r="QYY1" s="292"/>
      <c r="QYZ1" s="292"/>
      <c r="QZA1" s="292"/>
      <c r="QZB1" s="292"/>
      <c r="QZC1" s="292"/>
      <c r="QZD1" s="292"/>
      <c r="QZE1" s="292"/>
      <c r="QZF1" s="292"/>
      <c r="QZG1" s="292"/>
      <c r="QZH1" s="292"/>
      <c r="QZI1" s="292"/>
      <c r="QZJ1" s="292"/>
      <c r="QZK1" s="292"/>
      <c r="QZL1" s="292"/>
      <c r="QZM1" s="292"/>
      <c r="QZN1" s="292"/>
      <c r="QZO1" s="292"/>
      <c r="QZP1" s="292"/>
      <c r="QZQ1" s="292"/>
      <c r="QZR1" s="292"/>
      <c r="QZS1" s="292"/>
      <c r="QZT1" s="292"/>
      <c r="QZU1" s="292"/>
      <c r="QZV1" s="292"/>
      <c r="QZW1" s="292"/>
      <c r="QZX1" s="292"/>
      <c r="QZY1" s="292"/>
      <c r="QZZ1" s="292"/>
      <c r="RAA1" s="292"/>
      <c r="RAB1" s="292"/>
      <c r="RAC1" s="292"/>
      <c r="RAD1" s="292"/>
      <c r="RAE1" s="292"/>
      <c r="RAF1" s="292"/>
      <c r="RAG1" s="292"/>
      <c r="RAH1" s="292"/>
      <c r="RAI1" s="292"/>
      <c r="RAJ1" s="292"/>
      <c r="RAK1" s="292"/>
      <c r="RAL1" s="292"/>
      <c r="RAM1" s="292"/>
      <c r="RAN1" s="292"/>
      <c r="RAO1" s="292"/>
      <c r="RAP1" s="292"/>
      <c r="RAQ1" s="292"/>
      <c r="RAR1" s="292"/>
      <c r="RAS1" s="292"/>
      <c r="RAT1" s="292"/>
      <c r="RAU1" s="292"/>
      <c r="RAV1" s="292"/>
      <c r="RAW1" s="292"/>
      <c r="RAX1" s="292"/>
      <c r="RAY1" s="292"/>
      <c r="RAZ1" s="292"/>
      <c r="RBA1" s="292"/>
      <c r="RBB1" s="292"/>
      <c r="RBC1" s="292"/>
      <c r="RBD1" s="292"/>
      <c r="RBE1" s="292"/>
      <c r="RBF1" s="292"/>
      <c r="RBG1" s="292"/>
      <c r="RBH1" s="292"/>
      <c r="RBI1" s="292"/>
      <c r="RBJ1" s="292"/>
      <c r="RBK1" s="292"/>
      <c r="RBL1" s="292"/>
      <c r="RBM1" s="292"/>
      <c r="RBN1" s="292"/>
      <c r="RBO1" s="292"/>
      <c r="RBP1" s="292"/>
      <c r="RBQ1" s="292"/>
      <c r="RBR1" s="292"/>
      <c r="RBS1" s="292"/>
      <c r="RBT1" s="292"/>
      <c r="RBU1" s="292"/>
      <c r="RBV1" s="292"/>
      <c r="RBW1" s="292"/>
      <c r="RBX1" s="292"/>
      <c r="RBY1" s="292"/>
      <c r="RBZ1" s="292"/>
      <c r="RCA1" s="292"/>
      <c r="RCB1" s="292"/>
      <c r="RCC1" s="292"/>
      <c r="RCD1" s="292"/>
      <c r="RCE1" s="292"/>
      <c r="RCF1" s="292"/>
      <c r="RCG1" s="292"/>
      <c r="RCH1" s="292"/>
      <c r="RCI1" s="292"/>
      <c r="RCJ1" s="292"/>
      <c r="RCK1" s="292"/>
      <c r="RCL1" s="292"/>
      <c r="RCM1" s="292"/>
      <c r="RCN1" s="292"/>
      <c r="RCO1" s="292"/>
      <c r="RCP1" s="292"/>
      <c r="RCQ1" s="292"/>
      <c r="RCR1" s="292"/>
      <c r="RCS1" s="292"/>
      <c r="RCT1" s="292"/>
      <c r="RCU1" s="292"/>
      <c r="RCV1" s="292"/>
      <c r="RCW1" s="292"/>
      <c r="RCX1" s="292"/>
      <c r="RCY1" s="292"/>
      <c r="RCZ1" s="292"/>
      <c r="RDA1" s="292"/>
      <c r="RDB1" s="292"/>
      <c r="RDC1" s="292"/>
      <c r="RDD1" s="292"/>
      <c r="RDE1" s="292"/>
      <c r="RDF1" s="292"/>
      <c r="RDG1" s="292"/>
      <c r="RDH1" s="292"/>
      <c r="RDI1" s="292"/>
      <c r="RDJ1" s="292"/>
      <c r="RDK1" s="292"/>
      <c r="RDL1" s="292"/>
      <c r="RDM1" s="292"/>
      <c r="RDN1" s="292"/>
      <c r="RDO1" s="292"/>
      <c r="RDP1" s="292"/>
      <c r="RDQ1" s="292"/>
      <c r="RDR1" s="292"/>
      <c r="RDS1" s="292"/>
      <c r="RDT1" s="292"/>
      <c r="RDU1" s="292"/>
      <c r="RDV1" s="292"/>
      <c r="RDW1" s="292"/>
      <c r="RDX1" s="292"/>
      <c r="RDY1" s="292"/>
      <c r="RDZ1" s="292"/>
      <c r="REA1" s="292"/>
      <c r="REB1" s="292"/>
      <c r="REC1" s="292"/>
      <c r="RED1" s="292"/>
      <c r="REE1" s="292"/>
      <c r="REF1" s="292"/>
      <c r="REG1" s="292"/>
      <c r="REH1" s="292"/>
      <c r="REI1" s="292"/>
      <c r="REJ1" s="292"/>
      <c r="REK1" s="292"/>
      <c r="REL1" s="292"/>
      <c r="REM1" s="292"/>
      <c r="REN1" s="292"/>
      <c r="REO1" s="292"/>
      <c r="REP1" s="292"/>
      <c r="REQ1" s="292"/>
      <c r="RER1" s="292"/>
      <c r="RES1" s="292"/>
      <c r="RET1" s="292"/>
      <c r="REU1" s="292"/>
      <c r="REV1" s="292"/>
      <c r="REW1" s="292"/>
      <c r="REX1" s="292"/>
      <c r="REY1" s="292"/>
      <c r="REZ1" s="292"/>
      <c r="RFA1" s="292"/>
      <c r="RFB1" s="292"/>
      <c r="RFC1" s="292"/>
      <c r="RFD1" s="292"/>
      <c r="RFE1" s="292"/>
      <c r="RFF1" s="292"/>
      <c r="RFG1" s="292"/>
      <c r="RFH1" s="292"/>
      <c r="RFI1" s="292"/>
      <c r="RFJ1" s="292"/>
      <c r="RFK1" s="292"/>
      <c r="RFL1" s="292"/>
      <c r="RFM1" s="292"/>
      <c r="RFN1" s="292"/>
      <c r="RFO1" s="292"/>
      <c r="RFP1" s="292"/>
      <c r="RFQ1" s="292"/>
      <c r="RFR1" s="292"/>
      <c r="RFS1" s="292"/>
      <c r="RFT1" s="292"/>
      <c r="RFU1" s="292"/>
      <c r="RFV1" s="292"/>
      <c r="RFW1" s="292"/>
      <c r="RFX1" s="292"/>
      <c r="RFY1" s="292"/>
      <c r="RFZ1" s="292"/>
      <c r="RGA1" s="292"/>
      <c r="RGB1" s="292"/>
      <c r="RGC1" s="292"/>
      <c r="RGD1" s="292"/>
      <c r="RGE1" s="292"/>
      <c r="RGF1" s="292"/>
      <c r="RGG1" s="292"/>
      <c r="RGH1" s="292"/>
      <c r="RGI1" s="292"/>
      <c r="RGJ1" s="292"/>
      <c r="RGK1" s="292"/>
      <c r="RGL1" s="292"/>
      <c r="RGM1" s="292"/>
      <c r="RGN1" s="292"/>
      <c r="RGO1" s="292"/>
      <c r="RGP1" s="292"/>
      <c r="RGQ1" s="292"/>
      <c r="RGR1" s="292"/>
      <c r="RGS1" s="292"/>
      <c r="RGT1" s="292"/>
      <c r="RGU1" s="292"/>
      <c r="RGV1" s="292"/>
      <c r="RGW1" s="292"/>
      <c r="RGX1" s="292"/>
      <c r="RGY1" s="292"/>
      <c r="RGZ1" s="292"/>
      <c r="RHA1" s="292"/>
      <c r="RHB1" s="292"/>
      <c r="RHC1" s="292"/>
      <c r="RHD1" s="292"/>
      <c r="RHE1" s="292"/>
      <c r="RHF1" s="292"/>
      <c r="RHG1" s="292"/>
      <c r="RHH1" s="292"/>
      <c r="RHI1" s="292"/>
      <c r="RHJ1" s="292"/>
      <c r="RHK1" s="292"/>
      <c r="RHL1" s="292"/>
      <c r="RHM1" s="292"/>
      <c r="RHN1" s="292"/>
      <c r="RHO1" s="292"/>
      <c r="RHP1" s="292"/>
      <c r="RHQ1" s="292"/>
      <c r="RHR1" s="292"/>
      <c r="RHS1" s="292"/>
      <c r="RHT1" s="292"/>
      <c r="RHU1" s="292"/>
      <c r="RHV1" s="292"/>
      <c r="RHW1" s="292"/>
      <c r="RHX1" s="292"/>
      <c r="RHY1" s="292"/>
      <c r="RHZ1" s="292"/>
      <c r="RIA1" s="292"/>
      <c r="RIB1" s="292"/>
      <c r="RIC1" s="292"/>
      <c r="RID1" s="292"/>
      <c r="RIE1" s="292"/>
      <c r="RIF1" s="292"/>
      <c r="RIG1" s="292"/>
      <c r="RIH1" s="292"/>
      <c r="RII1" s="292"/>
      <c r="RIJ1" s="292"/>
      <c r="RIK1" s="292"/>
      <c r="RIL1" s="292"/>
      <c r="RIM1" s="292"/>
      <c r="RIN1" s="292"/>
      <c r="RIO1" s="292"/>
      <c r="RIP1" s="292"/>
      <c r="RIQ1" s="292"/>
      <c r="RIR1" s="292"/>
      <c r="RIS1" s="292"/>
      <c r="RIT1" s="292"/>
      <c r="RIU1" s="292"/>
      <c r="RIV1" s="292"/>
      <c r="RIW1" s="292"/>
      <c r="RIX1" s="292"/>
      <c r="RIY1" s="292"/>
      <c r="RIZ1" s="292"/>
      <c r="RJA1" s="292"/>
      <c r="RJB1" s="292"/>
      <c r="RJC1" s="292"/>
      <c r="RJD1" s="292"/>
      <c r="RJE1" s="292"/>
      <c r="RJF1" s="292"/>
      <c r="RJG1" s="292"/>
      <c r="RJH1" s="292"/>
      <c r="RJI1" s="292"/>
      <c r="RJJ1" s="292"/>
      <c r="RJK1" s="292"/>
      <c r="RJL1" s="292"/>
      <c r="RJM1" s="292"/>
      <c r="RJN1" s="292"/>
      <c r="RJO1" s="292"/>
      <c r="RJP1" s="292"/>
      <c r="RJQ1" s="292"/>
      <c r="RJR1" s="292"/>
      <c r="RJS1" s="292"/>
      <c r="RJT1" s="292"/>
      <c r="RJU1" s="292"/>
      <c r="RJV1" s="292"/>
      <c r="RJW1" s="292"/>
      <c r="RJX1" s="292"/>
      <c r="RJY1" s="292"/>
      <c r="RJZ1" s="292"/>
      <c r="RKA1" s="292"/>
      <c r="RKB1" s="292"/>
      <c r="RKC1" s="292"/>
      <c r="RKD1" s="292"/>
      <c r="RKE1" s="292"/>
      <c r="RKF1" s="292"/>
      <c r="RKG1" s="292"/>
      <c r="RKH1" s="292"/>
      <c r="RKI1" s="292"/>
      <c r="RKJ1" s="292"/>
      <c r="RKK1" s="292"/>
      <c r="RKL1" s="292"/>
      <c r="RKM1" s="292"/>
      <c r="RKN1" s="292"/>
      <c r="RKO1" s="292"/>
      <c r="RKP1" s="292"/>
      <c r="RKQ1" s="292"/>
      <c r="RKR1" s="292"/>
      <c r="RKS1" s="292"/>
      <c r="RKT1" s="292"/>
      <c r="RKU1" s="292"/>
      <c r="RKV1" s="292"/>
      <c r="RKW1" s="292"/>
      <c r="RKX1" s="292"/>
      <c r="RKY1" s="292"/>
      <c r="RKZ1" s="292"/>
      <c r="RLA1" s="292"/>
      <c r="RLB1" s="292"/>
      <c r="RLC1" s="292"/>
      <c r="RLD1" s="292"/>
      <c r="RLE1" s="292"/>
      <c r="RLF1" s="292"/>
      <c r="RLG1" s="292"/>
      <c r="RLH1" s="292"/>
      <c r="RLI1" s="292"/>
      <c r="RLJ1" s="292"/>
      <c r="RLK1" s="292"/>
      <c r="RLL1" s="292"/>
      <c r="RLM1" s="292"/>
      <c r="RLN1" s="292"/>
      <c r="RLO1" s="292"/>
      <c r="RLP1" s="292"/>
      <c r="RLQ1" s="292"/>
      <c r="RLR1" s="292"/>
      <c r="RLS1" s="292"/>
      <c r="RLT1" s="292"/>
      <c r="RLU1" s="292"/>
      <c r="RLV1" s="292"/>
      <c r="RLW1" s="292"/>
      <c r="RLX1" s="292"/>
      <c r="RLY1" s="292"/>
      <c r="RLZ1" s="292"/>
      <c r="RMA1" s="292"/>
      <c r="RMB1" s="292"/>
      <c r="RMC1" s="292"/>
      <c r="RMD1" s="292"/>
      <c r="RME1" s="292"/>
      <c r="RMF1" s="292"/>
      <c r="RMG1" s="292"/>
      <c r="RMH1" s="292"/>
      <c r="RMI1" s="292"/>
      <c r="RMJ1" s="292"/>
      <c r="RMK1" s="292"/>
      <c r="RML1" s="292"/>
      <c r="RMM1" s="292"/>
      <c r="RMN1" s="292"/>
      <c r="RMO1" s="292"/>
      <c r="RMP1" s="292"/>
      <c r="RMQ1" s="292"/>
      <c r="RMR1" s="292"/>
      <c r="RMS1" s="292"/>
      <c r="RMT1" s="292"/>
      <c r="RMU1" s="292"/>
      <c r="RMV1" s="292"/>
      <c r="RMW1" s="292"/>
      <c r="RMX1" s="292"/>
      <c r="RMY1" s="292"/>
      <c r="RMZ1" s="292"/>
      <c r="RNA1" s="292"/>
      <c r="RNB1" s="292"/>
      <c r="RNC1" s="292"/>
      <c r="RND1" s="292"/>
      <c r="RNE1" s="292"/>
      <c r="RNF1" s="292"/>
      <c r="RNG1" s="292"/>
      <c r="RNH1" s="292"/>
      <c r="RNI1" s="292"/>
      <c r="RNJ1" s="292"/>
      <c r="RNK1" s="292"/>
      <c r="RNL1" s="292"/>
      <c r="RNM1" s="292"/>
      <c r="RNN1" s="292"/>
      <c r="RNO1" s="292"/>
      <c r="RNP1" s="292"/>
      <c r="RNQ1" s="292"/>
      <c r="RNR1" s="292"/>
      <c r="RNS1" s="292"/>
      <c r="RNT1" s="292"/>
      <c r="RNU1" s="292"/>
      <c r="RNV1" s="292"/>
      <c r="RNW1" s="292"/>
      <c r="RNX1" s="292"/>
      <c r="RNY1" s="292"/>
      <c r="RNZ1" s="292"/>
      <c r="ROA1" s="292"/>
      <c r="ROB1" s="292"/>
      <c r="ROC1" s="292"/>
      <c r="ROD1" s="292"/>
      <c r="ROE1" s="292"/>
      <c r="ROF1" s="292"/>
      <c r="ROG1" s="292"/>
      <c r="ROH1" s="292"/>
      <c r="ROI1" s="292"/>
      <c r="ROJ1" s="292"/>
      <c r="ROK1" s="292"/>
      <c r="ROL1" s="292"/>
      <c r="ROM1" s="292"/>
      <c r="RON1" s="292"/>
      <c r="ROO1" s="292"/>
      <c r="ROP1" s="292"/>
      <c r="ROQ1" s="292"/>
      <c r="ROR1" s="292"/>
      <c r="ROS1" s="292"/>
      <c r="ROT1" s="292"/>
      <c r="ROU1" s="292"/>
      <c r="ROV1" s="292"/>
      <c r="ROW1" s="292"/>
      <c r="ROX1" s="292"/>
      <c r="ROY1" s="292"/>
      <c r="ROZ1" s="292"/>
      <c r="RPA1" s="292"/>
      <c r="RPB1" s="292"/>
      <c r="RPC1" s="292"/>
      <c r="RPD1" s="292"/>
      <c r="RPE1" s="292"/>
      <c r="RPF1" s="292"/>
      <c r="RPG1" s="292"/>
      <c r="RPH1" s="292"/>
      <c r="RPI1" s="292"/>
      <c r="RPJ1" s="292"/>
      <c r="RPK1" s="292"/>
      <c r="RPL1" s="292"/>
      <c r="RPM1" s="292"/>
      <c r="RPN1" s="292"/>
      <c r="RPO1" s="292"/>
      <c r="RPP1" s="292"/>
      <c r="RPQ1" s="292"/>
      <c r="RPR1" s="292"/>
      <c r="RPS1" s="292"/>
      <c r="RPT1" s="292"/>
      <c r="RPU1" s="292"/>
      <c r="RPV1" s="292"/>
      <c r="RPW1" s="292"/>
      <c r="RPX1" s="292"/>
      <c r="RPY1" s="292"/>
      <c r="RPZ1" s="292"/>
      <c r="RQA1" s="292"/>
      <c r="RQB1" s="292"/>
      <c r="RQC1" s="292"/>
      <c r="RQD1" s="292"/>
      <c r="RQE1" s="292"/>
      <c r="RQF1" s="292"/>
      <c r="RQG1" s="292"/>
      <c r="RQH1" s="292"/>
      <c r="RQI1" s="292"/>
      <c r="RQJ1" s="292"/>
      <c r="RQK1" s="292"/>
      <c r="RQL1" s="292"/>
      <c r="RQM1" s="292"/>
      <c r="RQN1" s="292"/>
      <c r="RQO1" s="292"/>
      <c r="RQP1" s="292"/>
      <c r="RQQ1" s="292"/>
      <c r="RQR1" s="292"/>
      <c r="RQS1" s="292"/>
      <c r="RQT1" s="292"/>
      <c r="RQU1" s="292"/>
      <c r="RQV1" s="292"/>
      <c r="RQW1" s="292"/>
      <c r="RQX1" s="292"/>
      <c r="RQY1" s="292"/>
      <c r="RQZ1" s="292"/>
      <c r="RRA1" s="292"/>
      <c r="RRB1" s="292"/>
      <c r="RRC1" s="292"/>
      <c r="RRD1" s="292"/>
      <c r="RRE1" s="292"/>
      <c r="RRF1" s="292"/>
      <c r="RRG1" s="292"/>
      <c r="RRH1" s="292"/>
      <c r="RRI1" s="292"/>
      <c r="RRJ1" s="292"/>
      <c r="RRK1" s="292"/>
      <c r="RRL1" s="292"/>
      <c r="RRM1" s="292"/>
      <c r="RRN1" s="292"/>
      <c r="RRO1" s="292"/>
      <c r="RRP1" s="292"/>
      <c r="RRQ1" s="292"/>
      <c r="RRR1" s="292"/>
      <c r="RRS1" s="292"/>
      <c r="RRT1" s="292"/>
      <c r="RRU1" s="292"/>
      <c r="RRV1" s="292"/>
      <c r="RRW1" s="292"/>
      <c r="RRX1" s="292"/>
      <c r="RRY1" s="292"/>
      <c r="RRZ1" s="292"/>
      <c r="RSA1" s="292"/>
      <c r="RSB1" s="292"/>
      <c r="RSC1" s="292"/>
      <c r="RSD1" s="292"/>
      <c r="RSE1" s="292"/>
      <c r="RSF1" s="292"/>
      <c r="RSG1" s="292"/>
      <c r="RSH1" s="292"/>
      <c r="RSI1" s="292"/>
      <c r="RSJ1" s="292"/>
      <c r="RSK1" s="292"/>
      <c r="RSL1" s="292"/>
      <c r="RSM1" s="292"/>
      <c r="RSN1" s="292"/>
      <c r="RSO1" s="292"/>
      <c r="RSP1" s="292"/>
      <c r="RSQ1" s="292"/>
      <c r="RSR1" s="292"/>
      <c r="RSS1" s="292"/>
      <c r="RST1" s="292"/>
      <c r="RSU1" s="292"/>
      <c r="RSV1" s="292"/>
      <c r="RSW1" s="292"/>
      <c r="RSX1" s="292"/>
      <c r="RSY1" s="292"/>
      <c r="RSZ1" s="292"/>
      <c r="RTA1" s="292"/>
      <c r="RTB1" s="292"/>
      <c r="RTC1" s="292"/>
      <c r="RTD1" s="292"/>
      <c r="RTE1" s="292"/>
      <c r="RTF1" s="292"/>
      <c r="RTG1" s="292"/>
      <c r="RTH1" s="292"/>
      <c r="RTI1" s="292"/>
      <c r="RTJ1" s="292"/>
      <c r="RTK1" s="292"/>
      <c r="RTL1" s="292"/>
      <c r="RTM1" s="292"/>
      <c r="RTN1" s="292"/>
      <c r="RTO1" s="292"/>
      <c r="RTP1" s="292"/>
      <c r="RTQ1" s="292"/>
      <c r="RTR1" s="292"/>
      <c r="RTS1" s="292"/>
      <c r="RTT1" s="292"/>
      <c r="RTU1" s="292"/>
      <c r="RTV1" s="292"/>
      <c r="RTW1" s="292"/>
      <c r="RTX1" s="292"/>
      <c r="RTY1" s="292"/>
      <c r="RTZ1" s="292"/>
      <c r="RUA1" s="292"/>
      <c r="RUB1" s="292"/>
      <c r="RUC1" s="292"/>
      <c r="RUD1" s="292"/>
      <c r="RUE1" s="292"/>
      <c r="RUF1" s="292"/>
      <c r="RUG1" s="292"/>
      <c r="RUH1" s="292"/>
      <c r="RUI1" s="292"/>
      <c r="RUJ1" s="292"/>
      <c r="RUK1" s="292"/>
      <c r="RUL1" s="292"/>
      <c r="RUM1" s="292"/>
      <c r="RUN1" s="292"/>
      <c r="RUO1" s="292"/>
      <c r="RUP1" s="292"/>
      <c r="RUQ1" s="292"/>
      <c r="RUR1" s="292"/>
      <c r="RUS1" s="292"/>
      <c r="RUT1" s="292"/>
      <c r="RUU1" s="292"/>
      <c r="RUV1" s="292"/>
      <c r="RUW1" s="292"/>
      <c r="RUX1" s="292"/>
      <c r="RUY1" s="292"/>
      <c r="RUZ1" s="292"/>
      <c r="RVA1" s="292"/>
      <c r="RVB1" s="292"/>
      <c r="RVC1" s="292"/>
      <c r="RVD1" s="292"/>
      <c r="RVE1" s="292"/>
      <c r="RVF1" s="292"/>
      <c r="RVG1" s="292"/>
      <c r="RVH1" s="292"/>
      <c r="RVI1" s="292"/>
      <c r="RVJ1" s="292"/>
      <c r="RVK1" s="292"/>
      <c r="RVL1" s="292"/>
      <c r="RVM1" s="292"/>
      <c r="RVN1" s="292"/>
      <c r="RVO1" s="292"/>
      <c r="RVP1" s="292"/>
      <c r="RVQ1" s="292"/>
      <c r="RVR1" s="292"/>
      <c r="RVS1" s="292"/>
      <c r="RVT1" s="292"/>
      <c r="RVU1" s="292"/>
      <c r="RVV1" s="292"/>
      <c r="RVW1" s="292"/>
      <c r="RVX1" s="292"/>
      <c r="RVY1" s="292"/>
      <c r="RVZ1" s="292"/>
      <c r="RWA1" s="292"/>
      <c r="RWB1" s="292"/>
      <c r="RWC1" s="292"/>
      <c r="RWD1" s="292"/>
      <c r="RWE1" s="292"/>
      <c r="RWF1" s="292"/>
      <c r="RWG1" s="292"/>
      <c r="RWH1" s="292"/>
      <c r="RWI1" s="292"/>
      <c r="RWJ1" s="292"/>
      <c r="RWK1" s="292"/>
      <c r="RWL1" s="292"/>
      <c r="RWM1" s="292"/>
      <c r="RWN1" s="292"/>
      <c r="RWO1" s="292"/>
      <c r="RWP1" s="292"/>
      <c r="RWQ1" s="292"/>
      <c r="RWR1" s="292"/>
      <c r="RWS1" s="292"/>
      <c r="RWT1" s="292"/>
      <c r="RWU1" s="292"/>
      <c r="RWV1" s="292"/>
      <c r="RWW1" s="292"/>
      <c r="RWX1" s="292"/>
      <c r="RWY1" s="292"/>
      <c r="RWZ1" s="292"/>
      <c r="RXA1" s="292"/>
      <c r="RXB1" s="292"/>
      <c r="RXC1" s="292"/>
      <c r="RXD1" s="292"/>
      <c r="RXE1" s="292"/>
      <c r="RXF1" s="292"/>
      <c r="RXG1" s="292"/>
      <c r="RXH1" s="292"/>
      <c r="RXI1" s="292"/>
      <c r="RXJ1" s="292"/>
      <c r="RXK1" s="292"/>
      <c r="RXL1" s="292"/>
      <c r="RXM1" s="292"/>
      <c r="RXN1" s="292"/>
      <c r="RXO1" s="292"/>
      <c r="RXP1" s="292"/>
      <c r="RXQ1" s="292"/>
      <c r="RXR1" s="292"/>
      <c r="RXS1" s="292"/>
      <c r="RXT1" s="292"/>
      <c r="RXU1" s="292"/>
      <c r="RXV1" s="292"/>
      <c r="RXW1" s="292"/>
      <c r="RXX1" s="292"/>
      <c r="RXY1" s="292"/>
      <c r="RXZ1" s="292"/>
      <c r="RYA1" s="292"/>
      <c r="RYB1" s="292"/>
      <c r="RYC1" s="292"/>
      <c r="RYD1" s="292"/>
      <c r="RYE1" s="292"/>
      <c r="RYF1" s="292"/>
      <c r="RYG1" s="292"/>
      <c r="RYH1" s="292"/>
      <c r="RYI1" s="292"/>
      <c r="RYJ1" s="292"/>
      <c r="RYK1" s="292"/>
      <c r="RYL1" s="292"/>
      <c r="RYM1" s="292"/>
      <c r="RYN1" s="292"/>
      <c r="RYO1" s="292"/>
      <c r="RYP1" s="292"/>
      <c r="RYQ1" s="292"/>
      <c r="RYR1" s="292"/>
      <c r="RYS1" s="292"/>
      <c r="RYT1" s="292"/>
      <c r="RYU1" s="292"/>
      <c r="RYV1" s="292"/>
      <c r="RYW1" s="292"/>
      <c r="RYX1" s="292"/>
      <c r="RYY1" s="292"/>
      <c r="RYZ1" s="292"/>
      <c r="RZA1" s="292"/>
      <c r="RZB1" s="292"/>
      <c r="RZC1" s="292"/>
      <c r="RZD1" s="292"/>
      <c r="RZE1" s="292"/>
      <c r="RZF1" s="292"/>
      <c r="RZG1" s="292"/>
      <c r="RZH1" s="292"/>
      <c r="RZI1" s="292"/>
      <c r="RZJ1" s="292"/>
      <c r="RZK1" s="292"/>
      <c r="RZL1" s="292"/>
      <c r="RZM1" s="292"/>
      <c r="RZN1" s="292"/>
      <c r="RZO1" s="292"/>
      <c r="RZP1" s="292"/>
      <c r="RZQ1" s="292"/>
      <c r="RZR1" s="292"/>
      <c r="RZS1" s="292"/>
      <c r="RZT1" s="292"/>
      <c r="RZU1" s="292"/>
      <c r="RZV1" s="292"/>
      <c r="RZW1" s="292"/>
      <c r="RZX1" s="292"/>
      <c r="RZY1" s="292"/>
      <c r="RZZ1" s="292"/>
      <c r="SAA1" s="292"/>
      <c r="SAB1" s="292"/>
      <c r="SAC1" s="292"/>
      <c r="SAD1" s="292"/>
      <c r="SAE1" s="292"/>
      <c r="SAF1" s="292"/>
      <c r="SAG1" s="292"/>
      <c r="SAH1" s="292"/>
      <c r="SAI1" s="292"/>
      <c r="SAJ1" s="292"/>
      <c r="SAK1" s="292"/>
      <c r="SAL1" s="292"/>
      <c r="SAM1" s="292"/>
      <c r="SAN1" s="292"/>
      <c r="SAO1" s="292"/>
      <c r="SAP1" s="292"/>
      <c r="SAQ1" s="292"/>
      <c r="SAR1" s="292"/>
      <c r="SAS1" s="292"/>
      <c r="SAT1" s="292"/>
      <c r="SAU1" s="292"/>
      <c r="SAV1" s="292"/>
      <c r="SAW1" s="292"/>
      <c r="SAX1" s="292"/>
      <c r="SAY1" s="292"/>
      <c r="SAZ1" s="292"/>
      <c r="SBA1" s="292"/>
      <c r="SBB1" s="292"/>
      <c r="SBC1" s="292"/>
      <c r="SBD1" s="292"/>
      <c r="SBE1" s="292"/>
      <c r="SBF1" s="292"/>
      <c r="SBG1" s="292"/>
      <c r="SBH1" s="292"/>
      <c r="SBI1" s="292"/>
      <c r="SBJ1" s="292"/>
      <c r="SBK1" s="292"/>
      <c r="SBL1" s="292"/>
      <c r="SBM1" s="292"/>
      <c r="SBN1" s="292"/>
      <c r="SBO1" s="292"/>
      <c r="SBP1" s="292"/>
      <c r="SBQ1" s="292"/>
      <c r="SBR1" s="292"/>
      <c r="SBS1" s="292"/>
      <c r="SBT1" s="292"/>
      <c r="SBU1" s="292"/>
      <c r="SBV1" s="292"/>
      <c r="SBW1" s="292"/>
      <c r="SBX1" s="292"/>
      <c r="SBY1" s="292"/>
      <c r="SBZ1" s="292"/>
      <c r="SCA1" s="292"/>
      <c r="SCB1" s="292"/>
      <c r="SCC1" s="292"/>
      <c r="SCD1" s="292"/>
      <c r="SCE1" s="292"/>
      <c r="SCF1" s="292"/>
      <c r="SCG1" s="292"/>
      <c r="SCH1" s="292"/>
      <c r="SCI1" s="292"/>
      <c r="SCJ1" s="292"/>
      <c r="SCK1" s="292"/>
      <c r="SCL1" s="292"/>
      <c r="SCM1" s="292"/>
      <c r="SCN1" s="292"/>
      <c r="SCO1" s="292"/>
      <c r="SCP1" s="292"/>
      <c r="SCQ1" s="292"/>
      <c r="SCR1" s="292"/>
      <c r="SCS1" s="292"/>
      <c r="SCT1" s="292"/>
      <c r="SCU1" s="292"/>
      <c r="SCV1" s="292"/>
      <c r="SCW1" s="292"/>
      <c r="SCX1" s="292"/>
      <c r="SCY1" s="292"/>
      <c r="SCZ1" s="292"/>
      <c r="SDA1" s="292"/>
      <c r="SDB1" s="292"/>
      <c r="SDC1" s="292"/>
      <c r="SDD1" s="292"/>
      <c r="SDE1" s="292"/>
      <c r="SDF1" s="292"/>
      <c r="SDG1" s="292"/>
      <c r="SDH1" s="292"/>
      <c r="SDI1" s="292"/>
      <c r="SDJ1" s="292"/>
      <c r="SDK1" s="292"/>
      <c r="SDL1" s="292"/>
      <c r="SDM1" s="292"/>
      <c r="SDN1" s="292"/>
      <c r="SDO1" s="292"/>
      <c r="SDP1" s="292"/>
      <c r="SDQ1" s="292"/>
      <c r="SDR1" s="292"/>
      <c r="SDS1" s="292"/>
      <c r="SDT1" s="292"/>
      <c r="SDU1" s="292"/>
      <c r="SDV1" s="292"/>
      <c r="SDW1" s="292"/>
      <c r="SDX1" s="292"/>
      <c r="SDY1" s="292"/>
      <c r="SDZ1" s="292"/>
      <c r="SEA1" s="292"/>
      <c r="SEB1" s="292"/>
      <c r="SEC1" s="292"/>
      <c r="SED1" s="292"/>
      <c r="SEE1" s="292"/>
      <c r="SEF1" s="292"/>
      <c r="SEG1" s="292"/>
      <c r="SEH1" s="292"/>
      <c r="SEI1" s="292"/>
      <c r="SEJ1" s="292"/>
      <c r="SEK1" s="292"/>
      <c r="SEL1" s="292"/>
      <c r="SEM1" s="292"/>
      <c r="SEN1" s="292"/>
      <c r="SEO1" s="292"/>
      <c r="SEP1" s="292"/>
      <c r="SEQ1" s="292"/>
      <c r="SER1" s="292"/>
      <c r="SES1" s="292"/>
      <c r="SET1" s="292"/>
      <c r="SEU1" s="292"/>
      <c r="SEV1" s="292"/>
      <c r="SEW1" s="292"/>
      <c r="SEX1" s="292"/>
      <c r="SEY1" s="292"/>
      <c r="SEZ1" s="292"/>
      <c r="SFA1" s="292"/>
      <c r="SFB1" s="292"/>
      <c r="SFC1" s="292"/>
      <c r="SFD1" s="292"/>
      <c r="SFE1" s="292"/>
      <c r="SFF1" s="292"/>
      <c r="SFG1" s="292"/>
      <c r="SFH1" s="292"/>
      <c r="SFI1" s="292"/>
      <c r="SFJ1" s="292"/>
      <c r="SFK1" s="292"/>
      <c r="SFL1" s="292"/>
      <c r="SFM1" s="292"/>
      <c r="SFN1" s="292"/>
      <c r="SFO1" s="292"/>
      <c r="SFP1" s="292"/>
      <c r="SFQ1" s="292"/>
      <c r="SFR1" s="292"/>
      <c r="SFS1" s="292"/>
      <c r="SFT1" s="292"/>
      <c r="SFU1" s="292"/>
      <c r="SFV1" s="292"/>
      <c r="SFW1" s="292"/>
      <c r="SFX1" s="292"/>
      <c r="SFY1" s="292"/>
      <c r="SFZ1" s="292"/>
      <c r="SGA1" s="292"/>
      <c r="SGB1" s="292"/>
      <c r="SGC1" s="292"/>
      <c r="SGD1" s="292"/>
      <c r="SGE1" s="292"/>
      <c r="SGF1" s="292"/>
      <c r="SGG1" s="292"/>
      <c r="SGH1" s="292"/>
      <c r="SGI1" s="292"/>
      <c r="SGJ1" s="292"/>
      <c r="SGK1" s="292"/>
      <c r="SGL1" s="292"/>
      <c r="SGM1" s="292"/>
      <c r="SGN1" s="292"/>
      <c r="SGO1" s="292"/>
      <c r="SGP1" s="292"/>
      <c r="SGQ1" s="292"/>
      <c r="SGR1" s="292"/>
      <c r="SGS1" s="292"/>
      <c r="SGT1" s="292"/>
      <c r="SGU1" s="292"/>
      <c r="SGV1" s="292"/>
      <c r="SGW1" s="292"/>
      <c r="SGX1" s="292"/>
      <c r="SGY1" s="292"/>
      <c r="SGZ1" s="292"/>
      <c r="SHA1" s="292"/>
      <c r="SHB1" s="292"/>
      <c r="SHC1" s="292"/>
      <c r="SHD1" s="292"/>
      <c r="SHE1" s="292"/>
      <c r="SHF1" s="292"/>
      <c r="SHG1" s="292"/>
      <c r="SHH1" s="292"/>
      <c r="SHI1" s="292"/>
      <c r="SHJ1" s="292"/>
      <c r="SHK1" s="292"/>
      <c r="SHL1" s="292"/>
      <c r="SHM1" s="292"/>
      <c r="SHN1" s="292"/>
      <c r="SHO1" s="292"/>
      <c r="SHP1" s="292"/>
      <c r="SHQ1" s="292"/>
      <c r="SHR1" s="292"/>
      <c r="SHS1" s="292"/>
      <c r="SHT1" s="292"/>
      <c r="SHU1" s="292"/>
      <c r="SHV1" s="292"/>
      <c r="SHW1" s="292"/>
      <c r="SHX1" s="292"/>
      <c r="SHY1" s="292"/>
      <c r="SHZ1" s="292"/>
      <c r="SIA1" s="292"/>
      <c r="SIB1" s="292"/>
      <c r="SIC1" s="292"/>
      <c r="SID1" s="292"/>
      <c r="SIE1" s="292"/>
      <c r="SIF1" s="292"/>
      <c r="SIG1" s="292"/>
      <c r="SIH1" s="292"/>
      <c r="SII1" s="292"/>
      <c r="SIJ1" s="292"/>
      <c r="SIK1" s="292"/>
      <c r="SIL1" s="292"/>
      <c r="SIM1" s="292"/>
      <c r="SIN1" s="292"/>
      <c r="SIO1" s="292"/>
      <c r="SIP1" s="292"/>
      <c r="SIQ1" s="292"/>
      <c r="SIR1" s="292"/>
      <c r="SIS1" s="292"/>
      <c r="SIT1" s="292"/>
      <c r="SIU1" s="292"/>
      <c r="SIV1" s="292"/>
      <c r="SIW1" s="292"/>
      <c r="SIX1" s="292"/>
      <c r="SIY1" s="292"/>
      <c r="SIZ1" s="292"/>
      <c r="SJA1" s="292"/>
      <c r="SJB1" s="292"/>
      <c r="SJC1" s="292"/>
      <c r="SJD1" s="292"/>
      <c r="SJE1" s="292"/>
      <c r="SJF1" s="292"/>
      <c r="SJG1" s="292"/>
      <c r="SJH1" s="292"/>
      <c r="SJI1" s="292"/>
      <c r="SJJ1" s="292"/>
      <c r="SJK1" s="292"/>
      <c r="SJL1" s="292"/>
      <c r="SJM1" s="292"/>
      <c r="SJN1" s="292"/>
      <c r="SJO1" s="292"/>
      <c r="SJP1" s="292"/>
      <c r="SJQ1" s="292"/>
      <c r="SJR1" s="292"/>
      <c r="SJS1" s="292"/>
      <c r="SJT1" s="292"/>
      <c r="SJU1" s="292"/>
      <c r="SJV1" s="292"/>
      <c r="SJW1" s="292"/>
      <c r="SJX1" s="292"/>
      <c r="SJY1" s="292"/>
      <c r="SJZ1" s="292"/>
      <c r="SKA1" s="292"/>
      <c r="SKB1" s="292"/>
      <c r="SKC1" s="292"/>
      <c r="SKD1" s="292"/>
      <c r="SKE1" s="292"/>
      <c r="SKF1" s="292"/>
      <c r="SKG1" s="292"/>
      <c r="SKH1" s="292"/>
      <c r="SKI1" s="292"/>
      <c r="SKJ1" s="292"/>
      <c r="SKK1" s="292"/>
      <c r="SKL1" s="292"/>
      <c r="SKM1" s="292"/>
      <c r="SKN1" s="292"/>
      <c r="SKO1" s="292"/>
      <c r="SKP1" s="292"/>
      <c r="SKQ1" s="292"/>
      <c r="SKR1" s="292"/>
      <c r="SKS1" s="292"/>
      <c r="SKT1" s="292"/>
      <c r="SKU1" s="292"/>
      <c r="SKV1" s="292"/>
      <c r="SKW1" s="292"/>
      <c r="SKX1" s="292"/>
      <c r="SKY1" s="292"/>
      <c r="SKZ1" s="292"/>
      <c r="SLA1" s="292"/>
      <c r="SLB1" s="292"/>
      <c r="SLC1" s="292"/>
      <c r="SLD1" s="292"/>
      <c r="SLE1" s="292"/>
      <c r="SLF1" s="292"/>
      <c r="SLG1" s="292"/>
      <c r="SLH1" s="292"/>
      <c r="SLI1" s="292"/>
      <c r="SLJ1" s="292"/>
      <c r="SLK1" s="292"/>
      <c r="SLL1" s="292"/>
      <c r="SLM1" s="292"/>
      <c r="SLN1" s="292"/>
      <c r="SLO1" s="292"/>
      <c r="SLP1" s="292"/>
      <c r="SLQ1" s="292"/>
      <c r="SLR1" s="292"/>
      <c r="SLS1" s="292"/>
      <c r="SLT1" s="292"/>
      <c r="SLU1" s="292"/>
      <c r="SLV1" s="292"/>
      <c r="SLW1" s="292"/>
      <c r="SLX1" s="292"/>
      <c r="SLY1" s="292"/>
      <c r="SLZ1" s="292"/>
      <c r="SMA1" s="292"/>
      <c r="SMB1" s="292"/>
      <c r="SMC1" s="292"/>
      <c r="SMD1" s="292"/>
      <c r="SME1" s="292"/>
      <c r="SMF1" s="292"/>
      <c r="SMG1" s="292"/>
      <c r="SMH1" s="292"/>
      <c r="SMI1" s="292"/>
      <c r="SMJ1" s="292"/>
      <c r="SMK1" s="292"/>
      <c r="SML1" s="292"/>
      <c r="SMM1" s="292"/>
      <c r="SMN1" s="292"/>
      <c r="SMO1" s="292"/>
      <c r="SMP1" s="292"/>
      <c r="SMQ1" s="292"/>
      <c r="SMR1" s="292"/>
      <c r="SMS1" s="292"/>
      <c r="SMT1" s="292"/>
      <c r="SMU1" s="292"/>
      <c r="SMV1" s="292"/>
      <c r="SMW1" s="292"/>
      <c r="SMX1" s="292"/>
      <c r="SMY1" s="292"/>
      <c r="SMZ1" s="292"/>
      <c r="SNA1" s="292"/>
      <c r="SNB1" s="292"/>
      <c r="SNC1" s="292"/>
      <c r="SND1" s="292"/>
      <c r="SNE1" s="292"/>
      <c r="SNF1" s="292"/>
      <c r="SNG1" s="292"/>
      <c r="SNH1" s="292"/>
      <c r="SNI1" s="292"/>
      <c r="SNJ1" s="292"/>
      <c r="SNK1" s="292"/>
      <c r="SNL1" s="292"/>
      <c r="SNM1" s="292"/>
      <c r="SNN1" s="292"/>
      <c r="SNO1" s="292"/>
      <c r="SNP1" s="292"/>
      <c r="SNQ1" s="292"/>
      <c r="SNR1" s="292"/>
      <c r="SNS1" s="292"/>
      <c r="SNT1" s="292"/>
      <c r="SNU1" s="292"/>
      <c r="SNV1" s="292"/>
      <c r="SNW1" s="292"/>
      <c r="SNX1" s="292"/>
      <c r="SNY1" s="292"/>
      <c r="SNZ1" s="292"/>
      <c r="SOA1" s="292"/>
      <c r="SOB1" s="292"/>
      <c r="SOC1" s="292"/>
      <c r="SOD1" s="292"/>
      <c r="SOE1" s="292"/>
      <c r="SOF1" s="292"/>
      <c r="SOG1" s="292"/>
      <c r="SOH1" s="292"/>
      <c r="SOI1" s="292"/>
      <c r="SOJ1" s="292"/>
      <c r="SOK1" s="292"/>
      <c r="SOL1" s="292"/>
      <c r="SOM1" s="292"/>
      <c r="SON1" s="292"/>
      <c r="SOO1" s="292"/>
      <c r="SOP1" s="292"/>
      <c r="SOQ1" s="292"/>
      <c r="SOR1" s="292"/>
      <c r="SOS1" s="292"/>
      <c r="SOT1" s="292"/>
      <c r="SOU1" s="292"/>
      <c r="SOV1" s="292"/>
      <c r="SOW1" s="292"/>
      <c r="SOX1" s="292"/>
      <c r="SOY1" s="292"/>
      <c r="SOZ1" s="292"/>
      <c r="SPA1" s="292"/>
      <c r="SPB1" s="292"/>
      <c r="SPC1" s="292"/>
      <c r="SPD1" s="292"/>
      <c r="SPE1" s="292"/>
      <c r="SPF1" s="292"/>
      <c r="SPG1" s="292"/>
      <c r="SPH1" s="292"/>
      <c r="SPI1" s="292"/>
      <c r="SPJ1" s="292"/>
      <c r="SPK1" s="292"/>
      <c r="SPL1" s="292"/>
      <c r="SPM1" s="292"/>
      <c r="SPN1" s="292"/>
      <c r="SPO1" s="292"/>
      <c r="SPP1" s="292"/>
      <c r="SPQ1" s="292"/>
      <c r="SPR1" s="292"/>
      <c r="SPS1" s="292"/>
      <c r="SPT1" s="292"/>
      <c r="SPU1" s="292"/>
      <c r="SPV1" s="292"/>
      <c r="SPW1" s="292"/>
      <c r="SPX1" s="292"/>
      <c r="SPY1" s="292"/>
      <c r="SPZ1" s="292"/>
      <c r="SQA1" s="292"/>
      <c r="SQB1" s="292"/>
      <c r="SQC1" s="292"/>
      <c r="SQD1" s="292"/>
      <c r="SQE1" s="292"/>
      <c r="SQF1" s="292"/>
      <c r="SQG1" s="292"/>
      <c r="SQH1" s="292"/>
      <c r="SQI1" s="292"/>
      <c r="SQJ1" s="292"/>
      <c r="SQK1" s="292"/>
      <c r="SQL1" s="292"/>
      <c r="SQM1" s="292"/>
      <c r="SQN1" s="292"/>
      <c r="SQO1" s="292"/>
      <c r="SQP1" s="292"/>
      <c r="SQQ1" s="292"/>
      <c r="SQR1" s="292"/>
      <c r="SQS1" s="292"/>
      <c r="SQT1" s="292"/>
      <c r="SQU1" s="292"/>
      <c r="SQV1" s="292"/>
      <c r="SQW1" s="292"/>
      <c r="SQX1" s="292"/>
      <c r="SQY1" s="292"/>
      <c r="SQZ1" s="292"/>
      <c r="SRA1" s="292"/>
      <c r="SRB1" s="292"/>
      <c r="SRC1" s="292"/>
      <c r="SRD1" s="292"/>
      <c r="SRE1" s="292"/>
      <c r="SRF1" s="292"/>
      <c r="SRG1" s="292"/>
      <c r="SRH1" s="292"/>
      <c r="SRI1" s="292"/>
      <c r="SRJ1" s="292"/>
      <c r="SRK1" s="292"/>
      <c r="SRL1" s="292"/>
      <c r="SRM1" s="292"/>
      <c r="SRN1" s="292"/>
      <c r="SRO1" s="292"/>
      <c r="SRP1" s="292"/>
      <c r="SRQ1" s="292"/>
      <c r="SRR1" s="292"/>
      <c r="SRS1" s="292"/>
      <c r="SRT1" s="292"/>
      <c r="SRU1" s="292"/>
      <c r="SRV1" s="292"/>
      <c r="SRW1" s="292"/>
      <c r="SRX1" s="292"/>
      <c r="SRY1" s="292"/>
      <c r="SRZ1" s="292"/>
      <c r="SSA1" s="292"/>
      <c r="SSB1" s="292"/>
      <c r="SSC1" s="292"/>
      <c r="SSD1" s="292"/>
      <c r="SSE1" s="292"/>
      <c r="SSF1" s="292"/>
      <c r="SSG1" s="292"/>
      <c r="SSH1" s="292"/>
      <c r="SSI1" s="292"/>
      <c r="SSJ1" s="292"/>
      <c r="SSK1" s="292"/>
      <c r="SSL1" s="292"/>
      <c r="SSM1" s="292"/>
      <c r="SSN1" s="292"/>
      <c r="SSO1" s="292"/>
      <c r="SSP1" s="292"/>
      <c r="SSQ1" s="292"/>
      <c r="SSR1" s="292"/>
      <c r="SSS1" s="292"/>
      <c r="SST1" s="292"/>
      <c r="SSU1" s="292"/>
      <c r="SSV1" s="292"/>
      <c r="SSW1" s="292"/>
      <c r="SSX1" s="292"/>
      <c r="SSY1" s="292"/>
      <c r="SSZ1" s="292"/>
      <c r="STA1" s="292"/>
      <c r="STB1" s="292"/>
      <c r="STC1" s="292"/>
      <c r="STD1" s="292"/>
      <c r="STE1" s="292"/>
      <c r="STF1" s="292"/>
      <c r="STG1" s="292"/>
      <c r="STH1" s="292"/>
      <c r="STI1" s="292"/>
      <c r="STJ1" s="292"/>
      <c r="STK1" s="292"/>
      <c r="STL1" s="292"/>
      <c r="STM1" s="292"/>
      <c r="STN1" s="292"/>
      <c r="STO1" s="292"/>
      <c r="STP1" s="292"/>
      <c r="STQ1" s="292"/>
      <c r="STR1" s="292"/>
      <c r="STS1" s="292"/>
      <c r="STT1" s="292"/>
      <c r="STU1" s="292"/>
      <c r="STV1" s="292"/>
      <c r="STW1" s="292"/>
      <c r="STX1" s="292"/>
      <c r="STY1" s="292"/>
      <c r="STZ1" s="292"/>
      <c r="SUA1" s="292"/>
      <c r="SUB1" s="292"/>
      <c r="SUC1" s="292"/>
      <c r="SUD1" s="292"/>
      <c r="SUE1" s="292"/>
      <c r="SUF1" s="292"/>
      <c r="SUG1" s="292"/>
      <c r="SUH1" s="292"/>
      <c r="SUI1" s="292"/>
      <c r="SUJ1" s="292"/>
      <c r="SUK1" s="292"/>
      <c r="SUL1" s="292"/>
      <c r="SUM1" s="292"/>
      <c r="SUN1" s="292"/>
      <c r="SUO1" s="292"/>
      <c r="SUP1" s="292"/>
      <c r="SUQ1" s="292"/>
      <c r="SUR1" s="292"/>
      <c r="SUS1" s="292"/>
      <c r="SUT1" s="292"/>
      <c r="SUU1" s="292"/>
      <c r="SUV1" s="292"/>
      <c r="SUW1" s="292"/>
      <c r="SUX1" s="292"/>
      <c r="SUY1" s="292"/>
      <c r="SUZ1" s="292"/>
      <c r="SVA1" s="292"/>
      <c r="SVB1" s="292"/>
      <c r="SVC1" s="292"/>
      <c r="SVD1" s="292"/>
      <c r="SVE1" s="292"/>
      <c r="SVF1" s="292"/>
      <c r="SVG1" s="292"/>
      <c r="SVH1" s="292"/>
      <c r="SVI1" s="292"/>
      <c r="SVJ1" s="292"/>
      <c r="SVK1" s="292"/>
      <c r="SVL1" s="292"/>
      <c r="SVM1" s="292"/>
      <c r="SVN1" s="292"/>
      <c r="SVO1" s="292"/>
      <c r="SVP1" s="292"/>
      <c r="SVQ1" s="292"/>
      <c r="SVR1" s="292"/>
      <c r="SVS1" s="292"/>
      <c r="SVT1" s="292"/>
      <c r="SVU1" s="292"/>
      <c r="SVV1" s="292"/>
      <c r="SVW1" s="292"/>
      <c r="SVX1" s="292"/>
      <c r="SVY1" s="292"/>
      <c r="SVZ1" s="292"/>
      <c r="SWA1" s="292"/>
      <c r="SWB1" s="292"/>
      <c r="SWC1" s="292"/>
      <c r="SWD1" s="292"/>
      <c r="SWE1" s="292"/>
      <c r="SWF1" s="292"/>
      <c r="SWG1" s="292"/>
      <c r="SWH1" s="292"/>
      <c r="SWI1" s="292"/>
      <c r="SWJ1" s="292"/>
      <c r="SWK1" s="292"/>
      <c r="SWL1" s="292"/>
      <c r="SWM1" s="292"/>
      <c r="SWN1" s="292"/>
      <c r="SWO1" s="292"/>
      <c r="SWP1" s="292"/>
      <c r="SWQ1" s="292"/>
      <c r="SWR1" s="292"/>
      <c r="SWS1" s="292"/>
      <c r="SWT1" s="292"/>
      <c r="SWU1" s="292"/>
      <c r="SWV1" s="292"/>
      <c r="SWW1" s="292"/>
      <c r="SWX1" s="292"/>
      <c r="SWY1" s="292"/>
      <c r="SWZ1" s="292"/>
      <c r="SXA1" s="292"/>
      <c r="SXB1" s="292"/>
      <c r="SXC1" s="292"/>
      <c r="SXD1" s="292"/>
      <c r="SXE1" s="292"/>
      <c r="SXF1" s="292"/>
      <c r="SXG1" s="292"/>
      <c r="SXH1" s="292"/>
      <c r="SXI1" s="292"/>
      <c r="SXJ1" s="292"/>
      <c r="SXK1" s="292"/>
      <c r="SXL1" s="292"/>
      <c r="SXM1" s="292"/>
      <c r="SXN1" s="292"/>
      <c r="SXO1" s="292"/>
      <c r="SXP1" s="292"/>
      <c r="SXQ1" s="292"/>
      <c r="SXR1" s="292"/>
      <c r="SXS1" s="292"/>
      <c r="SXT1" s="292"/>
      <c r="SXU1" s="292"/>
      <c r="SXV1" s="292"/>
      <c r="SXW1" s="292"/>
      <c r="SXX1" s="292"/>
      <c r="SXY1" s="292"/>
      <c r="SXZ1" s="292"/>
      <c r="SYA1" s="292"/>
      <c r="SYB1" s="292"/>
      <c r="SYC1" s="292"/>
      <c r="SYD1" s="292"/>
      <c r="SYE1" s="292"/>
      <c r="SYF1" s="292"/>
      <c r="SYG1" s="292"/>
      <c r="SYH1" s="292"/>
      <c r="SYI1" s="292"/>
      <c r="SYJ1" s="292"/>
      <c r="SYK1" s="292"/>
      <c r="SYL1" s="292"/>
      <c r="SYM1" s="292"/>
      <c r="SYN1" s="292"/>
      <c r="SYO1" s="292"/>
      <c r="SYP1" s="292"/>
      <c r="SYQ1" s="292"/>
      <c r="SYR1" s="292"/>
      <c r="SYS1" s="292"/>
      <c r="SYT1" s="292"/>
      <c r="SYU1" s="292"/>
      <c r="SYV1" s="292"/>
      <c r="SYW1" s="292"/>
      <c r="SYX1" s="292"/>
      <c r="SYY1" s="292"/>
      <c r="SYZ1" s="292"/>
      <c r="SZA1" s="292"/>
      <c r="SZB1" s="292"/>
      <c r="SZC1" s="292"/>
      <c r="SZD1" s="292"/>
      <c r="SZE1" s="292"/>
      <c r="SZF1" s="292"/>
      <c r="SZG1" s="292"/>
      <c r="SZH1" s="292"/>
      <c r="SZI1" s="292"/>
      <c r="SZJ1" s="292"/>
      <c r="SZK1" s="292"/>
      <c r="SZL1" s="292"/>
      <c r="SZM1" s="292"/>
      <c r="SZN1" s="292"/>
      <c r="SZO1" s="292"/>
      <c r="SZP1" s="292"/>
      <c r="SZQ1" s="292"/>
      <c r="SZR1" s="292"/>
      <c r="SZS1" s="292"/>
      <c r="SZT1" s="292"/>
      <c r="SZU1" s="292"/>
      <c r="SZV1" s="292"/>
      <c r="SZW1" s="292"/>
      <c r="SZX1" s="292"/>
      <c r="SZY1" s="292"/>
      <c r="SZZ1" s="292"/>
      <c r="TAA1" s="292"/>
      <c r="TAB1" s="292"/>
      <c r="TAC1" s="292"/>
      <c r="TAD1" s="292"/>
      <c r="TAE1" s="292"/>
      <c r="TAF1" s="292"/>
      <c r="TAG1" s="292"/>
      <c r="TAH1" s="292"/>
      <c r="TAI1" s="292"/>
      <c r="TAJ1" s="292"/>
      <c r="TAK1" s="292"/>
      <c r="TAL1" s="292"/>
      <c r="TAM1" s="292"/>
      <c r="TAN1" s="292"/>
      <c r="TAO1" s="292"/>
      <c r="TAP1" s="292"/>
      <c r="TAQ1" s="292"/>
      <c r="TAR1" s="292"/>
      <c r="TAS1" s="292"/>
      <c r="TAT1" s="292"/>
      <c r="TAU1" s="292"/>
      <c r="TAV1" s="292"/>
      <c r="TAW1" s="292"/>
      <c r="TAX1" s="292"/>
      <c r="TAY1" s="292"/>
      <c r="TAZ1" s="292"/>
      <c r="TBA1" s="292"/>
      <c r="TBB1" s="292"/>
      <c r="TBC1" s="292"/>
      <c r="TBD1" s="292"/>
      <c r="TBE1" s="292"/>
      <c r="TBF1" s="292"/>
      <c r="TBG1" s="292"/>
      <c r="TBH1" s="292"/>
      <c r="TBI1" s="292"/>
      <c r="TBJ1" s="292"/>
      <c r="TBK1" s="292"/>
      <c r="TBL1" s="292"/>
      <c r="TBM1" s="292"/>
      <c r="TBN1" s="292"/>
      <c r="TBO1" s="292"/>
      <c r="TBP1" s="292"/>
      <c r="TBQ1" s="292"/>
      <c r="TBR1" s="292"/>
      <c r="TBS1" s="292"/>
      <c r="TBT1" s="292"/>
      <c r="TBU1" s="292"/>
      <c r="TBV1" s="292"/>
      <c r="TBW1" s="292"/>
      <c r="TBX1" s="292"/>
      <c r="TBY1" s="292"/>
      <c r="TBZ1" s="292"/>
      <c r="TCA1" s="292"/>
      <c r="TCB1" s="292"/>
      <c r="TCC1" s="292"/>
      <c r="TCD1" s="292"/>
      <c r="TCE1" s="292"/>
      <c r="TCF1" s="292"/>
      <c r="TCG1" s="292"/>
      <c r="TCH1" s="292"/>
      <c r="TCI1" s="292"/>
      <c r="TCJ1" s="292"/>
      <c r="TCK1" s="292"/>
      <c r="TCL1" s="292"/>
      <c r="TCM1" s="292"/>
      <c r="TCN1" s="292"/>
      <c r="TCO1" s="292"/>
      <c r="TCP1" s="292"/>
      <c r="TCQ1" s="292"/>
      <c r="TCR1" s="292"/>
      <c r="TCS1" s="292"/>
      <c r="TCT1" s="292"/>
      <c r="TCU1" s="292"/>
      <c r="TCV1" s="292"/>
      <c r="TCW1" s="292"/>
      <c r="TCX1" s="292"/>
      <c r="TCY1" s="292"/>
      <c r="TCZ1" s="292"/>
      <c r="TDA1" s="292"/>
      <c r="TDB1" s="292"/>
      <c r="TDC1" s="292"/>
      <c r="TDD1" s="292"/>
      <c r="TDE1" s="292"/>
      <c r="TDF1" s="292"/>
      <c r="TDG1" s="292"/>
      <c r="TDH1" s="292"/>
      <c r="TDI1" s="292"/>
      <c r="TDJ1" s="292"/>
      <c r="TDK1" s="292"/>
      <c r="TDL1" s="292"/>
      <c r="TDM1" s="292"/>
      <c r="TDN1" s="292"/>
      <c r="TDO1" s="292"/>
      <c r="TDP1" s="292"/>
      <c r="TDQ1" s="292"/>
      <c r="TDR1" s="292"/>
      <c r="TDS1" s="292"/>
      <c r="TDT1" s="292"/>
      <c r="TDU1" s="292"/>
      <c r="TDV1" s="292"/>
      <c r="TDW1" s="292"/>
      <c r="TDX1" s="292"/>
      <c r="TDY1" s="292"/>
      <c r="TDZ1" s="292"/>
      <c r="TEA1" s="292"/>
      <c r="TEB1" s="292"/>
      <c r="TEC1" s="292"/>
      <c r="TED1" s="292"/>
      <c r="TEE1" s="292"/>
      <c r="TEF1" s="292"/>
      <c r="TEG1" s="292"/>
      <c r="TEH1" s="292"/>
      <c r="TEI1" s="292"/>
      <c r="TEJ1" s="292"/>
      <c r="TEK1" s="292"/>
      <c r="TEL1" s="292"/>
      <c r="TEM1" s="292"/>
      <c r="TEN1" s="292"/>
      <c r="TEO1" s="292"/>
      <c r="TEP1" s="292"/>
      <c r="TEQ1" s="292"/>
      <c r="TER1" s="292"/>
      <c r="TES1" s="292"/>
      <c r="TET1" s="292"/>
      <c r="TEU1" s="292"/>
      <c r="TEV1" s="292"/>
      <c r="TEW1" s="292"/>
      <c r="TEX1" s="292"/>
      <c r="TEY1" s="292"/>
      <c r="TEZ1" s="292"/>
      <c r="TFA1" s="292"/>
      <c r="TFB1" s="292"/>
      <c r="TFC1" s="292"/>
      <c r="TFD1" s="292"/>
      <c r="TFE1" s="292"/>
      <c r="TFF1" s="292"/>
      <c r="TFG1" s="292"/>
      <c r="TFH1" s="292"/>
      <c r="TFI1" s="292"/>
      <c r="TFJ1" s="292"/>
      <c r="TFK1" s="292"/>
      <c r="TFL1" s="292"/>
      <c r="TFM1" s="292"/>
      <c r="TFN1" s="292"/>
      <c r="TFO1" s="292"/>
      <c r="TFP1" s="292"/>
      <c r="TFQ1" s="292"/>
      <c r="TFR1" s="292"/>
      <c r="TFS1" s="292"/>
      <c r="TFT1" s="292"/>
      <c r="TFU1" s="292"/>
      <c r="TFV1" s="292"/>
      <c r="TFW1" s="292"/>
      <c r="TFX1" s="292"/>
      <c r="TFY1" s="292"/>
      <c r="TFZ1" s="292"/>
      <c r="TGA1" s="292"/>
      <c r="TGB1" s="292"/>
      <c r="TGC1" s="292"/>
      <c r="TGD1" s="292"/>
      <c r="TGE1" s="292"/>
      <c r="TGF1" s="292"/>
      <c r="TGG1" s="292"/>
      <c r="TGH1" s="292"/>
      <c r="TGI1" s="292"/>
      <c r="TGJ1" s="292"/>
      <c r="TGK1" s="292"/>
      <c r="TGL1" s="292"/>
      <c r="TGM1" s="292"/>
      <c r="TGN1" s="292"/>
      <c r="TGO1" s="292"/>
      <c r="TGP1" s="292"/>
      <c r="TGQ1" s="292"/>
      <c r="TGR1" s="292"/>
      <c r="TGS1" s="292"/>
      <c r="TGT1" s="292"/>
      <c r="TGU1" s="292"/>
      <c r="TGV1" s="292"/>
      <c r="TGW1" s="292"/>
      <c r="TGX1" s="292"/>
      <c r="TGY1" s="292"/>
      <c r="TGZ1" s="292"/>
      <c r="THA1" s="292"/>
      <c r="THB1" s="292"/>
      <c r="THC1" s="292"/>
      <c r="THD1" s="292"/>
      <c r="THE1" s="292"/>
      <c r="THF1" s="292"/>
      <c r="THG1" s="292"/>
      <c r="THH1" s="292"/>
      <c r="THI1" s="292"/>
      <c r="THJ1" s="292"/>
      <c r="THK1" s="292"/>
      <c r="THL1" s="292"/>
      <c r="THM1" s="292"/>
      <c r="THN1" s="292"/>
      <c r="THO1" s="292"/>
      <c r="THP1" s="292"/>
      <c r="THQ1" s="292"/>
      <c r="THR1" s="292"/>
      <c r="THS1" s="292"/>
      <c r="THT1" s="292"/>
      <c r="THU1" s="292"/>
      <c r="THV1" s="292"/>
      <c r="THW1" s="292"/>
      <c r="THX1" s="292"/>
      <c r="THY1" s="292"/>
      <c r="THZ1" s="292"/>
      <c r="TIA1" s="292"/>
      <c r="TIB1" s="292"/>
      <c r="TIC1" s="292"/>
      <c r="TID1" s="292"/>
      <c r="TIE1" s="292"/>
      <c r="TIF1" s="292"/>
      <c r="TIG1" s="292"/>
      <c r="TIH1" s="292"/>
      <c r="TII1" s="292"/>
      <c r="TIJ1" s="292"/>
      <c r="TIK1" s="292"/>
      <c r="TIL1" s="292"/>
      <c r="TIM1" s="292"/>
      <c r="TIN1" s="292"/>
      <c r="TIO1" s="292"/>
      <c r="TIP1" s="292"/>
      <c r="TIQ1" s="292"/>
      <c r="TIR1" s="292"/>
      <c r="TIS1" s="292"/>
      <c r="TIT1" s="292"/>
      <c r="TIU1" s="292"/>
      <c r="TIV1" s="292"/>
      <c r="TIW1" s="292"/>
      <c r="TIX1" s="292"/>
      <c r="TIY1" s="292"/>
      <c r="TIZ1" s="292"/>
      <c r="TJA1" s="292"/>
      <c r="TJB1" s="292"/>
      <c r="TJC1" s="292"/>
      <c r="TJD1" s="292"/>
      <c r="TJE1" s="292"/>
      <c r="TJF1" s="292"/>
      <c r="TJG1" s="292"/>
      <c r="TJH1" s="292"/>
      <c r="TJI1" s="292"/>
      <c r="TJJ1" s="292"/>
      <c r="TJK1" s="292"/>
      <c r="TJL1" s="292"/>
      <c r="TJM1" s="292"/>
      <c r="TJN1" s="292"/>
      <c r="TJO1" s="292"/>
      <c r="TJP1" s="292"/>
      <c r="TJQ1" s="292"/>
      <c r="TJR1" s="292"/>
      <c r="TJS1" s="292"/>
      <c r="TJT1" s="292"/>
      <c r="TJU1" s="292"/>
      <c r="TJV1" s="292"/>
      <c r="TJW1" s="292"/>
      <c r="TJX1" s="292"/>
      <c r="TJY1" s="292"/>
      <c r="TJZ1" s="292"/>
      <c r="TKA1" s="292"/>
      <c r="TKB1" s="292"/>
      <c r="TKC1" s="292"/>
      <c r="TKD1" s="292"/>
      <c r="TKE1" s="292"/>
      <c r="TKF1" s="292"/>
      <c r="TKG1" s="292"/>
      <c r="TKH1" s="292"/>
      <c r="TKI1" s="292"/>
      <c r="TKJ1" s="292"/>
      <c r="TKK1" s="292"/>
      <c r="TKL1" s="292"/>
      <c r="TKM1" s="292"/>
      <c r="TKN1" s="292"/>
      <c r="TKO1" s="292"/>
      <c r="TKP1" s="292"/>
      <c r="TKQ1" s="292"/>
      <c r="TKR1" s="292"/>
      <c r="TKS1" s="292"/>
      <c r="TKT1" s="292"/>
      <c r="TKU1" s="292"/>
      <c r="TKV1" s="292"/>
      <c r="TKW1" s="292"/>
      <c r="TKX1" s="292"/>
      <c r="TKY1" s="292"/>
      <c r="TKZ1" s="292"/>
      <c r="TLA1" s="292"/>
      <c r="TLB1" s="292"/>
      <c r="TLC1" s="292"/>
      <c r="TLD1" s="292"/>
      <c r="TLE1" s="292"/>
      <c r="TLF1" s="292"/>
      <c r="TLG1" s="292"/>
      <c r="TLH1" s="292"/>
      <c r="TLI1" s="292"/>
      <c r="TLJ1" s="292"/>
      <c r="TLK1" s="292"/>
      <c r="TLL1" s="292"/>
      <c r="TLM1" s="292"/>
      <c r="TLN1" s="292"/>
      <c r="TLO1" s="292"/>
      <c r="TLP1" s="292"/>
      <c r="TLQ1" s="292"/>
      <c r="TLR1" s="292"/>
      <c r="TLS1" s="292"/>
      <c r="TLT1" s="292"/>
      <c r="TLU1" s="292"/>
      <c r="TLV1" s="292"/>
      <c r="TLW1" s="292"/>
      <c r="TLX1" s="292"/>
      <c r="TLY1" s="292"/>
      <c r="TLZ1" s="292"/>
      <c r="TMA1" s="292"/>
      <c r="TMB1" s="292"/>
      <c r="TMC1" s="292"/>
      <c r="TMD1" s="292"/>
      <c r="TME1" s="292"/>
      <c r="TMF1" s="292"/>
      <c r="TMG1" s="292"/>
      <c r="TMH1" s="292"/>
      <c r="TMI1" s="292"/>
      <c r="TMJ1" s="292"/>
      <c r="TMK1" s="292"/>
      <c r="TML1" s="292"/>
      <c r="TMM1" s="292"/>
      <c r="TMN1" s="292"/>
      <c r="TMO1" s="292"/>
      <c r="TMP1" s="292"/>
      <c r="TMQ1" s="292"/>
      <c r="TMR1" s="292"/>
      <c r="TMS1" s="292"/>
      <c r="TMT1" s="292"/>
      <c r="TMU1" s="292"/>
      <c r="TMV1" s="292"/>
      <c r="TMW1" s="292"/>
      <c r="TMX1" s="292"/>
      <c r="TMY1" s="292"/>
      <c r="TMZ1" s="292"/>
      <c r="TNA1" s="292"/>
      <c r="TNB1" s="292"/>
      <c r="TNC1" s="292"/>
      <c r="TND1" s="292"/>
      <c r="TNE1" s="292"/>
      <c r="TNF1" s="292"/>
      <c r="TNG1" s="292"/>
      <c r="TNH1" s="292"/>
      <c r="TNI1" s="292"/>
      <c r="TNJ1" s="292"/>
      <c r="TNK1" s="292"/>
      <c r="TNL1" s="292"/>
      <c r="TNM1" s="292"/>
      <c r="TNN1" s="292"/>
      <c r="TNO1" s="292"/>
      <c r="TNP1" s="292"/>
      <c r="TNQ1" s="292"/>
      <c r="TNR1" s="292"/>
      <c r="TNS1" s="292"/>
      <c r="TNT1" s="292"/>
      <c r="TNU1" s="292"/>
      <c r="TNV1" s="292"/>
      <c r="TNW1" s="292"/>
      <c r="TNX1" s="292"/>
      <c r="TNY1" s="292"/>
      <c r="TNZ1" s="292"/>
      <c r="TOA1" s="292"/>
      <c r="TOB1" s="292"/>
      <c r="TOC1" s="292"/>
      <c r="TOD1" s="292"/>
      <c r="TOE1" s="292"/>
      <c r="TOF1" s="292"/>
      <c r="TOG1" s="292"/>
      <c r="TOH1" s="292"/>
      <c r="TOI1" s="292"/>
      <c r="TOJ1" s="292"/>
      <c r="TOK1" s="292"/>
      <c r="TOL1" s="292"/>
      <c r="TOM1" s="292"/>
      <c r="TON1" s="292"/>
      <c r="TOO1" s="292"/>
      <c r="TOP1" s="292"/>
      <c r="TOQ1" s="292"/>
      <c r="TOR1" s="292"/>
      <c r="TOS1" s="292"/>
      <c r="TOT1" s="292"/>
      <c r="TOU1" s="292"/>
      <c r="TOV1" s="292"/>
      <c r="TOW1" s="292"/>
      <c r="TOX1" s="292"/>
      <c r="TOY1" s="292"/>
      <c r="TOZ1" s="292"/>
      <c r="TPA1" s="292"/>
      <c r="TPB1" s="292"/>
      <c r="TPC1" s="292"/>
      <c r="TPD1" s="292"/>
      <c r="TPE1" s="292"/>
      <c r="TPF1" s="292"/>
      <c r="TPG1" s="292"/>
      <c r="TPH1" s="292"/>
      <c r="TPI1" s="292"/>
      <c r="TPJ1" s="292"/>
      <c r="TPK1" s="292"/>
      <c r="TPL1" s="292"/>
      <c r="TPM1" s="292"/>
      <c r="TPN1" s="292"/>
      <c r="TPO1" s="292"/>
      <c r="TPP1" s="292"/>
      <c r="TPQ1" s="292"/>
      <c r="TPR1" s="292"/>
      <c r="TPS1" s="292"/>
      <c r="TPT1" s="292"/>
      <c r="TPU1" s="292"/>
      <c r="TPV1" s="292"/>
      <c r="TPW1" s="292"/>
      <c r="TPX1" s="292"/>
      <c r="TPY1" s="292"/>
      <c r="TPZ1" s="292"/>
      <c r="TQA1" s="292"/>
      <c r="TQB1" s="292"/>
      <c r="TQC1" s="292"/>
      <c r="TQD1" s="292"/>
      <c r="TQE1" s="292"/>
      <c r="TQF1" s="292"/>
      <c r="TQG1" s="292"/>
      <c r="TQH1" s="292"/>
      <c r="TQI1" s="292"/>
      <c r="TQJ1" s="292"/>
      <c r="TQK1" s="292"/>
      <c r="TQL1" s="292"/>
      <c r="TQM1" s="292"/>
      <c r="TQN1" s="292"/>
      <c r="TQO1" s="292"/>
      <c r="TQP1" s="292"/>
      <c r="TQQ1" s="292"/>
      <c r="TQR1" s="292"/>
      <c r="TQS1" s="292"/>
      <c r="TQT1" s="292"/>
      <c r="TQU1" s="292"/>
      <c r="TQV1" s="292"/>
      <c r="TQW1" s="292"/>
      <c r="TQX1" s="292"/>
      <c r="TQY1" s="292"/>
      <c r="TQZ1" s="292"/>
      <c r="TRA1" s="292"/>
      <c r="TRB1" s="292"/>
      <c r="TRC1" s="292"/>
      <c r="TRD1" s="292"/>
      <c r="TRE1" s="292"/>
      <c r="TRF1" s="292"/>
      <c r="TRG1" s="292"/>
      <c r="TRH1" s="292"/>
      <c r="TRI1" s="292"/>
      <c r="TRJ1" s="292"/>
      <c r="TRK1" s="292"/>
      <c r="TRL1" s="292"/>
      <c r="TRM1" s="292"/>
      <c r="TRN1" s="292"/>
      <c r="TRO1" s="292"/>
      <c r="TRP1" s="292"/>
      <c r="TRQ1" s="292"/>
      <c r="TRR1" s="292"/>
      <c r="TRS1" s="292"/>
      <c r="TRT1" s="292"/>
      <c r="TRU1" s="292"/>
      <c r="TRV1" s="292"/>
      <c r="TRW1" s="292"/>
      <c r="TRX1" s="292"/>
      <c r="TRY1" s="292"/>
      <c r="TRZ1" s="292"/>
      <c r="TSA1" s="292"/>
      <c r="TSB1" s="292"/>
      <c r="TSC1" s="292"/>
      <c r="TSD1" s="292"/>
      <c r="TSE1" s="292"/>
      <c r="TSF1" s="292"/>
      <c r="TSG1" s="292"/>
      <c r="TSH1" s="292"/>
      <c r="TSI1" s="292"/>
      <c r="TSJ1" s="292"/>
      <c r="TSK1" s="292"/>
      <c r="TSL1" s="292"/>
      <c r="TSM1" s="292"/>
      <c r="TSN1" s="292"/>
      <c r="TSO1" s="292"/>
      <c r="TSP1" s="292"/>
      <c r="TSQ1" s="292"/>
      <c r="TSR1" s="292"/>
      <c r="TSS1" s="292"/>
      <c r="TST1" s="292"/>
      <c r="TSU1" s="292"/>
      <c r="TSV1" s="292"/>
      <c r="TSW1" s="292"/>
      <c r="TSX1" s="292"/>
      <c r="TSY1" s="292"/>
      <c r="TSZ1" s="292"/>
      <c r="TTA1" s="292"/>
      <c r="TTB1" s="292"/>
      <c r="TTC1" s="292"/>
      <c r="TTD1" s="292"/>
      <c r="TTE1" s="292"/>
      <c r="TTF1" s="292"/>
      <c r="TTG1" s="292"/>
      <c r="TTH1" s="292"/>
      <c r="TTI1" s="292"/>
      <c r="TTJ1" s="292"/>
      <c r="TTK1" s="292"/>
      <c r="TTL1" s="292"/>
      <c r="TTM1" s="292"/>
      <c r="TTN1" s="292"/>
      <c r="TTO1" s="292"/>
      <c r="TTP1" s="292"/>
      <c r="TTQ1" s="292"/>
      <c r="TTR1" s="292"/>
      <c r="TTS1" s="292"/>
      <c r="TTT1" s="292"/>
      <c r="TTU1" s="292"/>
      <c r="TTV1" s="292"/>
      <c r="TTW1" s="292"/>
      <c r="TTX1" s="292"/>
      <c r="TTY1" s="292"/>
      <c r="TTZ1" s="292"/>
      <c r="TUA1" s="292"/>
      <c r="TUB1" s="292"/>
      <c r="TUC1" s="292"/>
      <c r="TUD1" s="292"/>
      <c r="TUE1" s="292"/>
      <c r="TUF1" s="292"/>
      <c r="TUG1" s="292"/>
      <c r="TUH1" s="292"/>
      <c r="TUI1" s="292"/>
      <c r="TUJ1" s="292"/>
      <c r="TUK1" s="292"/>
      <c r="TUL1" s="292"/>
      <c r="TUM1" s="292"/>
      <c r="TUN1" s="292"/>
      <c r="TUO1" s="292"/>
      <c r="TUP1" s="292"/>
      <c r="TUQ1" s="292"/>
      <c r="TUR1" s="292"/>
      <c r="TUS1" s="292"/>
      <c r="TUT1" s="292"/>
      <c r="TUU1" s="292"/>
      <c r="TUV1" s="292"/>
      <c r="TUW1" s="292"/>
      <c r="TUX1" s="292"/>
      <c r="TUY1" s="292"/>
      <c r="TUZ1" s="292"/>
      <c r="TVA1" s="292"/>
      <c r="TVB1" s="292"/>
      <c r="TVC1" s="292"/>
      <c r="TVD1" s="292"/>
      <c r="TVE1" s="292"/>
      <c r="TVF1" s="292"/>
      <c r="TVG1" s="292"/>
      <c r="TVH1" s="292"/>
      <c r="TVI1" s="292"/>
      <c r="TVJ1" s="292"/>
      <c r="TVK1" s="292"/>
      <c r="TVL1" s="292"/>
      <c r="TVM1" s="292"/>
      <c r="TVN1" s="292"/>
      <c r="TVO1" s="292"/>
      <c r="TVP1" s="292"/>
      <c r="TVQ1" s="292"/>
      <c r="TVR1" s="292"/>
      <c r="TVS1" s="292"/>
      <c r="TVT1" s="292"/>
      <c r="TVU1" s="292"/>
      <c r="TVV1" s="292"/>
      <c r="TVW1" s="292"/>
      <c r="TVX1" s="292"/>
      <c r="TVY1" s="292"/>
      <c r="TVZ1" s="292"/>
      <c r="TWA1" s="292"/>
      <c r="TWB1" s="292"/>
      <c r="TWC1" s="292"/>
      <c r="TWD1" s="292"/>
      <c r="TWE1" s="292"/>
      <c r="TWF1" s="292"/>
      <c r="TWG1" s="292"/>
      <c r="TWH1" s="292"/>
      <c r="TWI1" s="292"/>
      <c r="TWJ1" s="292"/>
      <c r="TWK1" s="292"/>
      <c r="TWL1" s="292"/>
      <c r="TWM1" s="292"/>
      <c r="TWN1" s="292"/>
      <c r="TWO1" s="292"/>
      <c r="TWP1" s="292"/>
      <c r="TWQ1" s="292"/>
      <c r="TWR1" s="292"/>
      <c r="TWS1" s="292"/>
      <c r="TWT1" s="292"/>
      <c r="TWU1" s="292"/>
      <c r="TWV1" s="292"/>
      <c r="TWW1" s="292"/>
      <c r="TWX1" s="292"/>
      <c r="TWY1" s="292"/>
      <c r="TWZ1" s="292"/>
      <c r="TXA1" s="292"/>
      <c r="TXB1" s="292"/>
      <c r="TXC1" s="292"/>
      <c r="TXD1" s="292"/>
      <c r="TXE1" s="292"/>
      <c r="TXF1" s="292"/>
      <c r="TXG1" s="292"/>
      <c r="TXH1" s="292"/>
      <c r="TXI1" s="292"/>
      <c r="TXJ1" s="292"/>
      <c r="TXK1" s="292"/>
      <c r="TXL1" s="292"/>
      <c r="TXM1" s="292"/>
      <c r="TXN1" s="292"/>
      <c r="TXO1" s="292"/>
      <c r="TXP1" s="292"/>
      <c r="TXQ1" s="292"/>
      <c r="TXR1" s="292"/>
      <c r="TXS1" s="292"/>
      <c r="TXT1" s="292"/>
      <c r="TXU1" s="292"/>
      <c r="TXV1" s="292"/>
      <c r="TXW1" s="292"/>
      <c r="TXX1" s="292"/>
      <c r="TXY1" s="292"/>
      <c r="TXZ1" s="292"/>
      <c r="TYA1" s="292"/>
      <c r="TYB1" s="292"/>
      <c r="TYC1" s="292"/>
      <c r="TYD1" s="292"/>
      <c r="TYE1" s="292"/>
      <c r="TYF1" s="292"/>
      <c r="TYG1" s="292"/>
      <c r="TYH1" s="292"/>
      <c r="TYI1" s="292"/>
      <c r="TYJ1" s="292"/>
      <c r="TYK1" s="292"/>
      <c r="TYL1" s="292"/>
      <c r="TYM1" s="292"/>
      <c r="TYN1" s="292"/>
      <c r="TYO1" s="292"/>
      <c r="TYP1" s="292"/>
      <c r="TYQ1" s="292"/>
      <c r="TYR1" s="292"/>
      <c r="TYS1" s="292"/>
      <c r="TYT1" s="292"/>
      <c r="TYU1" s="292"/>
      <c r="TYV1" s="292"/>
      <c r="TYW1" s="292"/>
      <c r="TYX1" s="292"/>
      <c r="TYY1" s="292"/>
      <c r="TYZ1" s="292"/>
      <c r="TZA1" s="292"/>
      <c r="TZB1" s="292"/>
      <c r="TZC1" s="292"/>
      <c r="TZD1" s="292"/>
      <c r="TZE1" s="292"/>
      <c r="TZF1" s="292"/>
      <c r="TZG1" s="292"/>
      <c r="TZH1" s="292"/>
      <c r="TZI1" s="292"/>
      <c r="TZJ1" s="292"/>
      <c r="TZK1" s="292"/>
      <c r="TZL1" s="292"/>
      <c r="TZM1" s="292"/>
      <c r="TZN1" s="292"/>
      <c r="TZO1" s="292"/>
      <c r="TZP1" s="292"/>
      <c r="TZQ1" s="292"/>
      <c r="TZR1" s="292"/>
      <c r="TZS1" s="292"/>
      <c r="TZT1" s="292"/>
      <c r="TZU1" s="292"/>
      <c r="TZV1" s="292"/>
      <c r="TZW1" s="292"/>
      <c r="TZX1" s="292"/>
      <c r="TZY1" s="292"/>
      <c r="TZZ1" s="292"/>
      <c r="UAA1" s="292"/>
      <c r="UAB1" s="292"/>
      <c r="UAC1" s="292"/>
      <c r="UAD1" s="292"/>
      <c r="UAE1" s="292"/>
      <c r="UAF1" s="292"/>
      <c r="UAG1" s="292"/>
      <c r="UAH1" s="292"/>
      <c r="UAI1" s="292"/>
      <c r="UAJ1" s="292"/>
      <c r="UAK1" s="292"/>
      <c r="UAL1" s="292"/>
      <c r="UAM1" s="292"/>
      <c r="UAN1" s="292"/>
      <c r="UAO1" s="292"/>
      <c r="UAP1" s="292"/>
      <c r="UAQ1" s="292"/>
      <c r="UAR1" s="292"/>
      <c r="UAS1" s="292"/>
      <c r="UAT1" s="292"/>
      <c r="UAU1" s="292"/>
      <c r="UAV1" s="292"/>
      <c r="UAW1" s="292"/>
      <c r="UAX1" s="292"/>
      <c r="UAY1" s="292"/>
      <c r="UAZ1" s="292"/>
      <c r="UBA1" s="292"/>
      <c r="UBB1" s="292"/>
      <c r="UBC1" s="292"/>
      <c r="UBD1" s="292"/>
      <c r="UBE1" s="292"/>
      <c r="UBF1" s="292"/>
      <c r="UBG1" s="292"/>
      <c r="UBH1" s="292"/>
      <c r="UBI1" s="292"/>
      <c r="UBJ1" s="292"/>
      <c r="UBK1" s="292"/>
      <c r="UBL1" s="292"/>
      <c r="UBM1" s="292"/>
      <c r="UBN1" s="292"/>
      <c r="UBO1" s="292"/>
      <c r="UBP1" s="292"/>
      <c r="UBQ1" s="292"/>
      <c r="UBR1" s="292"/>
      <c r="UBS1" s="292"/>
      <c r="UBT1" s="292"/>
      <c r="UBU1" s="292"/>
      <c r="UBV1" s="292"/>
      <c r="UBW1" s="292"/>
      <c r="UBX1" s="292"/>
      <c r="UBY1" s="292"/>
      <c r="UBZ1" s="292"/>
      <c r="UCA1" s="292"/>
      <c r="UCB1" s="292"/>
      <c r="UCC1" s="292"/>
      <c r="UCD1" s="292"/>
      <c r="UCE1" s="292"/>
      <c r="UCF1" s="292"/>
      <c r="UCG1" s="292"/>
      <c r="UCH1" s="292"/>
      <c r="UCI1" s="292"/>
      <c r="UCJ1" s="292"/>
      <c r="UCK1" s="292"/>
      <c r="UCL1" s="292"/>
      <c r="UCM1" s="292"/>
      <c r="UCN1" s="292"/>
      <c r="UCO1" s="292"/>
      <c r="UCP1" s="292"/>
      <c r="UCQ1" s="292"/>
      <c r="UCR1" s="292"/>
      <c r="UCS1" s="292"/>
      <c r="UCT1" s="292"/>
      <c r="UCU1" s="292"/>
      <c r="UCV1" s="292"/>
      <c r="UCW1" s="292"/>
      <c r="UCX1" s="292"/>
      <c r="UCY1" s="292"/>
      <c r="UCZ1" s="292"/>
      <c r="UDA1" s="292"/>
      <c r="UDB1" s="292"/>
      <c r="UDC1" s="292"/>
      <c r="UDD1" s="292"/>
      <c r="UDE1" s="292"/>
      <c r="UDF1" s="292"/>
      <c r="UDG1" s="292"/>
      <c r="UDH1" s="292"/>
      <c r="UDI1" s="292"/>
      <c r="UDJ1" s="292"/>
      <c r="UDK1" s="292"/>
      <c r="UDL1" s="292"/>
      <c r="UDM1" s="292"/>
      <c r="UDN1" s="292"/>
      <c r="UDO1" s="292"/>
      <c r="UDP1" s="292"/>
      <c r="UDQ1" s="292"/>
      <c r="UDR1" s="292"/>
      <c r="UDS1" s="292"/>
      <c r="UDT1" s="292"/>
      <c r="UDU1" s="292"/>
      <c r="UDV1" s="292"/>
      <c r="UDW1" s="292"/>
      <c r="UDX1" s="292"/>
      <c r="UDY1" s="292"/>
      <c r="UDZ1" s="292"/>
      <c r="UEA1" s="292"/>
      <c r="UEB1" s="292"/>
      <c r="UEC1" s="292"/>
      <c r="UED1" s="292"/>
      <c r="UEE1" s="292"/>
      <c r="UEF1" s="292"/>
      <c r="UEG1" s="292"/>
      <c r="UEH1" s="292"/>
      <c r="UEI1" s="292"/>
      <c r="UEJ1" s="292"/>
      <c r="UEK1" s="292"/>
      <c r="UEL1" s="292"/>
      <c r="UEM1" s="292"/>
      <c r="UEN1" s="292"/>
      <c r="UEO1" s="292"/>
      <c r="UEP1" s="292"/>
      <c r="UEQ1" s="292"/>
      <c r="UER1" s="292"/>
      <c r="UES1" s="292"/>
      <c r="UET1" s="292"/>
      <c r="UEU1" s="292"/>
      <c r="UEV1" s="292"/>
      <c r="UEW1" s="292"/>
      <c r="UEX1" s="292"/>
      <c r="UEY1" s="292"/>
      <c r="UEZ1" s="292"/>
      <c r="UFA1" s="292"/>
      <c r="UFB1" s="292"/>
      <c r="UFC1" s="292"/>
      <c r="UFD1" s="292"/>
      <c r="UFE1" s="292"/>
      <c r="UFF1" s="292"/>
      <c r="UFG1" s="292"/>
      <c r="UFH1" s="292"/>
      <c r="UFI1" s="292"/>
      <c r="UFJ1" s="292"/>
      <c r="UFK1" s="292"/>
      <c r="UFL1" s="292"/>
      <c r="UFM1" s="292"/>
      <c r="UFN1" s="292"/>
      <c r="UFO1" s="292"/>
      <c r="UFP1" s="292"/>
      <c r="UFQ1" s="292"/>
      <c r="UFR1" s="292"/>
      <c r="UFS1" s="292"/>
      <c r="UFT1" s="292"/>
      <c r="UFU1" s="292"/>
      <c r="UFV1" s="292"/>
      <c r="UFW1" s="292"/>
      <c r="UFX1" s="292"/>
      <c r="UFY1" s="292"/>
      <c r="UFZ1" s="292"/>
      <c r="UGA1" s="292"/>
      <c r="UGB1" s="292"/>
      <c r="UGC1" s="292"/>
      <c r="UGD1" s="292"/>
      <c r="UGE1" s="292"/>
      <c r="UGF1" s="292"/>
      <c r="UGG1" s="292"/>
      <c r="UGH1" s="292"/>
      <c r="UGI1" s="292"/>
      <c r="UGJ1" s="292"/>
      <c r="UGK1" s="292"/>
      <c r="UGL1" s="292"/>
      <c r="UGM1" s="292"/>
      <c r="UGN1" s="292"/>
      <c r="UGO1" s="292"/>
      <c r="UGP1" s="292"/>
      <c r="UGQ1" s="292"/>
      <c r="UGR1" s="292"/>
      <c r="UGS1" s="292"/>
      <c r="UGT1" s="292"/>
      <c r="UGU1" s="292"/>
      <c r="UGV1" s="292"/>
      <c r="UGW1" s="292"/>
      <c r="UGX1" s="292"/>
      <c r="UGY1" s="292"/>
      <c r="UGZ1" s="292"/>
      <c r="UHA1" s="292"/>
      <c r="UHB1" s="292"/>
      <c r="UHC1" s="292"/>
      <c r="UHD1" s="292"/>
      <c r="UHE1" s="292"/>
      <c r="UHF1" s="292"/>
      <c r="UHG1" s="292"/>
      <c r="UHH1" s="292"/>
      <c r="UHI1" s="292"/>
      <c r="UHJ1" s="292"/>
      <c r="UHK1" s="292"/>
      <c r="UHL1" s="292"/>
      <c r="UHM1" s="292"/>
      <c r="UHN1" s="292"/>
      <c r="UHO1" s="292"/>
      <c r="UHP1" s="292"/>
      <c r="UHQ1" s="292"/>
      <c r="UHR1" s="292"/>
      <c r="UHS1" s="292"/>
      <c r="UHT1" s="292"/>
      <c r="UHU1" s="292"/>
      <c r="UHV1" s="292"/>
      <c r="UHW1" s="292"/>
      <c r="UHX1" s="292"/>
      <c r="UHY1" s="292"/>
      <c r="UHZ1" s="292"/>
      <c r="UIA1" s="292"/>
      <c r="UIB1" s="292"/>
      <c r="UIC1" s="292"/>
      <c r="UID1" s="292"/>
      <c r="UIE1" s="292"/>
      <c r="UIF1" s="292"/>
      <c r="UIG1" s="292"/>
      <c r="UIH1" s="292"/>
      <c r="UII1" s="292"/>
      <c r="UIJ1" s="292"/>
      <c r="UIK1" s="292"/>
      <c r="UIL1" s="292"/>
      <c r="UIM1" s="292"/>
      <c r="UIN1" s="292"/>
      <c r="UIO1" s="292"/>
      <c r="UIP1" s="292"/>
      <c r="UIQ1" s="292"/>
      <c r="UIR1" s="292"/>
      <c r="UIS1" s="292"/>
      <c r="UIT1" s="292"/>
      <c r="UIU1" s="292"/>
      <c r="UIV1" s="292"/>
      <c r="UIW1" s="292"/>
      <c r="UIX1" s="292"/>
      <c r="UIY1" s="292"/>
      <c r="UIZ1" s="292"/>
      <c r="UJA1" s="292"/>
      <c r="UJB1" s="292"/>
      <c r="UJC1" s="292"/>
      <c r="UJD1" s="292"/>
      <c r="UJE1" s="292"/>
      <c r="UJF1" s="292"/>
      <c r="UJG1" s="292"/>
      <c r="UJH1" s="292"/>
      <c r="UJI1" s="292"/>
      <c r="UJJ1" s="292"/>
      <c r="UJK1" s="292"/>
      <c r="UJL1" s="292"/>
      <c r="UJM1" s="292"/>
      <c r="UJN1" s="292"/>
      <c r="UJO1" s="292"/>
      <c r="UJP1" s="292"/>
      <c r="UJQ1" s="292"/>
      <c r="UJR1" s="292"/>
      <c r="UJS1" s="292"/>
      <c r="UJT1" s="292"/>
      <c r="UJU1" s="292"/>
      <c r="UJV1" s="292"/>
      <c r="UJW1" s="292"/>
      <c r="UJX1" s="292"/>
      <c r="UJY1" s="292"/>
      <c r="UJZ1" s="292"/>
      <c r="UKA1" s="292"/>
      <c r="UKB1" s="292"/>
      <c r="UKC1" s="292"/>
      <c r="UKD1" s="292"/>
      <c r="UKE1" s="292"/>
      <c r="UKF1" s="292"/>
      <c r="UKG1" s="292"/>
      <c r="UKH1" s="292"/>
      <c r="UKI1" s="292"/>
      <c r="UKJ1" s="292"/>
      <c r="UKK1" s="292"/>
      <c r="UKL1" s="292"/>
      <c r="UKM1" s="292"/>
      <c r="UKN1" s="292"/>
      <c r="UKO1" s="292"/>
      <c r="UKP1" s="292"/>
      <c r="UKQ1" s="292"/>
      <c r="UKR1" s="292"/>
      <c r="UKS1" s="292"/>
      <c r="UKT1" s="292"/>
      <c r="UKU1" s="292"/>
      <c r="UKV1" s="292"/>
      <c r="UKW1" s="292"/>
      <c r="UKX1" s="292"/>
      <c r="UKY1" s="292"/>
      <c r="UKZ1" s="292"/>
      <c r="ULA1" s="292"/>
      <c r="ULB1" s="292"/>
      <c r="ULC1" s="292"/>
      <c r="ULD1" s="292"/>
      <c r="ULE1" s="292"/>
      <c r="ULF1" s="292"/>
      <c r="ULG1" s="292"/>
      <c r="ULH1" s="292"/>
      <c r="ULI1" s="292"/>
      <c r="ULJ1" s="292"/>
      <c r="ULK1" s="292"/>
      <c r="ULL1" s="292"/>
      <c r="ULM1" s="292"/>
      <c r="ULN1" s="292"/>
      <c r="ULO1" s="292"/>
      <c r="ULP1" s="292"/>
      <c r="ULQ1" s="292"/>
      <c r="ULR1" s="292"/>
      <c r="ULS1" s="292"/>
      <c r="ULT1" s="292"/>
      <c r="ULU1" s="292"/>
      <c r="ULV1" s="292"/>
      <c r="ULW1" s="292"/>
      <c r="ULX1" s="292"/>
      <c r="ULY1" s="292"/>
      <c r="ULZ1" s="292"/>
      <c r="UMA1" s="292"/>
      <c r="UMB1" s="292"/>
      <c r="UMC1" s="292"/>
      <c r="UMD1" s="292"/>
      <c r="UME1" s="292"/>
      <c r="UMF1" s="292"/>
      <c r="UMG1" s="292"/>
      <c r="UMH1" s="292"/>
      <c r="UMI1" s="292"/>
      <c r="UMJ1" s="292"/>
      <c r="UMK1" s="292"/>
      <c r="UML1" s="292"/>
      <c r="UMM1" s="292"/>
      <c r="UMN1" s="292"/>
      <c r="UMO1" s="292"/>
      <c r="UMP1" s="292"/>
      <c r="UMQ1" s="292"/>
      <c r="UMR1" s="292"/>
      <c r="UMS1" s="292"/>
      <c r="UMT1" s="292"/>
      <c r="UMU1" s="292"/>
      <c r="UMV1" s="292"/>
      <c r="UMW1" s="292"/>
      <c r="UMX1" s="292"/>
      <c r="UMY1" s="292"/>
      <c r="UMZ1" s="292"/>
      <c r="UNA1" s="292"/>
      <c r="UNB1" s="292"/>
      <c r="UNC1" s="292"/>
      <c r="UND1" s="292"/>
      <c r="UNE1" s="292"/>
      <c r="UNF1" s="292"/>
      <c r="UNG1" s="292"/>
      <c r="UNH1" s="292"/>
      <c r="UNI1" s="292"/>
      <c r="UNJ1" s="292"/>
      <c r="UNK1" s="292"/>
      <c r="UNL1" s="292"/>
      <c r="UNM1" s="292"/>
      <c r="UNN1" s="292"/>
      <c r="UNO1" s="292"/>
      <c r="UNP1" s="292"/>
      <c r="UNQ1" s="292"/>
      <c r="UNR1" s="292"/>
      <c r="UNS1" s="292"/>
      <c r="UNT1" s="292"/>
      <c r="UNU1" s="292"/>
      <c r="UNV1" s="292"/>
      <c r="UNW1" s="292"/>
      <c r="UNX1" s="292"/>
      <c r="UNY1" s="292"/>
      <c r="UNZ1" s="292"/>
      <c r="UOA1" s="292"/>
      <c r="UOB1" s="292"/>
      <c r="UOC1" s="292"/>
      <c r="UOD1" s="292"/>
      <c r="UOE1" s="292"/>
      <c r="UOF1" s="292"/>
      <c r="UOG1" s="292"/>
      <c r="UOH1" s="292"/>
      <c r="UOI1" s="292"/>
      <c r="UOJ1" s="292"/>
      <c r="UOK1" s="292"/>
      <c r="UOL1" s="292"/>
      <c r="UOM1" s="292"/>
      <c r="UON1" s="292"/>
      <c r="UOO1" s="292"/>
      <c r="UOP1" s="292"/>
      <c r="UOQ1" s="292"/>
      <c r="UOR1" s="292"/>
      <c r="UOS1" s="292"/>
      <c r="UOT1" s="292"/>
      <c r="UOU1" s="292"/>
      <c r="UOV1" s="292"/>
      <c r="UOW1" s="292"/>
      <c r="UOX1" s="292"/>
      <c r="UOY1" s="292"/>
      <c r="UOZ1" s="292"/>
      <c r="UPA1" s="292"/>
      <c r="UPB1" s="292"/>
      <c r="UPC1" s="292"/>
      <c r="UPD1" s="292"/>
      <c r="UPE1" s="292"/>
      <c r="UPF1" s="292"/>
      <c r="UPG1" s="292"/>
      <c r="UPH1" s="292"/>
      <c r="UPI1" s="292"/>
      <c r="UPJ1" s="292"/>
      <c r="UPK1" s="292"/>
      <c r="UPL1" s="292"/>
      <c r="UPM1" s="292"/>
      <c r="UPN1" s="292"/>
      <c r="UPO1" s="292"/>
      <c r="UPP1" s="292"/>
      <c r="UPQ1" s="292"/>
      <c r="UPR1" s="292"/>
      <c r="UPS1" s="292"/>
      <c r="UPT1" s="292"/>
      <c r="UPU1" s="292"/>
      <c r="UPV1" s="292"/>
      <c r="UPW1" s="292"/>
      <c r="UPX1" s="292"/>
      <c r="UPY1" s="292"/>
      <c r="UPZ1" s="292"/>
      <c r="UQA1" s="292"/>
      <c r="UQB1" s="292"/>
      <c r="UQC1" s="292"/>
      <c r="UQD1" s="292"/>
      <c r="UQE1" s="292"/>
      <c r="UQF1" s="292"/>
      <c r="UQG1" s="292"/>
      <c r="UQH1" s="292"/>
      <c r="UQI1" s="292"/>
      <c r="UQJ1" s="292"/>
      <c r="UQK1" s="292"/>
      <c r="UQL1" s="292"/>
      <c r="UQM1" s="292"/>
      <c r="UQN1" s="292"/>
      <c r="UQO1" s="292"/>
      <c r="UQP1" s="292"/>
      <c r="UQQ1" s="292"/>
      <c r="UQR1" s="292"/>
      <c r="UQS1" s="292"/>
      <c r="UQT1" s="292"/>
      <c r="UQU1" s="292"/>
      <c r="UQV1" s="292"/>
      <c r="UQW1" s="292"/>
      <c r="UQX1" s="292"/>
      <c r="UQY1" s="292"/>
      <c r="UQZ1" s="292"/>
      <c r="URA1" s="292"/>
      <c r="URB1" s="292"/>
      <c r="URC1" s="292"/>
      <c r="URD1" s="292"/>
      <c r="URE1" s="292"/>
      <c r="URF1" s="292"/>
      <c r="URG1" s="292"/>
      <c r="URH1" s="292"/>
      <c r="URI1" s="292"/>
      <c r="URJ1" s="292"/>
      <c r="URK1" s="292"/>
      <c r="URL1" s="292"/>
      <c r="URM1" s="292"/>
      <c r="URN1" s="292"/>
      <c r="URO1" s="292"/>
      <c r="URP1" s="292"/>
      <c r="URQ1" s="292"/>
      <c r="URR1" s="292"/>
      <c r="URS1" s="292"/>
      <c r="URT1" s="292"/>
      <c r="URU1" s="292"/>
      <c r="URV1" s="292"/>
      <c r="URW1" s="292"/>
      <c r="URX1" s="292"/>
      <c r="URY1" s="292"/>
      <c r="URZ1" s="292"/>
      <c r="USA1" s="292"/>
      <c r="USB1" s="292"/>
      <c r="USC1" s="292"/>
      <c r="USD1" s="292"/>
      <c r="USE1" s="292"/>
      <c r="USF1" s="292"/>
      <c r="USG1" s="292"/>
      <c r="USH1" s="292"/>
      <c r="USI1" s="292"/>
      <c r="USJ1" s="292"/>
      <c r="USK1" s="292"/>
      <c r="USL1" s="292"/>
      <c r="USM1" s="292"/>
      <c r="USN1" s="292"/>
      <c r="USO1" s="292"/>
      <c r="USP1" s="292"/>
      <c r="USQ1" s="292"/>
      <c r="USR1" s="292"/>
      <c r="USS1" s="292"/>
      <c r="UST1" s="292"/>
      <c r="USU1" s="292"/>
      <c r="USV1" s="292"/>
      <c r="USW1" s="292"/>
      <c r="USX1" s="292"/>
      <c r="USY1" s="292"/>
      <c r="USZ1" s="292"/>
      <c r="UTA1" s="292"/>
      <c r="UTB1" s="292"/>
      <c r="UTC1" s="292"/>
      <c r="UTD1" s="292"/>
      <c r="UTE1" s="292"/>
      <c r="UTF1" s="292"/>
      <c r="UTG1" s="292"/>
      <c r="UTH1" s="292"/>
      <c r="UTI1" s="292"/>
      <c r="UTJ1" s="292"/>
      <c r="UTK1" s="292"/>
      <c r="UTL1" s="292"/>
      <c r="UTM1" s="292"/>
      <c r="UTN1" s="292"/>
      <c r="UTO1" s="292"/>
      <c r="UTP1" s="292"/>
      <c r="UTQ1" s="292"/>
      <c r="UTR1" s="292"/>
      <c r="UTS1" s="292"/>
      <c r="UTT1" s="292"/>
      <c r="UTU1" s="292"/>
      <c r="UTV1" s="292"/>
      <c r="UTW1" s="292"/>
      <c r="UTX1" s="292"/>
      <c r="UTY1" s="292"/>
      <c r="UTZ1" s="292"/>
      <c r="UUA1" s="292"/>
      <c r="UUB1" s="292"/>
      <c r="UUC1" s="292"/>
      <c r="UUD1" s="292"/>
      <c r="UUE1" s="292"/>
      <c r="UUF1" s="292"/>
      <c r="UUG1" s="292"/>
      <c r="UUH1" s="292"/>
      <c r="UUI1" s="292"/>
      <c r="UUJ1" s="292"/>
      <c r="UUK1" s="292"/>
      <c r="UUL1" s="292"/>
      <c r="UUM1" s="292"/>
      <c r="UUN1" s="292"/>
      <c r="UUO1" s="292"/>
      <c r="UUP1" s="292"/>
      <c r="UUQ1" s="292"/>
      <c r="UUR1" s="292"/>
      <c r="UUS1" s="292"/>
      <c r="UUT1" s="292"/>
      <c r="UUU1" s="292"/>
      <c r="UUV1" s="292"/>
      <c r="UUW1" s="292"/>
      <c r="UUX1" s="292"/>
      <c r="UUY1" s="292"/>
      <c r="UUZ1" s="292"/>
      <c r="UVA1" s="292"/>
      <c r="UVB1" s="292"/>
      <c r="UVC1" s="292"/>
      <c r="UVD1" s="292"/>
      <c r="UVE1" s="292"/>
      <c r="UVF1" s="292"/>
      <c r="UVG1" s="292"/>
      <c r="UVH1" s="292"/>
      <c r="UVI1" s="292"/>
      <c r="UVJ1" s="292"/>
      <c r="UVK1" s="292"/>
      <c r="UVL1" s="292"/>
      <c r="UVM1" s="292"/>
      <c r="UVN1" s="292"/>
      <c r="UVO1" s="292"/>
      <c r="UVP1" s="292"/>
      <c r="UVQ1" s="292"/>
      <c r="UVR1" s="292"/>
      <c r="UVS1" s="292"/>
      <c r="UVT1" s="292"/>
      <c r="UVU1" s="292"/>
      <c r="UVV1" s="292"/>
      <c r="UVW1" s="292"/>
      <c r="UVX1" s="292"/>
      <c r="UVY1" s="292"/>
      <c r="UVZ1" s="292"/>
      <c r="UWA1" s="292"/>
      <c r="UWB1" s="292"/>
      <c r="UWC1" s="292"/>
      <c r="UWD1" s="292"/>
      <c r="UWE1" s="292"/>
      <c r="UWF1" s="292"/>
      <c r="UWG1" s="292"/>
      <c r="UWH1" s="292"/>
      <c r="UWI1" s="292"/>
      <c r="UWJ1" s="292"/>
      <c r="UWK1" s="292"/>
      <c r="UWL1" s="292"/>
      <c r="UWM1" s="292"/>
      <c r="UWN1" s="292"/>
      <c r="UWO1" s="292"/>
      <c r="UWP1" s="292"/>
      <c r="UWQ1" s="292"/>
      <c r="UWR1" s="292"/>
      <c r="UWS1" s="292"/>
      <c r="UWT1" s="292"/>
      <c r="UWU1" s="292"/>
      <c r="UWV1" s="292"/>
      <c r="UWW1" s="292"/>
      <c r="UWX1" s="292"/>
      <c r="UWY1" s="292"/>
      <c r="UWZ1" s="292"/>
      <c r="UXA1" s="292"/>
      <c r="UXB1" s="292"/>
      <c r="UXC1" s="292"/>
      <c r="UXD1" s="292"/>
      <c r="UXE1" s="292"/>
      <c r="UXF1" s="292"/>
      <c r="UXG1" s="292"/>
      <c r="UXH1" s="292"/>
      <c r="UXI1" s="292"/>
      <c r="UXJ1" s="292"/>
      <c r="UXK1" s="292"/>
      <c r="UXL1" s="292"/>
      <c r="UXM1" s="292"/>
      <c r="UXN1" s="292"/>
      <c r="UXO1" s="292"/>
      <c r="UXP1" s="292"/>
      <c r="UXQ1" s="292"/>
      <c r="UXR1" s="292"/>
      <c r="UXS1" s="292"/>
      <c r="UXT1" s="292"/>
      <c r="UXU1" s="292"/>
      <c r="UXV1" s="292"/>
      <c r="UXW1" s="292"/>
      <c r="UXX1" s="292"/>
      <c r="UXY1" s="292"/>
      <c r="UXZ1" s="292"/>
      <c r="UYA1" s="292"/>
      <c r="UYB1" s="292"/>
      <c r="UYC1" s="292"/>
      <c r="UYD1" s="292"/>
      <c r="UYE1" s="292"/>
      <c r="UYF1" s="292"/>
      <c r="UYG1" s="292"/>
      <c r="UYH1" s="292"/>
      <c r="UYI1" s="292"/>
      <c r="UYJ1" s="292"/>
      <c r="UYK1" s="292"/>
      <c r="UYL1" s="292"/>
      <c r="UYM1" s="292"/>
      <c r="UYN1" s="292"/>
      <c r="UYO1" s="292"/>
      <c r="UYP1" s="292"/>
      <c r="UYQ1" s="292"/>
      <c r="UYR1" s="292"/>
      <c r="UYS1" s="292"/>
      <c r="UYT1" s="292"/>
      <c r="UYU1" s="292"/>
      <c r="UYV1" s="292"/>
      <c r="UYW1" s="292"/>
      <c r="UYX1" s="292"/>
      <c r="UYY1" s="292"/>
      <c r="UYZ1" s="292"/>
      <c r="UZA1" s="292"/>
      <c r="UZB1" s="292"/>
      <c r="UZC1" s="292"/>
      <c r="UZD1" s="292"/>
      <c r="UZE1" s="292"/>
      <c r="UZF1" s="292"/>
      <c r="UZG1" s="292"/>
      <c r="UZH1" s="292"/>
      <c r="UZI1" s="292"/>
      <c r="UZJ1" s="292"/>
      <c r="UZK1" s="292"/>
      <c r="UZL1" s="292"/>
      <c r="UZM1" s="292"/>
      <c r="UZN1" s="292"/>
      <c r="UZO1" s="292"/>
      <c r="UZP1" s="292"/>
      <c r="UZQ1" s="292"/>
      <c r="UZR1" s="292"/>
      <c r="UZS1" s="292"/>
      <c r="UZT1" s="292"/>
      <c r="UZU1" s="292"/>
      <c r="UZV1" s="292"/>
      <c r="UZW1" s="292"/>
      <c r="UZX1" s="292"/>
      <c r="UZY1" s="292"/>
      <c r="UZZ1" s="292"/>
      <c r="VAA1" s="292"/>
      <c r="VAB1" s="292"/>
      <c r="VAC1" s="292"/>
      <c r="VAD1" s="292"/>
      <c r="VAE1" s="292"/>
      <c r="VAF1" s="292"/>
      <c r="VAG1" s="292"/>
      <c r="VAH1" s="292"/>
      <c r="VAI1" s="292"/>
      <c r="VAJ1" s="292"/>
      <c r="VAK1" s="292"/>
      <c r="VAL1" s="292"/>
      <c r="VAM1" s="292"/>
      <c r="VAN1" s="292"/>
      <c r="VAO1" s="292"/>
      <c r="VAP1" s="292"/>
      <c r="VAQ1" s="292"/>
      <c r="VAR1" s="292"/>
      <c r="VAS1" s="292"/>
      <c r="VAT1" s="292"/>
      <c r="VAU1" s="292"/>
      <c r="VAV1" s="292"/>
      <c r="VAW1" s="292"/>
      <c r="VAX1" s="292"/>
      <c r="VAY1" s="292"/>
      <c r="VAZ1" s="292"/>
      <c r="VBA1" s="292"/>
      <c r="VBB1" s="292"/>
      <c r="VBC1" s="292"/>
      <c r="VBD1" s="292"/>
      <c r="VBE1" s="292"/>
      <c r="VBF1" s="292"/>
      <c r="VBG1" s="292"/>
      <c r="VBH1" s="292"/>
      <c r="VBI1" s="292"/>
      <c r="VBJ1" s="292"/>
      <c r="VBK1" s="292"/>
      <c r="VBL1" s="292"/>
      <c r="VBM1" s="292"/>
      <c r="VBN1" s="292"/>
      <c r="VBO1" s="292"/>
      <c r="VBP1" s="292"/>
      <c r="VBQ1" s="292"/>
      <c r="VBR1" s="292"/>
      <c r="VBS1" s="292"/>
      <c r="VBT1" s="292"/>
      <c r="VBU1" s="292"/>
      <c r="VBV1" s="292"/>
      <c r="VBW1" s="292"/>
      <c r="VBX1" s="292"/>
      <c r="VBY1" s="292"/>
      <c r="VBZ1" s="292"/>
      <c r="VCA1" s="292"/>
      <c r="VCB1" s="292"/>
      <c r="VCC1" s="292"/>
      <c r="VCD1" s="292"/>
      <c r="VCE1" s="292"/>
      <c r="VCF1" s="292"/>
      <c r="VCG1" s="292"/>
      <c r="VCH1" s="292"/>
      <c r="VCI1" s="292"/>
      <c r="VCJ1" s="292"/>
      <c r="VCK1" s="292"/>
      <c r="VCL1" s="292"/>
      <c r="VCM1" s="292"/>
      <c r="VCN1" s="292"/>
      <c r="VCO1" s="292"/>
      <c r="VCP1" s="292"/>
      <c r="VCQ1" s="292"/>
      <c r="VCR1" s="292"/>
      <c r="VCS1" s="292"/>
      <c r="VCT1" s="292"/>
      <c r="VCU1" s="292"/>
      <c r="VCV1" s="292"/>
      <c r="VCW1" s="292"/>
      <c r="VCX1" s="292"/>
      <c r="VCY1" s="292"/>
      <c r="VCZ1" s="292"/>
      <c r="VDA1" s="292"/>
      <c r="VDB1" s="292"/>
      <c r="VDC1" s="292"/>
      <c r="VDD1" s="292"/>
      <c r="VDE1" s="292"/>
      <c r="VDF1" s="292"/>
      <c r="VDG1" s="292"/>
      <c r="VDH1" s="292"/>
      <c r="VDI1" s="292"/>
      <c r="VDJ1" s="292"/>
      <c r="VDK1" s="292"/>
      <c r="VDL1" s="292"/>
      <c r="VDM1" s="292"/>
      <c r="VDN1" s="292"/>
      <c r="VDO1" s="292"/>
      <c r="VDP1" s="292"/>
      <c r="VDQ1" s="292"/>
      <c r="VDR1" s="292"/>
      <c r="VDS1" s="292"/>
      <c r="VDT1" s="292"/>
      <c r="VDU1" s="292"/>
      <c r="VDV1" s="292"/>
      <c r="VDW1" s="292"/>
      <c r="VDX1" s="292"/>
      <c r="VDY1" s="292"/>
      <c r="VDZ1" s="292"/>
      <c r="VEA1" s="292"/>
      <c r="VEB1" s="292"/>
      <c r="VEC1" s="292"/>
      <c r="VED1" s="292"/>
      <c r="VEE1" s="292"/>
      <c r="VEF1" s="292"/>
      <c r="VEG1" s="292"/>
      <c r="VEH1" s="292"/>
      <c r="VEI1" s="292"/>
      <c r="VEJ1" s="292"/>
      <c r="VEK1" s="292"/>
      <c r="VEL1" s="292"/>
      <c r="VEM1" s="292"/>
      <c r="VEN1" s="292"/>
      <c r="VEO1" s="292"/>
      <c r="VEP1" s="292"/>
      <c r="VEQ1" s="292"/>
      <c r="VER1" s="292"/>
      <c r="VES1" s="292"/>
      <c r="VET1" s="292"/>
      <c r="VEU1" s="292"/>
      <c r="VEV1" s="292"/>
      <c r="VEW1" s="292"/>
      <c r="VEX1" s="292"/>
      <c r="VEY1" s="292"/>
      <c r="VEZ1" s="292"/>
      <c r="VFA1" s="292"/>
      <c r="VFB1" s="292"/>
      <c r="VFC1" s="292"/>
      <c r="VFD1" s="292"/>
      <c r="VFE1" s="292"/>
      <c r="VFF1" s="292"/>
      <c r="VFG1" s="292"/>
      <c r="VFH1" s="292"/>
      <c r="VFI1" s="292"/>
      <c r="VFJ1" s="292"/>
      <c r="VFK1" s="292"/>
      <c r="VFL1" s="292"/>
      <c r="VFM1" s="292"/>
      <c r="VFN1" s="292"/>
      <c r="VFO1" s="292"/>
      <c r="VFP1" s="292"/>
      <c r="VFQ1" s="292"/>
      <c r="VFR1" s="292"/>
      <c r="VFS1" s="292"/>
      <c r="VFT1" s="292"/>
      <c r="VFU1" s="292"/>
      <c r="VFV1" s="292"/>
      <c r="VFW1" s="292"/>
      <c r="VFX1" s="292"/>
      <c r="VFY1" s="292"/>
      <c r="VFZ1" s="292"/>
      <c r="VGA1" s="292"/>
      <c r="VGB1" s="292"/>
      <c r="VGC1" s="292"/>
      <c r="VGD1" s="292"/>
      <c r="VGE1" s="292"/>
      <c r="VGF1" s="292"/>
      <c r="VGG1" s="292"/>
      <c r="VGH1" s="292"/>
      <c r="VGI1" s="292"/>
      <c r="VGJ1" s="292"/>
      <c r="VGK1" s="292"/>
      <c r="VGL1" s="292"/>
      <c r="VGM1" s="292"/>
      <c r="VGN1" s="292"/>
      <c r="VGO1" s="292"/>
      <c r="VGP1" s="292"/>
      <c r="VGQ1" s="292"/>
      <c r="VGR1" s="292"/>
      <c r="VGS1" s="292"/>
      <c r="VGT1" s="292"/>
      <c r="VGU1" s="292"/>
      <c r="VGV1" s="292"/>
      <c r="VGW1" s="292"/>
      <c r="VGX1" s="292"/>
      <c r="VGY1" s="292"/>
      <c r="VGZ1" s="292"/>
      <c r="VHA1" s="292"/>
      <c r="VHB1" s="292"/>
      <c r="VHC1" s="292"/>
      <c r="VHD1" s="292"/>
      <c r="VHE1" s="292"/>
      <c r="VHF1" s="292"/>
      <c r="VHG1" s="292"/>
      <c r="VHH1" s="292"/>
      <c r="VHI1" s="292"/>
      <c r="VHJ1" s="292"/>
      <c r="VHK1" s="292"/>
      <c r="VHL1" s="292"/>
      <c r="VHM1" s="292"/>
      <c r="VHN1" s="292"/>
      <c r="VHO1" s="292"/>
      <c r="VHP1" s="292"/>
      <c r="VHQ1" s="292"/>
      <c r="VHR1" s="292"/>
      <c r="VHS1" s="292"/>
      <c r="VHT1" s="292"/>
      <c r="VHU1" s="292"/>
      <c r="VHV1" s="292"/>
      <c r="VHW1" s="292"/>
      <c r="VHX1" s="292"/>
      <c r="VHY1" s="292"/>
      <c r="VHZ1" s="292"/>
      <c r="VIA1" s="292"/>
      <c r="VIB1" s="292"/>
      <c r="VIC1" s="292"/>
      <c r="VID1" s="292"/>
      <c r="VIE1" s="292"/>
      <c r="VIF1" s="292"/>
      <c r="VIG1" s="292"/>
      <c r="VIH1" s="292"/>
      <c r="VII1" s="292"/>
      <c r="VIJ1" s="292"/>
      <c r="VIK1" s="292"/>
      <c r="VIL1" s="292"/>
      <c r="VIM1" s="292"/>
      <c r="VIN1" s="292"/>
      <c r="VIO1" s="292"/>
      <c r="VIP1" s="292"/>
      <c r="VIQ1" s="292"/>
      <c r="VIR1" s="292"/>
      <c r="VIS1" s="292"/>
      <c r="VIT1" s="292"/>
      <c r="VIU1" s="292"/>
      <c r="VIV1" s="292"/>
      <c r="VIW1" s="292"/>
      <c r="VIX1" s="292"/>
      <c r="VIY1" s="292"/>
      <c r="VIZ1" s="292"/>
      <c r="VJA1" s="292"/>
      <c r="VJB1" s="292"/>
      <c r="VJC1" s="292"/>
      <c r="VJD1" s="292"/>
      <c r="VJE1" s="292"/>
      <c r="VJF1" s="292"/>
      <c r="VJG1" s="292"/>
      <c r="VJH1" s="292"/>
      <c r="VJI1" s="292"/>
      <c r="VJJ1" s="292"/>
      <c r="VJK1" s="292"/>
      <c r="VJL1" s="292"/>
      <c r="VJM1" s="292"/>
      <c r="VJN1" s="292"/>
      <c r="VJO1" s="292"/>
      <c r="VJP1" s="292"/>
      <c r="VJQ1" s="292"/>
      <c r="VJR1" s="292"/>
      <c r="VJS1" s="292"/>
      <c r="VJT1" s="292"/>
      <c r="VJU1" s="292"/>
      <c r="VJV1" s="292"/>
      <c r="VJW1" s="292"/>
      <c r="VJX1" s="292"/>
      <c r="VJY1" s="292"/>
      <c r="VJZ1" s="292"/>
      <c r="VKA1" s="292"/>
      <c r="VKB1" s="292"/>
      <c r="VKC1" s="292"/>
      <c r="VKD1" s="292"/>
      <c r="VKE1" s="292"/>
      <c r="VKF1" s="292"/>
      <c r="VKG1" s="292"/>
      <c r="VKH1" s="292"/>
      <c r="VKI1" s="292"/>
      <c r="VKJ1" s="292"/>
      <c r="VKK1" s="292"/>
      <c r="VKL1" s="292"/>
      <c r="VKM1" s="292"/>
      <c r="VKN1" s="292"/>
      <c r="VKO1" s="292"/>
      <c r="VKP1" s="292"/>
      <c r="VKQ1" s="292"/>
      <c r="VKR1" s="292"/>
      <c r="VKS1" s="292"/>
      <c r="VKT1" s="292"/>
      <c r="VKU1" s="292"/>
      <c r="VKV1" s="292"/>
      <c r="VKW1" s="292"/>
      <c r="VKX1" s="292"/>
      <c r="VKY1" s="292"/>
      <c r="VKZ1" s="292"/>
      <c r="VLA1" s="292"/>
      <c r="VLB1" s="292"/>
      <c r="VLC1" s="292"/>
      <c r="VLD1" s="292"/>
      <c r="VLE1" s="292"/>
      <c r="VLF1" s="292"/>
      <c r="VLG1" s="292"/>
      <c r="VLH1" s="292"/>
      <c r="VLI1" s="292"/>
      <c r="VLJ1" s="292"/>
      <c r="VLK1" s="292"/>
      <c r="VLL1" s="292"/>
      <c r="VLM1" s="292"/>
      <c r="VLN1" s="292"/>
      <c r="VLO1" s="292"/>
      <c r="VLP1" s="292"/>
      <c r="VLQ1" s="292"/>
      <c r="VLR1" s="292"/>
      <c r="VLS1" s="292"/>
      <c r="VLT1" s="292"/>
      <c r="VLU1" s="292"/>
      <c r="VLV1" s="292"/>
      <c r="VLW1" s="292"/>
      <c r="VLX1" s="292"/>
      <c r="VLY1" s="292"/>
      <c r="VLZ1" s="292"/>
      <c r="VMA1" s="292"/>
      <c r="VMB1" s="292"/>
      <c r="VMC1" s="292"/>
      <c r="VMD1" s="292"/>
      <c r="VME1" s="292"/>
      <c r="VMF1" s="292"/>
      <c r="VMG1" s="292"/>
      <c r="VMH1" s="292"/>
      <c r="VMI1" s="292"/>
      <c r="VMJ1" s="292"/>
      <c r="VMK1" s="292"/>
      <c r="VML1" s="292"/>
      <c r="VMM1" s="292"/>
      <c r="VMN1" s="292"/>
      <c r="VMO1" s="292"/>
      <c r="VMP1" s="292"/>
      <c r="VMQ1" s="292"/>
      <c r="VMR1" s="292"/>
      <c r="VMS1" s="292"/>
      <c r="VMT1" s="292"/>
      <c r="VMU1" s="292"/>
      <c r="VMV1" s="292"/>
      <c r="VMW1" s="292"/>
      <c r="VMX1" s="292"/>
      <c r="VMY1" s="292"/>
      <c r="VMZ1" s="292"/>
      <c r="VNA1" s="292"/>
      <c r="VNB1" s="292"/>
      <c r="VNC1" s="292"/>
      <c r="VND1" s="292"/>
      <c r="VNE1" s="292"/>
      <c r="VNF1" s="292"/>
      <c r="VNG1" s="292"/>
      <c r="VNH1" s="292"/>
      <c r="VNI1" s="292"/>
      <c r="VNJ1" s="292"/>
      <c r="VNK1" s="292"/>
      <c r="VNL1" s="292"/>
      <c r="VNM1" s="292"/>
      <c r="VNN1" s="292"/>
      <c r="VNO1" s="292"/>
      <c r="VNP1" s="292"/>
      <c r="VNQ1" s="292"/>
      <c r="VNR1" s="292"/>
      <c r="VNS1" s="292"/>
      <c r="VNT1" s="292"/>
      <c r="VNU1" s="292"/>
      <c r="VNV1" s="292"/>
      <c r="VNW1" s="292"/>
      <c r="VNX1" s="292"/>
      <c r="VNY1" s="292"/>
      <c r="VNZ1" s="292"/>
      <c r="VOA1" s="292"/>
      <c r="VOB1" s="292"/>
      <c r="VOC1" s="292"/>
      <c r="VOD1" s="292"/>
      <c r="VOE1" s="292"/>
      <c r="VOF1" s="292"/>
      <c r="VOG1" s="292"/>
      <c r="VOH1" s="292"/>
      <c r="VOI1" s="292"/>
      <c r="VOJ1" s="292"/>
      <c r="VOK1" s="292"/>
      <c r="VOL1" s="292"/>
      <c r="VOM1" s="292"/>
      <c r="VON1" s="292"/>
      <c r="VOO1" s="292"/>
      <c r="VOP1" s="292"/>
      <c r="VOQ1" s="292"/>
      <c r="VOR1" s="292"/>
      <c r="VOS1" s="292"/>
      <c r="VOT1" s="292"/>
      <c r="VOU1" s="292"/>
      <c r="VOV1" s="292"/>
      <c r="VOW1" s="292"/>
      <c r="VOX1" s="292"/>
      <c r="VOY1" s="292"/>
      <c r="VOZ1" s="292"/>
      <c r="VPA1" s="292"/>
      <c r="VPB1" s="292"/>
      <c r="VPC1" s="292"/>
      <c r="VPD1" s="292"/>
      <c r="VPE1" s="292"/>
      <c r="VPF1" s="292"/>
      <c r="VPG1" s="292"/>
      <c r="VPH1" s="292"/>
      <c r="VPI1" s="292"/>
      <c r="VPJ1" s="292"/>
      <c r="VPK1" s="292"/>
      <c r="VPL1" s="292"/>
      <c r="VPM1" s="292"/>
      <c r="VPN1" s="292"/>
      <c r="VPO1" s="292"/>
      <c r="VPP1" s="292"/>
      <c r="VPQ1" s="292"/>
      <c r="VPR1" s="292"/>
      <c r="VPS1" s="292"/>
      <c r="VPT1" s="292"/>
      <c r="VPU1" s="292"/>
      <c r="VPV1" s="292"/>
      <c r="VPW1" s="292"/>
      <c r="VPX1" s="292"/>
      <c r="VPY1" s="292"/>
      <c r="VPZ1" s="292"/>
      <c r="VQA1" s="292"/>
      <c r="VQB1" s="292"/>
      <c r="VQC1" s="292"/>
      <c r="VQD1" s="292"/>
      <c r="VQE1" s="292"/>
      <c r="VQF1" s="292"/>
      <c r="VQG1" s="292"/>
      <c r="VQH1" s="292"/>
      <c r="VQI1" s="292"/>
      <c r="VQJ1" s="292"/>
      <c r="VQK1" s="292"/>
      <c r="VQL1" s="292"/>
      <c r="VQM1" s="292"/>
      <c r="VQN1" s="292"/>
      <c r="VQO1" s="292"/>
      <c r="VQP1" s="292"/>
      <c r="VQQ1" s="292"/>
      <c r="VQR1" s="292"/>
      <c r="VQS1" s="292"/>
      <c r="VQT1" s="292"/>
      <c r="VQU1" s="292"/>
      <c r="VQV1" s="292"/>
      <c r="VQW1" s="292"/>
      <c r="VQX1" s="292"/>
      <c r="VQY1" s="292"/>
      <c r="VQZ1" s="292"/>
      <c r="VRA1" s="292"/>
      <c r="VRB1" s="292"/>
      <c r="VRC1" s="292"/>
      <c r="VRD1" s="292"/>
      <c r="VRE1" s="292"/>
      <c r="VRF1" s="292"/>
      <c r="VRG1" s="292"/>
      <c r="VRH1" s="292"/>
      <c r="VRI1" s="292"/>
      <c r="VRJ1" s="292"/>
      <c r="VRK1" s="292"/>
      <c r="VRL1" s="292"/>
      <c r="VRM1" s="292"/>
      <c r="VRN1" s="292"/>
      <c r="VRO1" s="292"/>
      <c r="VRP1" s="292"/>
      <c r="VRQ1" s="292"/>
      <c r="VRR1" s="292"/>
      <c r="VRS1" s="292"/>
      <c r="VRT1" s="292"/>
      <c r="VRU1" s="292"/>
      <c r="VRV1" s="292"/>
      <c r="VRW1" s="292"/>
      <c r="VRX1" s="292"/>
      <c r="VRY1" s="292"/>
      <c r="VRZ1" s="292"/>
      <c r="VSA1" s="292"/>
      <c r="VSB1" s="292"/>
      <c r="VSC1" s="292"/>
      <c r="VSD1" s="292"/>
      <c r="VSE1" s="292"/>
      <c r="VSF1" s="292"/>
      <c r="VSG1" s="292"/>
      <c r="VSH1" s="292"/>
      <c r="VSI1" s="292"/>
      <c r="VSJ1" s="292"/>
      <c r="VSK1" s="292"/>
      <c r="VSL1" s="292"/>
      <c r="VSM1" s="292"/>
      <c r="VSN1" s="292"/>
      <c r="VSO1" s="292"/>
      <c r="VSP1" s="292"/>
      <c r="VSQ1" s="292"/>
      <c r="VSR1" s="292"/>
      <c r="VSS1" s="292"/>
      <c r="VST1" s="292"/>
      <c r="VSU1" s="292"/>
      <c r="VSV1" s="292"/>
      <c r="VSW1" s="292"/>
      <c r="VSX1" s="292"/>
      <c r="VSY1" s="292"/>
      <c r="VSZ1" s="292"/>
      <c r="VTA1" s="292"/>
      <c r="VTB1" s="292"/>
      <c r="VTC1" s="292"/>
      <c r="VTD1" s="292"/>
      <c r="VTE1" s="292"/>
      <c r="VTF1" s="292"/>
      <c r="VTG1" s="292"/>
      <c r="VTH1" s="292"/>
      <c r="VTI1" s="292"/>
      <c r="VTJ1" s="292"/>
      <c r="VTK1" s="292"/>
      <c r="VTL1" s="292"/>
      <c r="VTM1" s="292"/>
      <c r="VTN1" s="292"/>
      <c r="VTO1" s="292"/>
      <c r="VTP1" s="292"/>
      <c r="VTQ1" s="292"/>
      <c r="VTR1" s="292"/>
      <c r="VTS1" s="292"/>
      <c r="VTT1" s="292"/>
      <c r="VTU1" s="292"/>
      <c r="VTV1" s="292"/>
      <c r="VTW1" s="292"/>
      <c r="VTX1" s="292"/>
      <c r="VTY1" s="292"/>
      <c r="VTZ1" s="292"/>
      <c r="VUA1" s="292"/>
      <c r="VUB1" s="292"/>
      <c r="VUC1" s="292"/>
      <c r="VUD1" s="292"/>
      <c r="VUE1" s="292"/>
      <c r="VUF1" s="292"/>
      <c r="VUG1" s="292"/>
      <c r="VUH1" s="292"/>
      <c r="VUI1" s="292"/>
      <c r="VUJ1" s="292"/>
      <c r="VUK1" s="292"/>
      <c r="VUL1" s="292"/>
      <c r="VUM1" s="292"/>
      <c r="VUN1" s="292"/>
      <c r="VUO1" s="292"/>
      <c r="VUP1" s="292"/>
      <c r="VUQ1" s="292"/>
      <c r="VUR1" s="292"/>
      <c r="VUS1" s="292"/>
      <c r="VUT1" s="292"/>
      <c r="VUU1" s="292"/>
      <c r="VUV1" s="292"/>
      <c r="VUW1" s="292"/>
      <c r="VUX1" s="292"/>
      <c r="VUY1" s="292"/>
      <c r="VUZ1" s="292"/>
      <c r="VVA1" s="292"/>
      <c r="VVB1" s="292"/>
      <c r="VVC1" s="292"/>
      <c r="VVD1" s="292"/>
      <c r="VVE1" s="292"/>
      <c r="VVF1" s="292"/>
      <c r="VVG1" s="292"/>
      <c r="VVH1" s="292"/>
      <c r="VVI1" s="292"/>
      <c r="VVJ1" s="292"/>
      <c r="VVK1" s="292"/>
      <c r="VVL1" s="292"/>
      <c r="VVM1" s="292"/>
      <c r="VVN1" s="292"/>
      <c r="VVO1" s="292"/>
      <c r="VVP1" s="292"/>
      <c r="VVQ1" s="292"/>
      <c r="VVR1" s="292"/>
      <c r="VVS1" s="292"/>
      <c r="VVT1" s="292"/>
      <c r="VVU1" s="292"/>
      <c r="VVV1" s="292"/>
      <c r="VVW1" s="292"/>
      <c r="VVX1" s="292"/>
      <c r="VVY1" s="292"/>
      <c r="VVZ1" s="292"/>
      <c r="VWA1" s="292"/>
      <c r="VWB1" s="292"/>
      <c r="VWC1" s="292"/>
      <c r="VWD1" s="292"/>
      <c r="VWE1" s="292"/>
      <c r="VWF1" s="292"/>
      <c r="VWG1" s="292"/>
      <c r="VWH1" s="292"/>
      <c r="VWI1" s="292"/>
      <c r="VWJ1" s="292"/>
      <c r="VWK1" s="292"/>
      <c r="VWL1" s="292"/>
      <c r="VWM1" s="292"/>
      <c r="VWN1" s="292"/>
      <c r="VWO1" s="292"/>
      <c r="VWP1" s="292"/>
      <c r="VWQ1" s="292"/>
      <c r="VWR1" s="292"/>
      <c r="VWS1" s="292"/>
      <c r="VWT1" s="292"/>
      <c r="VWU1" s="292"/>
      <c r="VWV1" s="292"/>
      <c r="VWW1" s="292"/>
      <c r="VWX1" s="292"/>
      <c r="VWY1" s="292"/>
      <c r="VWZ1" s="292"/>
      <c r="VXA1" s="292"/>
      <c r="VXB1" s="292"/>
      <c r="VXC1" s="292"/>
      <c r="VXD1" s="292"/>
      <c r="VXE1" s="292"/>
      <c r="VXF1" s="292"/>
      <c r="VXG1" s="292"/>
      <c r="VXH1" s="292"/>
      <c r="VXI1" s="292"/>
      <c r="VXJ1" s="292"/>
      <c r="VXK1" s="292"/>
      <c r="VXL1" s="292"/>
      <c r="VXM1" s="292"/>
      <c r="VXN1" s="292"/>
      <c r="VXO1" s="292"/>
      <c r="VXP1" s="292"/>
      <c r="VXQ1" s="292"/>
      <c r="VXR1" s="292"/>
      <c r="VXS1" s="292"/>
      <c r="VXT1" s="292"/>
      <c r="VXU1" s="292"/>
      <c r="VXV1" s="292"/>
      <c r="VXW1" s="292"/>
      <c r="VXX1" s="292"/>
      <c r="VXY1" s="292"/>
      <c r="VXZ1" s="292"/>
      <c r="VYA1" s="292"/>
      <c r="VYB1" s="292"/>
      <c r="VYC1" s="292"/>
      <c r="VYD1" s="292"/>
      <c r="VYE1" s="292"/>
      <c r="VYF1" s="292"/>
      <c r="VYG1" s="292"/>
      <c r="VYH1" s="292"/>
      <c r="VYI1" s="292"/>
      <c r="VYJ1" s="292"/>
      <c r="VYK1" s="292"/>
      <c r="VYL1" s="292"/>
      <c r="VYM1" s="292"/>
      <c r="VYN1" s="292"/>
      <c r="VYO1" s="292"/>
      <c r="VYP1" s="292"/>
      <c r="VYQ1" s="292"/>
      <c r="VYR1" s="292"/>
      <c r="VYS1" s="292"/>
      <c r="VYT1" s="292"/>
      <c r="VYU1" s="292"/>
      <c r="VYV1" s="292"/>
      <c r="VYW1" s="292"/>
      <c r="VYX1" s="292"/>
      <c r="VYY1" s="292"/>
      <c r="VYZ1" s="292"/>
      <c r="VZA1" s="292"/>
      <c r="VZB1" s="292"/>
      <c r="VZC1" s="292"/>
      <c r="VZD1" s="292"/>
      <c r="VZE1" s="292"/>
      <c r="VZF1" s="292"/>
      <c r="VZG1" s="292"/>
      <c r="VZH1" s="292"/>
      <c r="VZI1" s="292"/>
      <c r="VZJ1" s="292"/>
      <c r="VZK1" s="292"/>
      <c r="VZL1" s="292"/>
      <c r="VZM1" s="292"/>
      <c r="VZN1" s="292"/>
      <c r="VZO1" s="292"/>
      <c r="VZP1" s="292"/>
      <c r="VZQ1" s="292"/>
      <c r="VZR1" s="292"/>
      <c r="VZS1" s="292"/>
      <c r="VZT1" s="292"/>
      <c r="VZU1" s="292"/>
      <c r="VZV1" s="292"/>
      <c r="VZW1" s="292"/>
      <c r="VZX1" s="292"/>
      <c r="VZY1" s="292"/>
      <c r="VZZ1" s="292"/>
      <c r="WAA1" s="292"/>
      <c r="WAB1" s="292"/>
      <c r="WAC1" s="292"/>
      <c r="WAD1" s="292"/>
      <c r="WAE1" s="292"/>
      <c r="WAF1" s="292"/>
      <c r="WAG1" s="292"/>
      <c r="WAH1" s="292"/>
      <c r="WAI1" s="292"/>
      <c r="WAJ1" s="292"/>
      <c r="WAK1" s="292"/>
      <c r="WAL1" s="292"/>
      <c r="WAM1" s="292"/>
      <c r="WAN1" s="292"/>
      <c r="WAO1" s="292"/>
      <c r="WAP1" s="292"/>
      <c r="WAQ1" s="292"/>
      <c r="WAR1" s="292"/>
      <c r="WAS1" s="292"/>
      <c r="WAT1" s="292"/>
      <c r="WAU1" s="292"/>
      <c r="WAV1" s="292"/>
      <c r="WAW1" s="292"/>
      <c r="WAX1" s="292"/>
      <c r="WAY1" s="292"/>
      <c r="WAZ1" s="292"/>
      <c r="WBA1" s="292"/>
      <c r="WBB1" s="292"/>
      <c r="WBC1" s="292"/>
      <c r="WBD1" s="292"/>
      <c r="WBE1" s="292"/>
      <c r="WBF1" s="292"/>
      <c r="WBG1" s="292"/>
      <c r="WBH1" s="292"/>
      <c r="WBI1" s="292"/>
      <c r="WBJ1" s="292"/>
      <c r="WBK1" s="292"/>
      <c r="WBL1" s="292"/>
      <c r="WBM1" s="292"/>
      <c r="WBN1" s="292"/>
      <c r="WBO1" s="292"/>
      <c r="WBP1" s="292"/>
      <c r="WBQ1" s="292"/>
      <c r="WBR1" s="292"/>
      <c r="WBS1" s="292"/>
      <c r="WBT1" s="292"/>
      <c r="WBU1" s="292"/>
      <c r="WBV1" s="292"/>
      <c r="WBW1" s="292"/>
      <c r="WBX1" s="292"/>
      <c r="WBY1" s="292"/>
      <c r="WBZ1" s="292"/>
      <c r="WCA1" s="292"/>
      <c r="WCB1" s="292"/>
      <c r="WCC1" s="292"/>
      <c r="WCD1" s="292"/>
      <c r="WCE1" s="292"/>
      <c r="WCF1" s="292"/>
      <c r="WCG1" s="292"/>
      <c r="WCH1" s="292"/>
      <c r="WCI1" s="292"/>
      <c r="WCJ1" s="292"/>
      <c r="WCK1" s="292"/>
      <c r="WCL1" s="292"/>
      <c r="WCM1" s="292"/>
      <c r="WCN1" s="292"/>
      <c r="WCO1" s="292"/>
      <c r="WCP1" s="292"/>
      <c r="WCQ1" s="292"/>
      <c r="WCR1" s="292"/>
      <c r="WCS1" s="292"/>
      <c r="WCT1" s="292"/>
      <c r="WCU1" s="292"/>
      <c r="WCV1" s="292"/>
      <c r="WCW1" s="292"/>
      <c r="WCX1" s="292"/>
      <c r="WCY1" s="292"/>
      <c r="WCZ1" s="292"/>
      <c r="WDA1" s="292"/>
      <c r="WDB1" s="292"/>
      <c r="WDC1" s="292"/>
      <c r="WDD1" s="292"/>
      <c r="WDE1" s="292"/>
      <c r="WDF1" s="292"/>
      <c r="WDG1" s="292"/>
      <c r="WDH1" s="292"/>
      <c r="WDI1" s="292"/>
      <c r="WDJ1" s="292"/>
      <c r="WDK1" s="292"/>
      <c r="WDL1" s="292"/>
      <c r="WDM1" s="292"/>
      <c r="WDN1" s="292"/>
      <c r="WDO1" s="292"/>
      <c r="WDP1" s="292"/>
      <c r="WDQ1" s="292"/>
      <c r="WDR1" s="292"/>
      <c r="WDS1" s="292"/>
      <c r="WDT1" s="292"/>
      <c r="WDU1" s="292"/>
      <c r="WDV1" s="292"/>
      <c r="WDW1" s="292"/>
      <c r="WDX1" s="292"/>
      <c r="WDY1" s="292"/>
      <c r="WDZ1" s="292"/>
      <c r="WEA1" s="292"/>
      <c r="WEB1" s="292"/>
      <c r="WEC1" s="292"/>
      <c r="WED1" s="292"/>
      <c r="WEE1" s="292"/>
      <c r="WEF1" s="292"/>
      <c r="WEG1" s="292"/>
      <c r="WEH1" s="292"/>
      <c r="WEI1" s="292"/>
      <c r="WEJ1" s="292"/>
      <c r="WEK1" s="292"/>
      <c r="WEL1" s="292"/>
      <c r="WEM1" s="292"/>
      <c r="WEN1" s="292"/>
      <c r="WEO1" s="292"/>
      <c r="WEP1" s="292"/>
      <c r="WEQ1" s="292"/>
      <c r="WER1" s="292"/>
      <c r="WES1" s="292"/>
      <c r="WET1" s="292"/>
      <c r="WEU1" s="292"/>
      <c r="WEV1" s="292"/>
      <c r="WEW1" s="292"/>
      <c r="WEX1" s="292"/>
      <c r="WEY1" s="292"/>
      <c r="WEZ1" s="292"/>
      <c r="WFA1" s="292"/>
      <c r="WFB1" s="292"/>
      <c r="WFC1" s="292"/>
      <c r="WFD1" s="292"/>
      <c r="WFE1" s="292"/>
      <c r="WFF1" s="292"/>
      <c r="WFG1" s="292"/>
      <c r="WFH1" s="292"/>
      <c r="WFI1" s="292"/>
      <c r="WFJ1" s="292"/>
      <c r="WFK1" s="292"/>
      <c r="WFL1" s="292"/>
      <c r="WFM1" s="292"/>
      <c r="WFN1" s="292"/>
      <c r="WFO1" s="292"/>
      <c r="WFP1" s="292"/>
      <c r="WFQ1" s="292"/>
      <c r="WFR1" s="292"/>
      <c r="WFS1" s="292"/>
      <c r="WFT1" s="292"/>
      <c r="WFU1" s="292"/>
      <c r="WFV1" s="292"/>
      <c r="WFW1" s="292"/>
      <c r="WFX1" s="292"/>
      <c r="WFY1" s="292"/>
      <c r="WFZ1" s="292"/>
      <c r="WGA1" s="292"/>
      <c r="WGB1" s="292"/>
      <c r="WGC1" s="292"/>
      <c r="WGD1" s="292"/>
      <c r="WGE1" s="292"/>
      <c r="WGF1" s="292"/>
      <c r="WGG1" s="292"/>
      <c r="WGH1" s="292"/>
      <c r="WGI1" s="292"/>
      <c r="WGJ1" s="292"/>
      <c r="WGK1" s="292"/>
      <c r="WGL1" s="292"/>
      <c r="WGM1" s="292"/>
      <c r="WGN1" s="292"/>
      <c r="WGO1" s="292"/>
      <c r="WGP1" s="292"/>
      <c r="WGQ1" s="292"/>
      <c r="WGR1" s="292"/>
      <c r="WGS1" s="292"/>
      <c r="WGT1" s="292"/>
      <c r="WGU1" s="292"/>
      <c r="WGV1" s="292"/>
      <c r="WGW1" s="292"/>
      <c r="WGX1" s="292"/>
      <c r="WGY1" s="292"/>
      <c r="WGZ1" s="292"/>
      <c r="WHA1" s="292"/>
      <c r="WHB1" s="292"/>
      <c r="WHC1" s="292"/>
      <c r="WHD1" s="292"/>
      <c r="WHE1" s="292"/>
      <c r="WHF1" s="292"/>
      <c r="WHG1" s="292"/>
      <c r="WHH1" s="292"/>
      <c r="WHI1" s="292"/>
      <c r="WHJ1" s="292"/>
      <c r="WHK1" s="292"/>
      <c r="WHL1" s="292"/>
      <c r="WHM1" s="292"/>
      <c r="WHN1" s="292"/>
      <c r="WHO1" s="292"/>
      <c r="WHP1" s="292"/>
      <c r="WHQ1" s="292"/>
      <c r="WHR1" s="292"/>
      <c r="WHS1" s="292"/>
      <c r="WHT1" s="292"/>
      <c r="WHU1" s="292"/>
      <c r="WHV1" s="292"/>
      <c r="WHW1" s="292"/>
      <c r="WHX1" s="292"/>
      <c r="WHY1" s="292"/>
      <c r="WHZ1" s="292"/>
      <c r="WIA1" s="292"/>
      <c r="WIB1" s="292"/>
      <c r="WIC1" s="292"/>
      <c r="WID1" s="292"/>
      <c r="WIE1" s="292"/>
      <c r="WIF1" s="292"/>
      <c r="WIG1" s="292"/>
      <c r="WIH1" s="292"/>
      <c r="WII1" s="292"/>
      <c r="WIJ1" s="292"/>
      <c r="WIK1" s="292"/>
      <c r="WIL1" s="292"/>
      <c r="WIM1" s="292"/>
      <c r="WIN1" s="292"/>
      <c r="WIO1" s="292"/>
      <c r="WIP1" s="292"/>
      <c r="WIQ1" s="292"/>
      <c r="WIR1" s="292"/>
      <c r="WIS1" s="292"/>
      <c r="WIT1" s="292"/>
      <c r="WIU1" s="292"/>
      <c r="WIV1" s="292"/>
      <c r="WIW1" s="292"/>
      <c r="WIX1" s="292"/>
      <c r="WIY1" s="292"/>
      <c r="WIZ1" s="292"/>
      <c r="WJA1" s="292"/>
      <c r="WJB1" s="292"/>
      <c r="WJC1" s="292"/>
      <c r="WJD1" s="292"/>
      <c r="WJE1" s="292"/>
      <c r="WJF1" s="292"/>
      <c r="WJG1" s="292"/>
      <c r="WJH1" s="292"/>
      <c r="WJI1" s="292"/>
      <c r="WJJ1" s="292"/>
      <c r="WJK1" s="292"/>
      <c r="WJL1" s="292"/>
      <c r="WJM1" s="292"/>
      <c r="WJN1" s="292"/>
      <c r="WJO1" s="292"/>
      <c r="WJP1" s="292"/>
      <c r="WJQ1" s="292"/>
      <c r="WJR1" s="292"/>
      <c r="WJS1" s="292"/>
      <c r="WJT1" s="292"/>
      <c r="WJU1" s="292"/>
      <c r="WJV1" s="292"/>
      <c r="WJW1" s="292"/>
      <c r="WJX1" s="292"/>
      <c r="WJY1" s="292"/>
      <c r="WJZ1" s="292"/>
      <c r="WKA1" s="292"/>
      <c r="WKB1" s="292"/>
      <c r="WKC1" s="292"/>
      <c r="WKD1" s="292"/>
      <c r="WKE1" s="292"/>
      <c r="WKF1" s="292"/>
      <c r="WKG1" s="292"/>
      <c r="WKH1" s="292"/>
      <c r="WKI1" s="292"/>
      <c r="WKJ1" s="292"/>
      <c r="WKK1" s="292"/>
      <c r="WKL1" s="292"/>
      <c r="WKM1" s="292"/>
      <c r="WKN1" s="292"/>
      <c r="WKO1" s="292"/>
      <c r="WKP1" s="292"/>
      <c r="WKQ1" s="292"/>
      <c r="WKR1" s="292"/>
      <c r="WKS1" s="292"/>
      <c r="WKT1" s="292"/>
      <c r="WKU1" s="292"/>
      <c r="WKV1" s="292"/>
      <c r="WKW1" s="292"/>
      <c r="WKX1" s="292"/>
      <c r="WKY1" s="292"/>
      <c r="WKZ1" s="292"/>
      <c r="WLA1" s="292"/>
      <c r="WLB1" s="292"/>
      <c r="WLC1" s="292"/>
      <c r="WLD1" s="292"/>
      <c r="WLE1" s="292"/>
      <c r="WLF1" s="292"/>
      <c r="WLG1" s="292"/>
      <c r="WLH1" s="292"/>
      <c r="WLI1" s="292"/>
      <c r="WLJ1" s="292"/>
      <c r="WLK1" s="292"/>
      <c r="WLL1" s="292"/>
      <c r="WLM1" s="292"/>
      <c r="WLN1" s="292"/>
      <c r="WLO1" s="292"/>
      <c r="WLP1" s="292"/>
      <c r="WLQ1" s="292"/>
      <c r="WLR1" s="292"/>
      <c r="WLS1" s="292"/>
      <c r="WLT1" s="292"/>
      <c r="WLU1" s="292"/>
      <c r="WLV1" s="292"/>
      <c r="WLW1" s="292"/>
      <c r="WLX1" s="292"/>
      <c r="WLY1" s="292"/>
      <c r="WLZ1" s="292"/>
      <c r="WMA1" s="292"/>
      <c r="WMB1" s="292"/>
      <c r="WMC1" s="292"/>
      <c r="WMD1" s="292"/>
      <c r="WME1" s="292"/>
      <c r="WMF1" s="292"/>
      <c r="WMG1" s="292"/>
      <c r="WMH1" s="292"/>
      <c r="WMI1" s="292"/>
      <c r="WMJ1" s="292"/>
      <c r="WMK1" s="292"/>
      <c r="WML1" s="292"/>
      <c r="WMM1" s="292"/>
      <c r="WMN1" s="292"/>
      <c r="WMO1" s="292"/>
      <c r="WMP1" s="292"/>
      <c r="WMQ1" s="292"/>
      <c r="WMR1" s="292"/>
      <c r="WMS1" s="292"/>
      <c r="WMT1" s="292"/>
      <c r="WMU1" s="292"/>
      <c r="WMV1" s="292"/>
      <c r="WMW1" s="292"/>
      <c r="WMX1" s="292"/>
      <c r="WMY1" s="292"/>
      <c r="WMZ1" s="292"/>
      <c r="WNA1" s="292"/>
      <c r="WNB1" s="292"/>
      <c r="WNC1" s="292"/>
      <c r="WND1" s="292"/>
      <c r="WNE1" s="292"/>
      <c r="WNF1" s="292"/>
      <c r="WNG1" s="292"/>
      <c r="WNH1" s="292"/>
      <c r="WNI1" s="292"/>
      <c r="WNJ1" s="292"/>
      <c r="WNK1" s="292"/>
      <c r="WNL1" s="292"/>
      <c r="WNM1" s="292"/>
      <c r="WNN1" s="292"/>
      <c r="WNO1" s="292"/>
      <c r="WNP1" s="292"/>
      <c r="WNQ1" s="292"/>
      <c r="WNR1" s="292"/>
      <c r="WNS1" s="292"/>
      <c r="WNT1" s="292"/>
      <c r="WNU1" s="292"/>
      <c r="WNV1" s="292"/>
      <c r="WNW1" s="292"/>
      <c r="WNX1" s="292"/>
      <c r="WNY1" s="292"/>
      <c r="WNZ1" s="292"/>
      <c r="WOA1" s="292"/>
      <c r="WOB1" s="292"/>
      <c r="WOC1" s="292"/>
      <c r="WOD1" s="292"/>
      <c r="WOE1" s="292"/>
      <c r="WOF1" s="292"/>
      <c r="WOG1" s="292"/>
      <c r="WOH1" s="292"/>
      <c r="WOI1" s="292"/>
      <c r="WOJ1" s="292"/>
      <c r="WOK1" s="292"/>
      <c r="WOL1" s="292"/>
      <c r="WOM1" s="292"/>
      <c r="WON1" s="292"/>
      <c r="WOO1" s="292"/>
      <c r="WOP1" s="292"/>
      <c r="WOQ1" s="292"/>
      <c r="WOR1" s="292"/>
      <c r="WOS1" s="292"/>
      <c r="WOT1" s="292"/>
      <c r="WOU1" s="292"/>
      <c r="WOV1" s="292"/>
      <c r="WOW1" s="292"/>
      <c r="WOX1" s="292"/>
      <c r="WOY1" s="292"/>
      <c r="WOZ1" s="292"/>
      <c r="WPA1" s="292"/>
      <c r="WPB1" s="292"/>
      <c r="WPC1" s="292"/>
      <c r="WPD1" s="292"/>
      <c r="WPE1" s="292"/>
      <c r="WPF1" s="292"/>
      <c r="WPG1" s="292"/>
      <c r="WPH1" s="292"/>
      <c r="WPI1" s="292"/>
      <c r="WPJ1" s="292"/>
      <c r="WPK1" s="292"/>
      <c r="WPL1" s="292"/>
      <c r="WPM1" s="292"/>
      <c r="WPN1" s="292"/>
      <c r="WPO1" s="292"/>
      <c r="WPP1" s="292"/>
      <c r="WPQ1" s="292"/>
      <c r="WPR1" s="292"/>
      <c r="WPS1" s="292"/>
      <c r="WPT1" s="292"/>
      <c r="WPU1" s="292"/>
      <c r="WPV1" s="292"/>
      <c r="WPW1" s="292"/>
      <c r="WPX1" s="292"/>
      <c r="WPY1" s="292"/>
      <c r="WPZ1" s="292"/>
      <c r="WQA1" s="292"/>
      <c r="WQB1" s="292"/>
      <c r="WQC1" s="292"/>
      <c r="WQD1" s="292"/>
      <c r="WQE1" s="292"/>
      <c r="WQF1" s="292"/>
      <c r="WQG1" s="292"/>
      <c r="WQH1" s="292"/>
      <c r="WQI1" s="292"/>
      <c r="WQJ1" s="292"/>
      <c r="WQK1" s="292"/>
      <c r="WQL1" s="292"/>
      <c r="WQM1" s="292"/>
      <c r="WQN1" s="292"/>
      <c r="WQO1" s="292"/>
      <c r="WQP1" s="292"/>
      <c r="WQQ1" s="292"/>
      <c r="WQR1" s="292"/>
      <c r="WQS1" s="292"/>
      <c r="WQT1" s="292"/>
      <c r="WQU1" s="292"/>
      <c r="WQV1" s="292"/>
      <c r="WQW1" s="292"/>
      <c r="WQX1" s="292"/>
      <c r="WQY1" s="292"/>
      <c r="WQZ1" s="292"/>
      <c r="WRA1" s="292"/>
      <c r="WRB1" s="292"/>
      <c r="WRC1" s="292"/>
      <c r="WRD1" s="292"/>
      <c r="WRE1" s="292"/>
      <c r="WRF1" s="292"/>
      <c r="WRG1" s="292"/>
      <c r="WRH1" s="292"/>
      <c r="WRI1" s="292"/>
      <c r="WRJ1" s="292"/>
      <c r="WRK1" s="292"/>
      <c r="WRL1" s="292"/>
      <c r="WRM1" s="292"/>
      <c r="WRN1" s="292"/>
      <c r="WRO1" s="292"/>
      <c r="WRP1" s="292"/>
      <c r="WRQ1" s="292"/>
      <c r="WRR1" s="292"/>
      <c r="WRS1" s="292"/>
      <c r="WRT1" s="292"/>
      <c r="WRU1" s="292"/>
      <c r="WRV1" s="292"/>
      <c r="WRW1" s="292"/>
      <c r="WRX1" s="292"/>
      <c r="WRY1" s="292"/>
      <c r="WRZ1" s="292"/>
      <c r="WSA1" s="292"/>
      <c r="WSB1" s="292"/>
      <c r="WSC1" s="292"/>
      <c r="WSD1" s="292"/>
      <c r="WSE1" s="292"/>
      <c r="WSF1" s="292"/>
      <c r="WSG1" s="292"/>
      <c r="WSH1" s="292"/>
      <c r="WSI1" s="292"/>
      <c r="WSJ1" s="292"/>
      <c r="WSK1" s="292"/>
      <c r="WSL1" s="292"/>
      <c r="WSM1" s="292"/>
      <c r="WSN1" s="292"/>
      <c r="WSO1" s="292"/>
      <c r="WSP1" s="292"/>
      <c r="WSQ1" s="292"/>
      <c r="WSR1" s="292"/>
      <c r="WSS1" s="292"/>
      <c r="WST1" s="292"/>
      <c r="WSU1" s="292"/>
      <c r="WSV1" s="292"/>
      <c r="WSW1" s="292"/>
      <c r="WSX1" s="292"/>
      <c r="WSY1" s="292"/>
      <c r="WSZ1" s="292"/>
      <c r="WTA1" s="292"/>
      <c r="WTB1" s="292"/>
      <c r="WTC1" s="292"/>
      <c r="WTD1" s="292"/>
      <c r="WTE1" s="292"/>
      <c r="WTF1" s="292"/>
      <c r="WTG1" s="292"/>
      <c r="WTH1" s="292"/>
      <c r="WTI1" s="292"/>
      <c r="WTJ1" s="292"/>
      <c r="WTK1" s="292"/>
      <c r="WTL1" s="292"/>
      <c r="WTM1" s="292"/>
      <c r="WTN1" s="292"/>
      <c r="WTO1" s="292"/>
      <c r="WTP1" s="292"/>
      <c r="WTQ1" s="292"/>
      <c r="WTR1" s="292"/>
      <c r="WTS1" s="292"/>
      <c r="WTT1" s="292"/>
      <c r="WTU1" s="292"/>
      <c r="WTV1" s="292"/>
      <c r="WTW1" s="292"/>
      <c r="WTX1" s="292"/>
      <c r="WTY1" s="292"/>
      <c r="WTZ1" s="292"/>
      <c r="WUA1" s="292"/>
      <c r="WUB1" s="292"/>
      <c r="WUC1" s="292"/>
      <c r="WUD1" s="292"/>
      <c r="WUE1" s="292"/>
      <c r="WUF1" s="292"/>
      <c r="WUG1" s="292"/>
      <c r="WUH1" s="292"/>
      <c r="WUI1" s="292"/>
      <c r="WUJ1" s="292"/>
      <c r="WUK1" s="292"/>
      <c r="WUL1" s="292"/>
      <c r="WUM1" s="292"/>
      <c r="WUN1" s="292"/>
      <c r="WUO1" s="292"/>
      <c r="WUP1" s="292"/>
      <c r="WUQ1" s="292"/>
      <c r="WUR1" s="292"/>
      <c r="WUS1" s="292"/>
      <c r="WUT1" s="292"/>
      <c r="WUU1" s="292"/>
      <c r="WUV1" s="292"/>
      <c r="WUW1" s="292"/>
      <c r="WUX1" s="292"/>
      <c r="WUY1" s="292"/>
      <c r="WUZ1" s="292"/>
      <c r="WVA1" s="292"/>
      <c r="WVB1" s="292"/>
      <c r="WVC1" s="292"/>
      <c r="WVD1" s="292"/>
      <c r="WVE1" s="292"/>
      <c r="WVF1" s="292"/>
      <c r="WVG1" s="292"/>
      <c r="WVH1" s="292"/>
      <c r="WVI1" s="292"/>
      <c r="WVJ1" s="292"/>
      <c r="WVK1" s="292"/>
      <c r="WVL1" s="292"/>
      <c r="WVM1" s="292"/>
      <c r="WVN1" s="292"/>
      <c r="WVO1" s="292"/>
      <c r="WVP1" s="292"/>
      <c r="WVQ1" s="292"/>
      <c r="WVR1" s="292"/>
      <c r="WVS1" s="292"/>
      <c r="WVT1" s="292"/>
      <c r="WVU1" s="292"/>
      <c r="WVV1" s="292"/>
      <c r="WVW1" s="292"/>
      <c r="WVX1" s="292"/>
      <c r="WVY1" s="292"/>
      <c r="WVZ1" s="292"/>
      <c r="WWA1" s="292"/>
      <c r="WWB1" s="292"/>
      <c r="WWC1" s="292"/>
      <c r="WWD1" s="292"/>
      <c r="WWE1" s="292"/>
      <c r="WWF1" s="292"/>
      <c r="WWG1" s="292"/>
      <c r="WWH1" s="292"/>
      <c r="WWI1" s="292"/>
      <c r="WWJ1" s="292"/>
      <c r="WWK1" s="292"/>
      <c r="WWL1" s="292"/>
      <c r="WWM1" s="292"/>
      <c r="WWN1" s="292"/>
      <c r="WWO1" s="292"/>
      <c r="WWP1" s="292"/>
      <c r="WWQ1" s="292"/>
      <c r="WWR1" s="292"/>
      <c r="WWS1" s="292"/>
      <c r="WWT1" s="292"/>
      <c r="WWU1" s="292"/>
      <c r="WWV1" s="292"/>
      <c r="WWW1" s="292"/>
      <c r="WWX1" s="292"/>
      <c r="WWY1" s="292"/>
      <c r="WWZ1" s="292"/>
      <c r="WXA1" s="292"/>
      <c r="WXB1" s="292"/>
      <c r="WXC1" s="292"/>
      <c r="WXD1" s="292"/>
      <c r="WXE1" s="292"/>
      <c r="WXF1" s="292"/>
      <c r="WXG1" s="292"/>
      <c r="WXH1" s="292"/>
      <c r="WXI1" s="292"/>
      <c r="WXJ1" s="292"/>
      <c r="WXK1" s="292"/>
      <c r="WXL1" s="292"/>
      <c r="WXM1" s="292"/>
      <c r="WXN1" s="292"/>
      <c r="WXO1" s="292"/>
      <c r="WXP1" s="292"/>
      <c r="WXQ1" s="292"/>
      <c r="WXR1" s="292"/>
      <c r="WXS1" s="292"/>
      <c r="WXT1" s="292"/>
      <c r="WXU1" s="292"/>
      <c r="WXV1" s="292"/>
      <c r="WXW1" s="292"/>
      <c r="WXX1" s="292"/>
      <c r="WXY1" s="292"/>
      <c r="WXZ1" s="292"/>
      <c r="WYA1" s="292"/>
      <c r="WYB1" s="292"/>
      <c r="WYC1" s="292"/>
      <c r="WYD1" s="292"/>
      <c r="WYE1" s="292"/>
      <c r="WYF1" s="292"/>
      <c r="WYG1" s="292"/>
      <c r="WYH1" s="292"/>
      <c r="WYI1" s="292"/>
      <c r="WYJ1" s="292"/>
      <c r="WYK1" s="292"/>
      <c r="WYL1" s="292"/>
      <c r="WYM1" s="292"/>
      <c r="WYN1" s="292"/>
      <c r="WYO1" s="292"/>
      <c r="WYP1" s="292"/>
      <c r="WYQ1" s="292"/>
      <c r="WYR1" s="292"/>
      <c r="WYS1" s="292"/>
      <c r="WYT1" s="292"/>
      <c r="WYU1" s="292"/>
      <c r="WYV1" s="292"/>
      <c r="WYW1" s="292"/>
      <c r="WYX1" s="292"/>
      <c r="WYY1" s="292"/>
      <c r="WYZ1" s="292"/>
      <c r="WZA1" s="292"/>
      <c r="WZB1" s="292"/>
      <c r="WZC1" s="292"/>
      <c r="WZD1" s="292"/>
      <c r="WZE1" s="292"/>
      <c r="WZF1" s="292"/>
      <c r="WZG1" s="292"/>
      <c r="WZH1" s="292"/>
      <c r="WZI1" s="292"/>
      <c r="WZJ1" s="292"/>
      <c r="WZK1" s="292"/>
      <c r="WZL1" s="292"/>
      <c r="WZM1" s="292"/>
      <c r="WZN1" s="292"/>
      <c r="WZO1" s="292"/>
      <c r="WZP1" s="292"/>
      <c r="WZQ1" s="292"/>
      <c r="WZR1" s="292"/>
      <c r="WZS1" s="292"/>
      <c r="WZT1" s="292"/>
      <c r="WZU1" s="292"/>
      <c r="WZV1" s="292"/>
      <c r="WZW1" s="292"/>
      <c r="WZX1" s="292"/>
      <c r="WZY1" s="292"/>
      <c r="WZZ1" s="292"/>
      <c r="XAA1" s="292"/>
      <c r="XAB1" s="292"/>
      <c r="XAC1" s="292"/>
      <c r="XAD1" s="292"/>
      <c r="XAE1" s="292"/>
      <c r="XAF1" s="292"/>
      <c r="XAG1" s="292"/>
      <c r="XAH1" s="292"/>
      <c r="XAI1" s="292"/>
      <c r="XAJ1" s="292"/>
      <c r="XAK1" s="292"/>
      <c r="XAL1" s="292"/>
      <c r="XAM1" s="292"/>
      <c r="XAN1" s="292"/>
      <c r="XAO1" s="292"/>
      <c r="XAP1" s="292"/>
      <c r="XAQ1" s="292"/>
      <c r="XAR1" s="292"/>
      <c r="XAS1" s="292"/>
      <c r="XAT1" s="292"/>
      <c r="XAU1" s="292"/>
      <c r="XAV1" s="292"/>
      <c r="XAW1" s="292"/>
      <c r="XAX1" s="292"/>
      <c r="XAY1" s="292"/>
      <c r="XAZ1" s="292"/>
      <c r="XBA1" s="292"/>
      <c r="XBB1" s="292"/>
      <c r="XBC1" s="292"/>
      <c r="XBD1" s="292"/>
      <c r="XBE1" s="292"/>
      <c r="XBF1" s="292"/>
      <c r="XBG1" s="292"/>
      <c r="XBH1" s="292"/>
      <c r="XBI1" s="292"/>
      <c r="XBJ1" s="292"/>
      <c r="XBK1" s="292"/>
      <c r="XBL1" s="292"/>
      <c r="XBM1" s="292"/>
      <c r="XBN1" s="292"/>
      <c r="XBO1" s="292"/>
      <c r="XBP1" s="292"/>
      <c r="XBQ1" s="292"/>
      <c r="XBR1" s="292"/>
      <c r="XBS1" s="292"/>
      <c r="XBT1" s="292"/>
      <c r="XBU1" s="292"/>
      <c r="XBV1" s="292"/>
      <c r="XBW1" s="292"/>
      <c r="XBX1" s="292"/>
      <c r="XBY1" s="292"/>
      <c r="XBZ1" s="292"/>
      <c r="XCA1" s="292"/>
      <c r="XCB1" s="292"/>
      <c r="XCC1" s="292"/>
      <c r="XCD1" s="292"/>
      <c r="XCE1" s="292"/>
      <c r="XCF1" s="292"/>
      <c r="XCG1" s="292"/>
      <c r="XCH1" s="292"/>
      <c r="XCI1" s="292"/>
      <c r="XCJ1" s="292"/>
      <c r="XCK1" s="292"/>
      <c r="XCL1" s="292"/>
      <c r="XCM1" s="292"/>
      <c r="XCN1" s="292"/>
      <c r="XCO1" s="292"/>
      <c r="XCP1" s="292"/>
      <c r="XCQ1" s="292"/>
      <c r="XCR1" s="292"/>
      <c r="XCS1" s="292"/>
      <c r="XCT1" s="292"/>
      <c r="XCU1" s="292"/>
      <c r="XCV1" s="292"/>
      <c r="XCW1" s="292"/>
      <c r="XCX1" s="292"/>
      <c r="XCY1" s="292"/>
      <c r="XCZ1" s="292"/>
      <c r="XDA1" s="292"/>
      <c r="XDB1" s="292"/>
      <c r="XDC1" s="292"/>
      <c r="XDD1" s="292"/>
      <c r="XDE1" s="292"/>
      <c r="XDF1" s="292"/>
      <c r="XDG1" s="292"/>
      <c r="XDH1" s="292"/>
      <c r="XDI1" s="292"/>
      <c r="XDJ1" s="292"/>
      <c r="XDK1" s="292"/>
      <c r="XDL1" s="292"/>
      <c r="XDM1" s="292"/>
      <c r="XDN1" s="292"/>
      <c r="XDO1" s="292"/>
      <c r="XDP1" s="292"/>
      <c r="XDQ1" s="292"/>
      <c r="XDR1" s="292"/>
      <c r="XDS1" s="292"/>
      <c r="XDT1" s="292"/>
      <c r="XDU1" s="292"/>
      <c r="XDV1" s="292"/>
      <c r="XDW1" s="292"/>
      <c r="XDX1" s="292"/>
      <c r="XDY1" s="292"/>
      <c r="XDZ1" s="292"/>
      <c r="XEA1" s="292"/>
      <c r="XEB1" s="292"/>
      <c r="XEC1" s="292"/>
      <c r="XED1" s="292"/>
      <c r="XEE1" s="292"/>
      <c r="XEF1" s="292"/>
      <c r="XEG1" s="292"/>
      <c r="XEH1" s="292"/>
      <c r="XEI1" s="292"/>
      <c r="XEJ1" s="292"/>
      <c r="XEK1" s="292"/>
      <c r="XEL1" s="292"/>
      <c r="XEM1" s="292"/>
      <c r="XEN1" s="292"/>
      <c r="XEO1" s="292"/>
      <c r="XEP1" s="292"/>
      <c r="XEQ1" s="292"/>
      <c r="XER1" s="292"/>
      <c r="XES1" s="292"/>
      <c r="XET1" s="292"/>
      <c r="XEU1" s="292"/>
      <c r="XEV1" s="292"/>
      <c r="XEW1" s="292"/>
      <c r="XEX1" s="292"/>
      <c r="XEY1" s="292"/>
      <c r="XEZ1" s="292"/>
    </row>
    <row r="3" spans="1:16380" ht="15" thickBot="1" x14ac:dyDescent="0.35">
      <c r="A3" s="5" t="s">
        <v>0</v>
      </c>
      <c r="B3" s="34" t="str">
        <f>'Validator Notes'!B4</f>
        <v>EQ - Utah Technical Center</v>
      </c>
    </row>
    <row r="4" spans="1:16380" ht="15" thickBot="1" x14ac:dyDescent="0.35">
      <c r="A4" s="5" t="s">
        <v>1</v>
      </c>
      <c r="B4" s="191" t="str">
        <f>'Validator Notes'!B5</f>
        <v>Month 2025</v>
      </c>
    </row>
    <row r="5" spans="1:16380" ht="15" thickBot="1" x14ac:dyDescent="0.35">
      <c r="A5" s="5" t="s">
        <v>2</v>
      </c>
      <c r="B5" s="36" t="str">
        <f>'Validator Notes'!B6</f>
        <v>Aengstrom</v>
      </c>
    </row>
    <row r="7" spans="1:16380" ht="30" customHeight="1" x14ac:dyDescent="0.3">
      <c r="A7" s="323" t="s">
        <v>149</v>
      </c>
      <c r="B7" s="324"/>
      <c r="C7" s="324"/>
      <c r="D7" s="324"/>
      <c r="E7" s="324"/>
      <c r="F7" s="324"/>
      <c r="G7" s="324"/>
      <c r="H7" s="324"/>
      <c r="I7" s="324"/>
      <c r="J7" s="324"/>
      <c r="K7" s="324"/>
      <c r="L7" s="324"/>
      <c r="M7" s="324"/>
      <c r="N7" s="324"/>
      <c r="O7" s="325"/>
      <c r="R7" s="326" t="s">
        <v>224</v>
      </c>
      <c r="S7" s="327"/>
      <c r="U7" s="323" t="s">
        <v>149</v>
      </c>
      <c r="V7" s="324"/>
      <c r="W7" s="324"/>
      <c r="X7" s="324"/>
      <c r="Y7" s="324"/>
      <c r="Z7" s="324"/>
      <c r="AA7" s="324"/>
      <c r="AB7" s="324"/>
      <c r="AC7" s="324"/>
      <c r="AD7" s="324"/>
      <c r="AE7" s="324"/>
      <c r="AF7" s="324"/>
      <c r="AG7" s="324"/>
      <c r="AH7" s="324"/>
      <c r="AI7" s="325"/>
    </row>
    <row r="8" spans="1:16380" x14ac:dyDescent="0.3">
      <c r="A8" s="170"/>
      <c r="B8" s="170"/>
      <c r="E8" s="170"/>
      <c r="F8" s="170"/>
      <c r="G8" s="170"/>
      <c r="H8" s="170"/>
      <c r="I8" s="171"/>
      <c r="J8" s="328" t="s">
        <v>150</v>
      </c>
      <c r="K8" s="329"/>
      <c r="L8" s="329"/>
      <c r="M8" s="329"/>
      <c r="N8" s="330"/>
      <c r="R8" s="172" t="s">
        <v>151</v>
      </c>
      <c r="S8" s="173" t="s">
        <v>152</v>
      </c>
      <c r="U8" s="170"/>
      <c r="V8" s="170"/>
      <c r="Y8" s="170"/>
      <c r="Z8" s="170"/>
      <c r="AA8" s="170"/>
      <c r="AB8" s="170"/>
      <c r="AC8" s="171"/>
      <c r="AD8" s="328" t="s">
        <v>150</v>
      </c>
      <c r="AE8" s="329"/>
      <c r="AF8" s="329"/>
      <c r="AG8" s="329"/>
      <c r="AH8" s="330"/>
    </row>
    <row r="9" spans="1:16380" x14ac:dyDescent="0.3">
      <c r="A9" s="331" t="s">
        <v>153</v>
      </c>
      <c r="B9" s="332"/>
      <c r="C9" s="333"/>
      <c r="D9" s="331" t="s">
        <v>154</v>
      </c>
      <c r="E9" s="332"/>
      <c r="F9" s="332"/>
      <c r="G9" s="332"/>
      <c r="H9" s="333"/>
      <c r="I9" s="174" t="s">
        <v>155</v>
      </c>
      <c r="J9" s="175" t="s">
        <v>6</v>
      </c>
      <c r="K9" s="176" t="s">
        <v>10</v>
      </c>
      <c r="L9" s="177" t="s">
        <v>11</v>
      </c>
      <c r="M9" s="176" t="s">
        <v>6</v>
      </c>
      <c r="N9" s="178" t="s">
        <v>10</v>
      </c>
      <c r="O9" s="179" t="s">
        <v>156</v>
      </c>
      <c r="R9" s="1" t="s">
        <v>157</v>
      </c>
      <c r="S9" s="4" t="s">
        <v>158</v>
      </c>
      <c r="U9" s="331" t="s">
        <v>153</v>
      </c>
      <c r="V9" s="332"/>
      <c r="W9" s="333"/>
      <c r="X9" s="331" t="s">
        <v>154</v>
      </c>
      <c r="Y9" s="332"/>
      <c r="Z9" s="332"/>
      <c r="AA9" s="332"/>
      <c r="AB9" s="333"/>
      <c r="AC9" s="174" t="s">
        <v>155</v>
      </c>
      <c r="AD9" s="175" t="s">
        <v>6</v>
      </c>
      <c r="AE9" s="176" t="s">
        <v>10</v>
      </c>
      <c r="AF9" s="177" t="s">
        <v>11</v>
      </c>
      <c r="AG9" s="176" t="s">
        <v>6</v>
      </c>
      <c r="AH9" s="178" t="s">
        <v>10</v>
      </c>
      <c r="AI9" s="179" t="s">
        <v>156</v>
      </c>
    </row>
    <row r="10" spans="1:16380" x14ac:dyDescent="0.3">
      <c r="A10" s="320"/>
      <c r="B10" s="321"/>
      <c r="C10" s="322"/>
      <c r="D10" s="320"/>
      <c r="E10" s="321"/>
      <c r="F10" s="321"/>
      <c r="G10" s="321"/>
      <c r="H10" s="322"/>
      <c r="I10" s="180"/>
      <c r="J10" s="181"/>
      <c r="K10" s="182">
        <v>0</v>
      </c>
      <c r="L10" s="183" t="s">
        <v>11</v>
      </c>
      <c r="M10" s="181"/>
      <c r="N10" s="184">
        <v>23</v>
      </c>
      <c r="O10" s="185"/>
      <c r="R10" s="1" t="s">
        <v>160</v>
      </c>
      <c r="S10" s="4" t="s">
        <v>161</v>
      </c>
      <c r="U10" s="320"/>
      <c r="V10" s="321"/>
      <c r="W10" s="322"/>
      <c r="X10" s="320"/>
      <c r="Y10" s="321"/>
      <c r="Z10" s="321"/>
      <c r="AA10" s="321"/>
      <c r="AB10" s="322"/>
      <c r="AC10" s="180"/>
      <c r="AD10" s="181"/>
      <c r="AE10" s="182">
        <v>0</v>
      </c>
      <c r="AF10" s="183" t="s">
        <v>11</v>
      </c>
      <c r="AG10" s="181"/>
      <c r="AH10" s="184">
        <v>23</v>
      </c>
      <c r="AI10" s="185"/>
    </row>
    <row r="11" spans="1:16380" x14ac:dyDescent="0.3">
      <c r="A11" s="320"/>
      <c r="B11" s="321"/>
      <c r="C11" s="322"/>
      <c r="D11" s="320"/>
      <c r="E11" s="321"/>
      <c r="F11" s="321"/>
      <c r="G11" s="321"/>
      <c r="H11" s="322"/>
      <c r="I11" s="180"/>
      <c r="J11" s="181"/>
      <c r="K11" s="182">
        <v>0</v>
      </c>
      <c r="L11" s="183" t="s">
        <v>11</v>
      </c>
      <c r="M11" s="181"/>
      <c r="N11" s="184">
        <v>23</v>
      </c>
      <c r="O11" s="185"/>
      <c r="R11" s="1" t="s">
        <v>162</v>
      </c>
      <c r="S11" s="4" t="s">
        <v>163</v>
      </c>
      <c r="U11" s="320"/>
      <c r="V11" s="321"/>
      <c r="W11" s="322"/>
      <c r="X11" s="320"/>
      <c r="Y11" s="321"/>
      <c r="Z11" s="321"/>
      <c r="AA11" s="321"/>
      <c r="AB11" s="322"/>
      <c r="AC11" s="180"/>
      <c r="AD11" s="181"/>
      <c r="AE11" s="182">
        <v>0</v>
      </c>
      <c r="AF11" s="183" t="s">
        <v>11</v>
      </c>
      <c r="AG11" s="181"/>
      <c r="AH11" s="184">
        <v>23</v>
      </c>
      <c r="AI11" s="185"/>
    </row>
    <row r="12" spans="1:16380" x14ac:dyDescent="0.3">
      <c r="A12" s="320"/>
      <c r="B12" s="321"/>
      <c r="C12" s="322"/>
      <c r="D12" s="320"/>
      <c r="E12" s="321"/>
      <c r="F12" s="321"/>
      <c r="G12" s="321"/>
      <c r="H12" s="322"/>
      <c r="I12" s="180"/>
      <c r="J12" s="181"/>
      <c r="K12" s="182">
        <v>0</v>
      </c>
      <c r="L12" s="183" t="s">
        <v>11</v>
      </c>
      <c r="M12" s="181"/>
      <c r="N12" s="184">
        <v>23</v>
      </c>
      <c r="O12" s="185"/>
      <c r="R12" s="1" t="s">
        <v>166</v>
      </c>
      <c r="S12" s="4" t="s">
        <v>167</v>
      </c>
      <c r="U12" s="320"/>
      <c r="V12" s="321"/>
      <c r="W12" s="322"/>
      <c r="X12" s="320"/>
      <c r="Y12" s="321"/>
      <c r="Z12" s="321"/>
      <c r="AA12" s="321"/>
      <c r="AB12" s="322"/>
      <c r="AC12" s="180"/>
      <c r="AD12" s="181"/>
      <c r="AE12" s="182">
        <v>0</v>
      </c>
      <c r="AF12" s="183" t="s">
        <v>11</v>
      </c>
      <c r="AG12" s="181"/>
      <c r="AH12" s="184">
        <v>23</v>
      </c>
      <c r="AI12" s="185"/>
    </row>
    <row r="13" spans="1:16380" x14ac:dyDescent="0.3">
      <c r="A13" s="320"/>
      <c r="B13" s="321"/>
      <c r="C13" s="322"/>
      <c r="D13" s="320"/>
      <c r="E13" s="321"/>
      <c r="F13" s="321"/>
      <c r="G13" s="321"/>
      <c r="H13" s="322"/>
      <c r="I13" s="180"/>
      <c r="J13" s="181"/>
      <c r="K13" s="182">
        <v>0</v>
      </c>
      <c r="L13" s="183" t="s">
        <v>11</v>
      </c>
      <c r="M13" s="181"/>
      <c r="N13" s="184">
        <v>23</v>
      </c>
      <c r="O13" s="185"/>
      <c r="R13" s="1" t="s">
        <v>168</v>
      </c>
      <c r="S13" s="4" t="s">
        <v>169</v>
      </c>
      <c r="U13" s="320"/>
      <c r="V13" s="321"/>
      <c r="W13" s="322"/>
      <c r="X13" s="320"/>
      <c r="Y13" s="321"/>
      <c r="Z13" s="321"/>
      <c r="AA13" s="321"/>
      <c r="AB13" s="322"/>
      <c r="AC13" s="180"/>
      <c r="AD13" s="181"/>
      <c r="AE13" s="182">
        <v>0</v>
      </c>
      <c r="AF13" s="183" t="s">
        <v>11</v>
      </c>
      <c r="AG13" s="181"/>
      <c r="AH13" s="184">
        <v>23</v>
      </c>
      <c r="AI13" s="185"/>
    </row>
    <row r="14" spans="1:16380" x14ac:dyDescent="0.3">
      <c r="A14" s="320"/>
      <c r="B14" s="321"/>
      <c r="C14" s="322"/>
      <c r="D14" s="320"/>
      <c r="E14" s="321"/>
      <c r="F14" s="321"/>
      <c r="G14" s="321"/>
      <c r="H14" s="322"/>
      <c r="I14" s="180"/>
      <c r="J14" s="181"/>
      <c r="K14" s="182">
        <v>0</v>
      </c>
      <c r="L14" s="183" t="s">
        <v>11</v>
      </c>
      <c r="M14" s="181"/>
      <c r="N14" s="184">
        <v>23</v>
      </c>
      <c r="O14" s="185"/>
      <c r="R14" s="1" t="s">
        <v>172</v>
      </c>
      <c r="S14" s="4" t="s">
        <v>173</v>
      </c>
      <c r="U14" s="320"/>
      <c r="V14" s="321"/>
      <c r="W14" s="322"/>
      <c r="X14" s="320"/>
      <c r="Y14" s="321"/>
      <c r="Z14" s="321"/>
      <c r="AA14" s="321"/>
      <c r="AB14" s="322"/>
      <c r="AC14" s="180"/>
      <c r="AD14" s="181"/>
      <c r="AE14" s="182">
        <v>0</v>
      </c>
      <c r="AF14" s="183" t="s">
        <v>11</v>
      </c>
      <c r="AG14" s="181"/>
      <c r="AH14" s="184">
        <v>23</v>
      </c>
      <c r="AI14" s="185"/>
    </row>
    <row r="15" spans="1:16380" x14ac:dyDescent="0.3">
      <c r="A15" s="320"/>
      <c r="B15" s="321"/>
      <c r="C15" s="322"/>
      <c r="D15" s="320"/>
      <c r="E15" s="321"/>
      <c r="F15" s="321"/>
      <c r="G15" s="321"/>
      <c r="H15" s="322"/>
      <c r="I15" s="180"/>
      <c r="J15" s="181"/>
      <c r="K15" s="182">
        <v>0</v>
      </c>
      <c r="L15" s="183" t="s">
        <v>11</v>
      </c>
      <c r="M15" s="181"/>
      <c r="N15" s="184">
        <v>23</v>
      </c>
      <c r="O15" s="185"/>
      <c r="R15" s="1" t="s">
        <v>171</v>
      </c>
      <c r="S15" s="4" t="s">
        <v>170</v>
      </c>
      <c r="U15" s="320"/>
      <c r="V15" s="321"/>
      <c r="W15" s="322"/>
      <c r="X15" s="320"/>
      <c r="Y15" s="321"/>
      <c r="Z15" s="321"/>
      <c r="AA15" s="321"/>
      <c r="AB15" s="322"/>
      <c r="AC15" s="180"/>
      <c r="AD15" s="181"/>
      <c r="AE15" s="182">
        <v>0</v>
      </c>
      <c r="AF15" s="183" t="s">
        <v>11</v>
      </c>
      <c r="AG15" s="181"/>
      <c r="AH15" s="184">
        <v>23</v>
      </c>
      <c r="AI15" s="185"/>
    </row>
    <row r="16" spans="1:16380" x14ac:dyDescent="0.3">
      <c r="A16" s="320"/>
      <c r="B16" s="321"/>
      <c r="C16" s="322"/>
      <c r="D16" s="320"/>
      <c r="E16" s="321"/>
      <c r="F16" s="321"/>
      <c r="G16" s="321"/>
      <c r="H16" s="322"/>
      <c r="I16" s="180"/>
      <c r="J16" s="181"/>
      <c r="K16" s="182">
        <v>0</v>
      </c>
      <c r="L16" s="183" t="s">
        <v>11</v>
      </c>
      <c r="M16" s="181"/>
      <c r="N16" s="184">
        <v>23</v>
      </c>
      <c r="O16" s="185"/>
      <c r="R16" s="1" t="s">
        <v>174</v>
      </c>
      <c r="S16" s="4" t="s">
        <v>175</v>
      </c>
      <c r="U16" s="320"/>
      <c r="V16" s="321"/>
      <c r="W16" s="322"/>
      <c r="X16" s="320"/>
      <c r="Y16" s="321"/>
      <c r="Z16" s="321"/>
      <c r="AA16" s="321"/>
      <c r="AB16" s="322"/>
      <c r="AC16" s="180"/>
      <c r="AD16" s="181"/>
      <c r="AE16" s="182">
        <v>0</v>
      </c>
      <c r="AF16" s="183" t="s">
        <v>11</v>
      </c>
      <c r="AG16" s="181"/>
      <c r="AH16" s="184">
        <v>23</v>
      </c>
      <c r="AI16" s="185"/>
    </row>
    <row r="17" spans="1:35" x14ac:dyDescent="0.3">
      <c r="A17" s="320"/>
      <c r="B17" s="321"/>
      <c r="C17" s="322"/>
      <c r="D17" s="320"/>
      <c r="E17" s="321"/>
      <c r="F17" s="321"/>
      <c r="G17" s="321"/>
      <c r="H17" s="322"/>
      <c r="I17" s="180"/>
      <c r="J17" s="181"/>
      <c r="K17" s="182">
        <v>0</v>
      </c>
      <c r="L17" s="183" t="s">
        <v>11</v>
      </c>
      <c r="M17" s="181"/>
      <c r="N17" s="184">
        <v>23</v>
      </c>
      <c r="O17" s="185"/>
      <c r="R17" s="1" t="s">
        <v>176</v>
      </c>
      <c r="S17" s="4" t="s">
        <v>177</v>
      </c>
      <c r="U17" s="320"/>
      <c r="V17" s="321"/>
      <c r="W17" s="322"/>
      <c r="X17" s="320"/>
      <c r="Y17" s="321"/>
      <c r="Z17" s="321"/>
      <c r="AA17" s="321"/>
      <c r="AB17" s="322"/>
      <c r="AC17" s="180"/>
      <c r="AD17" s="181"/>
      <c r="AE17" s="182">
        <v>0</v>
      </c>
      <c r="AF17" s="183" t="s">
        <v>11</v>
      </c>
      <c r="AG17" s="181"/>
      <c r="AH17" s="184">
        <v>23</v>
      </c>
      <c r="AI17" s="185"/>
    </row>
    <row r="18" spans="1:35" x14ac:dyDescent="0.3">
      <c r="A18" s="320"/>
      <c r="B18" s="321"/>
      <c r="C18" s="322"/>
      <c r="D18" s="320"/>
      <c r="E18" s="321"/>
      <c r="F18" s="321"/>
      <c r="G18" s="321"/>
      <c r="H18" s="322"/>
      <c r="I18" s="180"/>
      <c r="J18" s="181"/>
      <c r="K18" s="182">
        <v>0</v>
      </c>
      <c r="L18" s="183" t="s">
        <v>11</v>
      </c>
      <c r="M18" s="181"/>
      <c r="N18" s="184">
        <v>23</v>
      </c>
      <c r="O18" s="185"/>
      <c r="R18" s="1" t="s">
        <v>178</v>
      </c>
      <c r="S18" s="4" t="s">
        <v>179</v>
      </c>
      <c r="U18" s="320"/>
      <c r="V18" s="321"/>
      <c r="W18" s="322"/>
      <c r="X18" s="320"/>
      <c r="Y18" s="321"/>
      <c r="Z18" s="321"/>
      <c r="AA18" s="321"/>
      <c r="AB18" s="322"/>
      <c r="AC18" s="180"/>
      <c r="AD18" s="181"/>
      <c r="AE18" s="182">
        <v>0</v>
      </c>
      <c r="AF18" s="183" t="s">
        <v>11</v>
      </c>
      <c r="AG18" s="181"/>
      <c r="AH18" s="184">
        <v>23</v>
      </c>
      <c r="AI18" s="185"/>
    </row>
    <row r="19" spans="1:35" x14ac:dyDescent="0.3">
      <c r="A19" s="320"/>
      <c r="B19" s="321"/>
      <c r="C19" s="322"/>
      <c r="D19" s="320"/>
      <c r="E19" s="321"/>
      <c r="F19" s="321"/>
      <c r="G19" s="321"/>
      <c r="H19" s="322"/>
      <c r="I19" s="180"/>
      <c r="J19" s="181"/>
      <c r="K19" s="182">
        <v>0</v>
      </c>
      <c r="L19" s="183" t="s">
        <v>11</v>
      </c>
      <c r="M19" s="181"/>
      <c r="N19" s="184">
        <v>23</v>
      </c>
      <c r="O19" s="185"/>
      <c r="R19" s="1" t="s">
        <v>182</v>
      </c>
      <c r="S19" s="4" t="s">
        <v>183</v>
      </c>
      <c r="U19" s="320"/>
      <c r="V19" s="321"/>
      <c r="W19" s="322"/>
      <c r="X19" s="320"/>
      <c r="Y19" s="321"/>
      <c r="Z19" s="321"/>
      <c r="AA19" s="321"/>
      <c r="AB19" s="322"/>
      <c r="AC19" s="180"/>
      <c r="AD19" s="181"/>
      <c r="AE19" s="182">
        <v>0</v>
      </c>
      <c r="AF19" s="183" t="s">
        <v>11</v>
      </c>
      <c r="AG19" s="181"/>
      <c r="AH19" s="184">
        <v>23</v>
      </c>
      <c r="AI19" s="185"/>
    </row>
    <row r="20" spans="1:35" x14ac:dyDescent="0.3">
      <c r="A20" s="320"/>
      <c r="B20" s="321"/>
      <c r="C20" s="322"/>
      <c r="D20" s="320"/>
      <c r="E20" s="321"/>
      <c r="F20" s="321"/>
      <c r="G20" s="321"/>
      <c r="H20" s="322"/>
      <c r="I20" s="180"/>
      <c r="J20" s="181"/>
      <c r="K20" s="182">
        <v>0</v>
      </c>
      <c r="L20" s="183" t="s">
        <v>11</v>
      </c>
      <c r="M20" s="181"/>
      <c r="N20" s="184">
        <v>23</v>
      </c>
      <c r="O20" s="185"/>
      <c r="R20" s="1" t="s">
        <v>186</v>
      </c>
      <c r="S20" s="4" t="s">
        <v>187</v>
      </c>
      <c r="U20" s="320"/>
      <c r="V20" s="321"/>
      <c r="W20" s="322"/>
      <c r="X20" s="320"/>
      <c r="Y20" s="321"/>
      <c r="Z20" s="321"/>
      <c r="AA20" s="321"/>
      <c r="AB20" s="322"/>
      <c r="AC20" s="180"/>
      <c r="AD20" s="181"/>
      <c r="AE20" s="182">
        <v>0</v>
      </c>
      <c r="AF20" s="183" t="s">
        <v>11</v>
      </c>
      <c r="AG20" s="181"/>
      <c r="AH20" s="184">
        <v>23</v>
      </c>
      <c r="AI20" s="185"/>
    </row>
    <row r="21" spans="1:35" x14ac:dyDescent="0.3">
      <c r="A21" s="320"/>
      <c r="B21" s="321"/>
      <c r="C21" s="322"/>
      <c r="D21" s="320"/>
      <c r="E21" s="321"/>
      <c r="F21" s="321"/>
      <c r="G21" s="321"/>
      <c r="H21" s="322"/>
      <c r="I21" s="180"/>
      <c r="J21" s="181"/>
      <c r="K21" s="182">
        <v>0</v>
      </c>
      <c r="L21" s="183" t="s">
        <v>11</v>
      </c>
      <c r="M21" s="181"/>
      <c r="N21" s="184">
        <v>23</v>
      </c>
      <c r="O21" s="185"/>
      <c r="R21" s="1" t="s">
        <v>188</v>
      </c>
      <c r="S21" s="4" t="s">
        <v>189</v>
      </c>
      <c r="U21" s="320"/>
      <c r="V21" s="321"/>
      <c r="W21" s="322"/>
      <c r="X21" s="320"/>
      <c r="Y21" s="321"/>
      <c r="Z21" s="321"/>
      <c r="AA21" s="321"/>
      <c r="AB21" s="322"/>
      <c r="AC21" s="180"/>
      <c r="AD21" s="181"/>
      <c r="AE21" s="182">
        <v>0</v>
      </c>
      <c r="AF21" s="183" t="s">
        <v>11</v>
      </c>
      <c r="AG21" s="181"/>
      <c r="AH21" s="184">
        <v>23</v>
      </c>
      <c r="AI21" s="185"/>
    </row>
    <row r="22" spans="1:35" x14ac:dyDescent="0.3">
      <c r="A22" s="320"/>
      <c r="B22" s="321"/>
      <c r="C22" s="322"/>
      <c r="D22" s="320"/>
      <c r="E22" s="321"/>
      <c r="F22" s="321"/>
      <c r="G22" s="321"/>
      <c r="H22" s="322"/>
      <c r="I22" s="180"/>
      <c r="J22" s="181"/>
      <c r="K22" s="182"/>
      <c r="L22" s="183"/>
      <c r="M22" s="181"/>
      <c r="N22" s="184"/>
      <c r="O22" s="185"/>
      <c r="R22" s="1" t="s">
        <v>159</v>
      </c>
      <c r="S22" s="4" t="s">
        <v>190</v>
      </c>
      <c r="U22" s="320"/>
      <c r="V22" s="321"/>
      <c r="W22" s="322"/>
      <c r="X22" s="320"/>
      <c r="Y22" s="321"/>
      <c r="Z22" s="321"/>
      <c r="AA22" s="321"/>
      <c r="AB22" s="322"/>
      <c r="AC22" s="180"/>
      <c r="AD22" s="181"/>
      <c r="AE22" s="182"/>
      <c r="AF22" s="183"/>
      <c r="AG22" s="181"/>
      <c r="AH22" s="184"/>
      <c r="AI22" s="185"/>
    </row>
    <row r="23" spans="1:35" x14ac:dyDescent="0.3">
      <c r="A23" s="320"/>
      <c r="B23" s="321"/>
      <c r="C23" s="322"/>
      <c r="D23" s="320"/>
      <c r="E23" s="321"/>
      <c r="F23" s="321"/>
      <c r="G23" s="321"/>
      <c r="H23" s="322"/>
      <c r="I23" s="180"/>
      <c r="J23" s="181"/>
      <c r="K23" s="182"/>
      <c r="L23" s="183"/>
      <c r="M23" s="181"/>
      <c r="N23" s="184"/>
      <c r="O23" s="185"/>
      <c r="R23" s="1" t="s">
        <v>185</v>
      </c>
      <c r="S23" s="4" t="s">
        <v>184</v>
      </c>
      <c r="U23" s="320"/>
      <c r="V23" s="321"/>
      <c r="W23" s="322"/>
      <c r="X23" s="320"/>
      <c r="Y23" s="321"/>
      <c r="Z23" s="321"/>
      <c r="AA23" s="321"/>
      <c r="AB23" s="322"/>
      <c r="AC23" s="180"/>
      <c r="AD23" s="181"/>
      <c r="AE23" s="182"/>
      <c r="AF23" s="183"/>
      <c r="AG23" s="181"/>
      <c r="AH23" s="184"/>
      <c r="AI23" s="185"/>
    </row>
    <row r="24" spans="1:35" x14ac:dyDescent="0.3">
      <c r="A24" s="320"/>
      <c r="B24" s="321"/>
      <c r="C24" s="322"/>
      <c r="D24" s="320"/>
      <c r="E24" s="321"/>
      <c r="F24" s="321"/>
      <c r="G24" s="321"/>
      <c r="H24" s="322"/>
      <c r="I24" s="180"/>
      <c r="J24" s="181"/>
      <c r="K24" s="182"/>
      <c r="L24" s="183"/>
      <c r="M24" s="181"/>
      <c r="N24" s="184"/>
      <c r="O24" s="185"/>
      <c r="R24" s="1" t="s">
        <v>191</v>
      </c>
      <c r="S24" s="4" t="s">
        <v>192</v>
      </c>
      <c r="U24" s="320"/>
      <c r="V24" s="321"/>
      <c r="W24" s="322"/>
      <c r="X24" s="320"/>
      <c r="Y24" s="321"/>
      <c r="Z24" s="321"/>
      <c r="AA24" s="321"/>
      <c r="AB24" s="322"/>
      <c r="AC24" s="180"/>
      <c r="AD24" s="181"/>
      <c r="AE24" s="182"/>
      <c r="AF24" s="183"/>
      <c r="AG24" s="181"/>
      <c r="AH24" s="184"/>
      <c r="AI24" s="185"/>
    </row>
    <row r="25" spans="1:35" x14ac:dyDescent="0.3">
      <c r="A25" s="320"/>
      <c r="B25" s="321"/>
      <c r="C25" s="322"/>
      <c r="D25" s="320"/>
      <c r="E25" s="321"/>
      <c r="F25" s="321"/>
      <c r="G25" s="321"/>
      <c r="H25" s="322"/>
      <c r="I25" s="180"/>
      <c r="J25" s="181"/>
      <c r="K25" s="182"/>
      <c r="L25" s="183"/>
      <c r="M25" s="181"/>
      <c r="N25" s="184"/>
      <c r="O25" s="185"/>
      <c r="R25" s="1" t="s">
        <v>181</v>
      </c>
      <c r="S25" s="4" t="s">
        <v>180</v>
      </c>
      <c r="U25" s="320"/>
      <c r="V25" s="321"/>
      <c r="W25" s="322"/>
      <c r="X25" s="320"/>
      <c r="Y25" s="321"/>
      <c r="Z25" s="321"/>
      <c r="AA25" s="321"/>
      <c r="AB25" s="322"/>
      <c r="AC25" s="180"/>
      <c r="AD25" s="181"/>
      <c r="AE25" s="182"/>
      <c r="AF25" s="183"/>
      <c r="AG25" s="181"/>
      <c r="AH25" s="184"/>
      <c r="AI25" s="185"/>
    </row>
    <row r="26" spans="1:35" x14ac:dyDescent="0.3">
      <c r="R26" s="1" t="s">
        <v>193</v>
      </c>
      <c r="S26" s="4" t="s">
        <v>194</v>
      </c>
    </row>
    <row r="27" spans="1:35" ht="23.4" x14ac:dyDescent="0.3">
      <c r="A27" s="323" t="s">
        <v>195</v>
      </c>
      <c r="B27" s="324"/>
      <c r="C27" s="324"/>
      <c r="D27" s="324"/>
      <c r="E27" s="324"/>
      <c r="F27" s="324"/>
      <c r="G27" s="324"/>
      <c r="H27" s="324"/>
      <c r="I27" s="324"/>
      <c r="J27" s="324"/>
      <c r="K27" s="324"/>
      <c r="L27" s="324"/>
      <c r="M27" s="324"/>
      <c r="N27" s="324"/>
      <c r="O27" s="325"/>
      <c r="R27" s="1" t="s">
        <v>196</v>
      </c>
      <c r="S27" s="4" t="s">
        <v>141</v>
      </c>
      <c r="U27" s="323" t="s">
        <v>195</v>
      </c>
      <c r="V27" s="324"/>
      <c r="W27" s="324"/>
      <c r="X27" s="324"/>
      <c r="Y27" s="324"/>
      <c r="Z27" s="324"/>
      <c r="AA27" s="324"/>
      <c r="AB27" s="324"/>
      <c r="AC27" s="324"/>
      <c r="AD27" s="324"/>
      <c r="AE27" s="324"/>
      <c r="AF27" s="324"/>
      <c r="AG27" s="324"/>
      <c r="AH27" s="324"/>
      <c r="AI27" s="325"/>
    </row>
    <row r="28" spans="1:35" x14ac:dyDescent="0.3">
      <c r="A28" s="170"/>
      <c r="B28" s="170"/>
      <c r="E28" s="170"/>
      <c r="F28" s="170"/>
      <c r="G28" s="170"/>
      <c r="H28" s="170"/>
      <c r="I28" s="171"/>
      <c r="J28" s="328" t="s">
        <v>150</v>
      </c>
      <c r="K28" s="329"/>
      <c r="L28" s="329"/>
      <c r="M28" s="329"/>
      <c r="N28" s="330"/>
      <c r="R28" s="1" t="s">
        <v>197</v>
      </c>
      <c r="S28" s="4" t="s">
        <v>198</v>
      </c>
      <c r="U28" s="170"/>
      <c r="V28" s="170"/>
      <c r="Y28" s="170"/>
      <c r="Z28" s="170"/>
      <c r="AA28" s="170"/>
      <c r="AB28" s="170"/>
      <c r="AC28" s="171"/>
      <c r="AD28" s="328" t="s">
        <v>150</v>
      </c>
      <c r="AE28" s="329"/>
      <c r="AF28" s="329"/>
      <c r="AG28" s="329"/>
      <c r="AH28" s="330"/>
    </row>
    <row r="29" spans="1:35" x14ac:dyDescent="0.3">
      <c r="A29" s="331" t="s">
        <v>153</v>
      </c>
      <c r="B29" s="332"/>
      <c r="C29" s="333"/>
      <c r="D29" s="331" t="s">
        <v>154</v>
      </c>
      <c r="E29" s="332"/>
      <c r="F29" s="332"/>
      <c r="G29" s="332"/>
      <c r="H29" s="333"/>
      <c r="I29" s="174" t="s">
        <v>155</v>
      </c>
      <c r="J29" s="175" t="s">
        <v>6</v>
      </c>
      <c r="K29" s="176" t="s">
        <v>10</v>
      </c>
      <c r="L29" s="177" t="s">
        <v>11</v>
      </c>
      <c r="M29" s="176" t="s">
        <v>6</v>
      </c>
      <c r="N29" s="178" t="s">
        <v>10</v>
      </c>
      <c r="O29" s="174" t="s">
        <v>156</v>
      </c>
      <c r="R29" s="1" t="s">
        <v>165</v>
      </c>
      <c r="S29" s="4" t="s">
        <v>164</v>
      </c>
      <c r="U29" s="331" t="s">
        <v>153</v>
      </c>
      <c r="V29" s="332"/>
      <c r="W29" s="333"/>
      <c r="X29" s="331" t="s">
        <v>154</v>
      </c>
      <c r="Y29" s="332"/>
      <c r="Z29" s="332"/>
      <c r="AA29" s="332"/>
      <c r="AB29" s="333"/>
      <c r="AC29" s="174" t="s">
        <v>155</v>
      </c>
      <c r="AD29" s="175" t="s">
        <v>6</v>
      </c>
      <c r="AE29" s="176" t="s">
        <v>10</v>
      </c>
      <c r="AF29" s="177" t="s">
        <v>11</v>
      </c>
      <c r="AG29" s="176" t="s">
        <v>6</v>
      </c>
      <c r="AH29" s="178" t="s">
        <v>10</v>
      </c>
      <c r="AI29" s="174" t="s">
        <v>156</v>
      </c>
    </row>
    <row r="30" spans="1:35" x14ac:dyDescent="0.3">
      <c r="A30" s="320"/>
      <c r="B30" s="321"/>
      <c r="C30" s="322"/>
      <c r="D30" s="320"/>
      <c r="E30" s="321"/>
      <c r="F30" s="321"/>
      <c r="G30" s="321"/>
      <c r="H30" s="322"/>
      <c r="I30" s="180"/>
      <c r="J30" s="181"/>
      <c r="K30" s="182">
        <v>0</v>
      </c>
      <c r="L30" s="183" t="s">
        <v>11</v>
      </c>
      <c r="M30" s="181"/>
      <c r="N30" s="184">
        <v>23</v>
      </c>
      <c r="O30" s="185"/>
      <c r="U30" s="320"/>
      <c r="V30" s="321"/>
      <c r="W30" s="322"/>
      <c r="X30" s="320"/>
      <c r="Y30" s="321"/>
      <c r="Z30" s="321"/>
      <c r="AA30" s="321"/>
      <c r="AB30" s="322"/>
      <c r="AC30" s="180"/>
      <c r="AD30" s="181"/>
      <c r="AE30" s="182">
        <v>0</v>
      </c>
      <c r="AF30" s="183" t="s">
        <v>11</v>
      </c>
      <c r="AG30" s="181"/>
      <c r="AH30" s="184">
        <v>23</v>
      </c>
      <c r="AI30" s="185"/>
    </row>
    <row r="31" spans="1:35" x14ac:dyDescent="0.3">
      <c r="A31" s="320"/>
      <c r="B31" s="321"/>
      <c r="C31" s="322"/>
      <c r="D31" s="320"/>
      <c r="E31" s="321"/>
      <c r="F31" s="321"/>
      <c r="G31" s="321"/>
      <c r="H31" s="322"/>
      <c r="I31" s="180"/>
      <c r="J31" s="181"/>
      <c r="K31" s="182">
        <v>0</v>
      </c>
      <c r="L31" s="183" t="s">
        <v>11</v>
      </c>
      <c r="M31" s="181"/>
      <c r="N31" s="184">
        <v>23</v>
      </c>
      <c r="O31" s="185"/>
      <c r="U31" s="320"/>
      <c r="V31" s="321"/>
      <c r="W31" s="322"/>
      <c r="X31" s="320"/>
      <c r="Y31" s="321"/>
      <c r="Z31" s="321"/>
      <c r="AA31" s="321"/>
      <c r="AB31" s="322"/>
      <c r="AC31" s="180"/>
      <c r="AD31" s="181"/>
      <c r="AE31" s="182">
        <v>0</v>
      </c>
      <c r="AF31" s="183" t="s">
        <v>11</v>
      </c>
      <c r="AG31" s="181"/>
      <c r="AH31" s="184">
        <v>23</v>
      </c>
      <c r="AI31" s="185"/>
    </row>
    <row r="32" spans="1:35" x14ac:dyDescent="0.3">
      <c r="A32" s="320"/>
      <c r="B32" s="321"/>
      <c r="C32" s="322"/>
      <c r="D32" s="320"/>
      <c r="E32" s="321"/>
      <c r="F32" s="321"/>
      <c r="G32" s="321"/>
      <c r="H32" s="322"/>
      <c r="I32" s="180"/>
      <c r="J32" s="181"/>
      <c r="K32" s="182">
        <v>0</v>
      </c>
      <c r="L32" s="183" t="s">
        <v>11</v>
      </c>
      <c r="M32" s="181"/>
      <c r="N32" s="184">
        <v>23</v>
      </c>
      <c r="O32" s="185"/>
      <c r="U32" s="320"/>
      <c r="V32" s="321"/>
      <c r="W32" s="322"/>
      <c r="X32" s="320"/>
      <c r="Y32" s="321"/>
      <c r="Z32" s="321"/>
      <c r="AA32" s="321"/>
      <c r="AB32" s="322"/>
      <c r="AC32" s="180"/>
      <c r="AD32" s="181"/>
      <c r="AE32" s="182">
        <v>0</v>
      </c>
      <c r="AF32" s="183" t="s">
        <v>11</v>
      </c>
      <c r="AG32" s="181"/>
      <c r="AH32" s="184">
        <v>23</v>
      </c>
      <c r="AI32" s="185"/>
    </row>
    <row r="33" spans="1:35" x14ac:dyDescent="0.3">
      <c r="A33" s="320"/>
      <c r="B33" s="321"/>
      <c r="C33" s="322"/>
      <c r="D33" s="320"/>
      <c r="E33" s="321"/>
      <c r="F33" s="321"/>
      <c r="G33" s="321"/>
      <c r="H33" s="322"/>
      <c r="I33" s="180"/>
      <c r="J33" s="181"/>
      <c r="K33" s="182">
        <v>0</v>
      </c>
      <c r="L33" s="183" t="s">
        <v>11</v>
      </c>
      <c r="M33" s="181"/>
      <c r="N33" s="184">
        <v>23</v>
      </c>
      <c r="O33" s="185"/>
      <c r="U33" s="320"/>
      <c r="V33" s="321"/>
      <c r="W33" s="322"/>
      <c r="X33" s="320"/>
      <c r="Y33" s="321"/>
      <c r="Z33" s="321"/>
      <c r="AA33" s="321"/>
      <c r="AB33" s="322"/>
      <c r="AC33" s="180"/>
      <c r="AD33" s="181"/>
      <c r="AE33" s="182">
        <v>0</v>
      </c>
      <c r="AF33" s="183" t="s">
        <v>11</v>
      </c>
      <c r="AG33" s="181"/>
      <c r="AH33" s="184">
        <v>23</v>
      </c>
      <c r="AI33" s="185"/>
    </row>
    <row r="34" spans="1:35" x14ac:dyDescent="0.3">
      <c r="A34" s="320"/>
      <c r="B34" s="321"/>
      <c r="C34" s="322"/>
      <c r="D34" s="320"/>
      <c r="E34" s="321"/>
      <c r="F34" s="321"/>
      <c r="G34" s="321"/>
      <c r="H34" s="322"/>
      <c r="I34" s="180"/>
      <c r="J34" s="181"/>
      <c r="K34" s="182">
        <v>0</v>
      </c>
      <c r="L34" s="183" t="s">
        <v>11</v>
      </c>
      <c r="M34" s="181"/>
      <c r="N34" s="184">
        <v>23</v>
      </c>
      <c r="O34" s="185"/>
      <c r="R34" s="326" t="s">
        <v>225</v>
      </c>
      <c r="S34" s="327"/>
      <c r="U34" s="320"/>
      <c r="V34" s="321"/>
      <c r="W34" s="322"/>
      <c r="X34" s="320"/>
      <c r="Y34" s="321"/>
      <c r="Z34" s="321"/>
      <c r="AA34" s="321"/>
      <c r="AB34" s="322"/>
      <c r="AC34" s="180"/>
      <c r="AD34" s="181"/>
      <c r="AE34" s="182">
        <v>0</v>
      </c>
      <c r="AF34" s="183" t="s">
        <v>11</v>
      </c>
      <c r="AG34" s="181"/>
      <c r="AH34" s="184">
        <v>23</v>
      </c>
      <c r="AI34" s="185"/>
    </row>
    <row r="35" spans="1:35" x14ac:dyDescent="0.3">
      <c r="A35" s="320"/>
      <c r="B35" s="321"/>
      <c r="C35" s="322"/>
      <c r="D35" s="320"/>
      <c r="E35" s="321"/>
      <c r="F35" s="321"/>
      <c r="G35" s="321"/>
      <c r="H35" s="322"/>
      <c r="I35" s="180"/>
      <c r="J35" s="181"/>
      <c r="K35" s="182"/>
      <c r="L35" s="183" t="s">
        <v>11</v>
      </c>
      <c r="M35" s="181"/>
      <c r="N35" s="184"/>
      <c r="O35" s="185"/>
      <c r="R35" s="172" t="s">
        <v>151</v>
      </c>
      <c r="S35" s="173" t="s">
        <v>152</v>
      </c>
      <c r="U35" s="320"/>
      <c r="V35" s="321"/>
      <c r="W35" s="322"/>
      <c r="X35" s="320"/>
      <c r="Y35" s="321"/>
      <c r="Z35" s="321"/>
      <c r="AA35" s="321"/>
      <c r="AB35" s="322"/>
      <c r="AC35" s="180"/>
      <c r="AD35" s="181"/>
      <c r="AE35" s="182"/>
      <c r="AF35" s="183" t="s">
        <v>11</v>
      </c>
      <c r="AG35" s="181"/>
      <c r="AH35" s="184"/>
      <c r="AI35" s="185"/>
    </row>
    <row r="36" spans="1:35" x14ac:dyDescent="0.3">
      <c r="A36" s="320"/>
      <c r="B36" s="321"/>
      <c r="C36" s="322"/>
      <c r="D36" s="320"/>
      <c r="E36" s="321"/>
      <c r="F36" s="321"/>
      <c r="G36" s="321"/>
      <c r="H36" s="322"/>
      <c r="I36" s="180"/>
      <c r="J36" s="181"/>
      <c r="K36" s="182"/>
      <c r="L36" s="183" t="s">
        <v>11</v>
      </c>
      <c r="M36" s="181"/>
      <c r="N36" s="184"/>
      <c r="O36" s="185"/>
      <c r="R36" s="1" t="s">
        <v>200</v>
      </c>
      <c r="S36" s="4" t="s">
        <v>201</v>
      </c>
      <c r="U36" s="320"/>
      <c r="V36" s="321"/>
      <c r="W36" s="322"/>
      <c r="X36" s="320"/>
      <c r="Y36" s="321"/>
      <c r="Z36" s="321"/>
      <c r="AA36" s="321"/>
      <c r="AB36" s="322"/>
      <c r="AC36" s="180"/>
      <c r="AD36" s="181"/>
      <c r="AE36" s="182"/>
      <c r="AF36" s="183" t="s">
        <v>11</v>
      </c>
      <c r="AG36" s="181"/>
      <c r="AH36" s="184"/>
      <c r="AI36" s="185"/>
    </row>
    <row r="37" spans="1:35" x14ac:dyDescent="0.3">
      <c r="A37" s="320"/>
      <c r="B37" s="321"/>
      <c r="C37" s="322"/>
      <c r="D37" s="320"/>
      <c r="E37" s="321"/>
      <c r="F37" s="321"/>
      <c r="G37" s="321"/>
      <c r="H37" s="322"/>
      <c r="I37" s="180"/>
      <c r="J37" s="181"/>
      <c r="K37" s="182"/>
      <c r="L37" s="183" t="s">
        <v>11</v>
      </c>
      <c r="M37" s="181"/>
      <c r="N37" s="184"/>
      <c r="O37" s="185"/>
      <c r="R37" s="1" t="s">
        <v>202</v>
      </c>
      <c r="S37" s="4" t="s">
        <v>203</v>
      </c>
      <c r="U37" s="320"/>
      <c r="V37" s="321"/>
      <c r="W37" s="322"/>
      <c r="X37" s="320"/>
      <c r="Y37" s="321"/>
      <c r="Z37" s="321"/>
      <c r="AA37" s="321"/>
      <c r="AB37" s="322"/>
      <c r="AC37" s="180"/>
      <c r="AD37" s="181"/>
      <c r="AE37" s="182"/>
      <c r="AF37" s="183" t="s">
        <v>11</v>
      </c>
      <c r="AG37" s="181"/>
      <c r="AH37" s="184"/>
      <c r="AI37" s="185"/>
    </row>
    <row r="38" spans="1:35" x14ac:dyDescent="0.3">
      <c r="A38" s="320"/>
      <c r="B38" s="321"/>
      <c r="C38" s="322"/>
      <c r="D38" s="320"/>
      <c r="E38" s="321"/>
      <c r="F38" s="321"/>
      <c r="G38" s="321"/>
      <c r="H38" s="322"/>
      <c r="I38" s="180"/>
      <c r="J38" s="181"/>
      <c r="K38" s="182"/>
      <c r="L38" s="183" t="s">
        <v>11</v>
      </c>
      <c r="M38" s="181"/>
      <c r="N38" s="184"/>
      <c r="O38" s="185"/>
      <c r="R38" s="1" t="s">
        <v>204</v>
      </c>
      <c r="S38" s="4" t="s">
        <v>205</v>
      </c>
      <c r="U38" s="320"/>
      <c r="V38" s="321"/>
      <c r="W38" s="322"/>
      <c r="X38" s="320"/>
      <c r="Y38" s="321"/>
      <c r="Z38" s="321"/>
      <c r="AA38" s="321"/>
      <c r="AB38" s="322"/>
      <c r="AC38" s="180"/>
      <c r="AD38" s="181"/>
      <c r="AE38" s="182"/>
      <c r="AF38" s="183" t="s">
        <v>11</v>
      </c>
      <c r="AG38" s="181"/>
      <c r="AH38" s="184"/>
      <c r="AI38" s="185"/>
    </row>
    <row r="39" spans="1:35" x14ac:dyDescent="0.3">
      <c r="A39" s="320"/>
      <c r="B39" s="321"/>
      <c r="C39" s="322"/>
      <c r="D39" s="320"/>
      <c r="E39" s="321"/>
      <c r="F39" s="321"/>
      <c r="G39" s="321"/>
      <c r="H39" s="322"/>
      <c r="I39" s="180"/>
      <c r="J39" s="181"/>
      <c r="K39" s="182"/>
      <c r="L39" s="183" t="s">
        <v>11</v>
      </c>
      <c r="M39" s="181"/>
      <c r="N39" s="184"/>
      <c r="O39" s="185"/>
      <c r="R39" s="1" t="s">
        <v>199</v>
      </c>
      <c r="S39" s="4" t="s">
        <v>206</v>
      </c>
      <c r="U39" s="320"/>
      <c r="V39" s="321"/>
      <c r="W39" s="322"/>
      <c r="X39" s="320"/>
      <c r="Y39" s="321"/>
      <c r="Z39" s="321"/>
      <c r="AA39" s="321"/>
      <c r="AB39" s="322"/>
      <c r="AC39" s="180"/>
      <c r="AD39" s="181"/>
      <c r="AE39" s="182"/>
      <c r="AF39" s="183" t="s">
        <v>11</v>
      </c>
      <c r="AG39" s="181"/>
      <c r="AH39" s="184"/>
      <c r="AI39" s="185"/>
    </row>
    <row r="40" spans="1:35" x14ac:dyDescent="0.3">
      <c r="A40" s="320"/>
      <c r="B40" s="321"/>
      <c r="C40" s="322"/>
      <c r="D40" s="320"/>
      <c r="E40" s="321"/>
      <c r="F40" s="321"/>
      <c r="G40" s="321"/>
      <c r="H40" s="322"/>
      <c r="I40" s="180"/>
      <c r="J40" s="181"/>
      <c r="K40" s="182"/>
      <c r="L40" s="183" t="s">
        <v>11</v>
      </c>
      <c r="M40" s="181"/>
      <c r="N40" s="184"/>
      <c r="O40" s="185"/>
      <c r="R40" s="1" t="s">
        <v>207</v>
      </c>
      <c r="S40" s="4" t="s">
        <v>208</v>
      </c>
      <c r="U40" s="320"/>
      <c r="V40" s="321"/>
      <c r="W40" s="322"/>
      <c r="X40" s="320"/>
      <c r="Y40" s="321"/>
      <c r="Z40" s="321"/>
      <c r="AA40" s="321"/>
      <c r="AB40" s="322"/>
      <c r="AC40" s="180"/>
      <c r="AD40" s="181"/>
      <c r="AE40" s="182"/>
      <c r="AF40" s="183" t="s">
        <v>11</v>
      </c>
      <c r="AG40" s="181"/>
      <c r="AH40" s="184"/>
      <c r="AI40" s="185"/>
    </row>
    <row r="41" spans="1:35" x14ac:dyDescent="0.3">
      <c r="A41" s="320"/>
      <c r="B41" s="321"/>
      <c r="C41" s="322"/>
      <c r="D41" s="320"/>
      <c r="E41" s="321"/>
      <c r="F41" s="321"/>
      <c r="G41" s="321"/>
      <c r="H41" s="322"/>
      <c r="I41" s="180"/>
      <c r="J41" s="181"/>
      <c r="K41" s="182"/>
      <c r="L41" s="183" t="s">
        <v>11</v>
      </c>
      <c r="M41" s="181"/>
      <c r="N41" s="184"/>
      <c r="O41" s="185"/>
      <c r="R41" s="1" t="s">
        <v>209</v>
      </c>
      <c r="S41" s="4" t="s">
        <v>210</v>
      </c>
      <c r="U41" s="320"/>
      <c r="V41" s="321"/>
      <c r="W41" s="322"/>
      <c r="X41" s="320"/>
      <c r="Y41" s="321"/>
      <c r="Z41" s="321"/>
      <c r="AA41" s="321"/>
      <c r="AB41" s="322"/>
      <c r="AC41" s="180"/>
      <c r="AD41" s="181"/>
      <c r="AE41" s="182"/>
      <c r="AF41" s="183" t="s">
        <v>11</v>
      </c>
      <c r="AG41" s="181"/>
      <c r="AH41" s="184"/>
      <c r="AI41" s="185"/>
    </row>
    <row r="42" spans="1:35" x14ac:dyDescent="0.3">
      <c r="A42" s="320"/>
      <c r="B42" s="321"/>
      <c r="C42" s="322"/>
      <c r="D42" s="320"/>
      <c r="E42" s="321"/>
      <c r="F42" s="321"/>
      <c r="G42" s="321"/>
      <c r="H42" s="322"/>
      <c r="I42" s="180"/>
      <c r="J42" s="181"/>
      <c r="K42" s="182"/>
      <c r="L42" s="183" t="s">
        <v>11</v>
      </c>
      <c r="M42" s="181"/>
      <c r="N42" s="184"/>
      <c r="O42" s="185"/>
      <c r="R42" s="1" t="s">
        <v>211</v>
      </c>
      <c r="S42" s="4" t="s">
        <v>212</v>
      </c>
      <c r="U42" s="320"/>
      <c r="V42" s="321"/>
      <c r="W42" s="322"/>
      <c r="X42" s="320"/>
      <c r="Y42" s="321"/>
      <c r="Z42" s="321"/>
      <c r="AA42" s="321"/>
      <c r="AB42" s="322"/>
      <c r="AC42" s="180"/>
      <c r="AD42" s="181"/>
      <c r="AE42" s="182"/>
      <c r="AF42" s="183" t="s">
        <v>11</v>
      </c>
      <c r="AG42" s="181"/>
      <c r="AH42" s="184"/>
      <c r="AI42" s="185"/>
    </row>
    <row r="43" spans="1:35" x14ac:dyDescent="0.3">
      <c r="A43" s="320"/>
      <c r="B43" s="321"/>
      <c r="C43" s="322"/>
      <c r="D43" s="320"/>
      <c r="E43" s="321"/>
      <c r="F43" s="321"/>
      <c r="G43" s="321"/>
      <c r="H43" s="322"/>
      <c r="I43" s="180"/>
      <c r="J43" s="181"/>
      <c r="K43" s="182"/>
      <c r="L43" s="183" t="s">
        <v>11</v>
      </c>
      <c r="M43" s="181"/>
      <c r="N43" s="184"/>
      <c r="O43" s="185"/>
      <c r="R43" s="1" t="s">
        <v>213</v>
      </c>
      <c r="S43" s="4" t="s">
        <v>214</v>
      </c>
      <c r="U43" s="320"/>
      <c r="V43" s="321"/>
      <c r="W43" s="322"/>
      <c r="X43" s="320"/>
      <c r="Y43" s="321"/>
      <c r="Z43" s="321"/>
      <c r="AA43" s="321"/>
      <c r="AB43" s="322"/>
      <c r="AC43" s="180"/>
      <c r="AD43" s="181"/>
      <c r="AE43" s="182"/>
      <c r="AF43" s="183" t="s">
        <v>11</v>
      </c>
      <c r="AG43" s="181"/>
      <c r="AH43" s="184"/>
      <c r="AI43" s="185"/>
    </row>
    <row r="44" spans="1:35" x14ac:dyDescent="0.3">
      <c r="A44" s="320"/>
      <c r="B44" s="321"/>
      <c r="C44" s="322"/>
      <c r="D44" s="320"/>
      <c r="E44" s="321"/>
      <c r="F44" s="321"/>
      <c r="G44" s="321"/>
      <c r="H44" s="322"/>
      <c r="I44" s="180"/>
      <c r="J44" s="181"/>
      <c r="K44" s="182"/>
      <c r="L44" s="183" t="s">
        <v>11</v>
      </c>
      <c r="M44" s="181"/>
      <c r="N44" s="184"/>
      <c r="O44" s="185"/>
      <c r="R44" s="1">
        <v>5</v>
      </c>
      <c r="S44" s="4" t="s">
        <v>216</v>
      </c>
      <c r="U44" s="320"/>
      <c r="V44" s="321"/>
      <c r="W44" s="322"/>
      <c r="X44" s="320"/>
      <c r="Y44" s="321"/>
      <c r="Z44" s="321"/>
      <c r="AA44" s="321"/>
      <c r="AB44" s="322"/>
      <c r="AC44" s="180"/>
      <c r="AD44" s="181"/>
      <c r="AE44" s="182"/>
      <c r="AF44" s="183" t="s">
        <v>11</v>
      </c>
      <c r="AG44" s="181"/>
      <c r="AH44" s="184"/>
      <c r="AI44" s="185"/>
    </row>
    <row r="45" spans="1:35" x14ac:dyDescent="0.3">
      <c r="A45" s="320"/>
      <c r="B45" s="321"/>
      <c r="C45" s="322"/>
      <c r="D45" s="320"/>
      <c r="E45" s="321"/>
      <c r="F45" s="321"/>
      <c r="G45" s="321"/>
      <c r="H45" s="322"/>
      <c r="I45" s="180"/>
      <c r="J45" s="181"/>
      <c r="K45" s="182"/>
      <c r="L45" s="183" t="s">
        <v>11</v>
      </c>
      <c r="M45" s="181"/>
      <c r="N45" s="184"/>
      <c r="O45" s="185"/>
      <c r="R45" s="1" t="s">
        <v>38</v>
      </c>
      <c r="S45" s="4" t="s">
        <v>217</v>
      </c>
      <c r="U45" s="320"/>
      <c r="V45" s="321"/>
      <c r="W45" s="322"/>
      <c r="X45" s="320"/>
      <c r="Y45" s="321"/>
      <c r="Z45" s="321"/>
      <c r="AA45" s="321"/>
      <c r="AB45" s="322"/>
      <c r="AC45" s="180"/>
      <c r="AD45" s="181"/>
      <c r="AE45" s="182"/>
      <c r="AF45" s="183" t="s">
        <v>11</v>
      </c>
      <c r="AG45" s="181"/>
      <c r="AH45" s="184"/>
      <c r="AI45" s="185"/>
    </row>
    <row r="46" spans="1:35" x14ac:dyDescent="0.3">
      <c r="A46" s="320"/>
      <c r="B46" s="321"/>
      <c r="C46" s="322"/>
      <c r="D46" s="320"/>
      <c r="E46" s="321"/>
      <c r="F46" s="321"/>
      <c r="G46" s="321"/>
      <c r="H46" s="322"/>
      <c r="I46" s="180"/>
      <c r="J46" s="181"/>
      <c r="K46" s="182"/>
      <c r="L46" s="183" t="s">
        <v>11</v>
      </c>
      <c r="M46" s="181"/>
      <c r="N46" s="184"/>
      <c r="O46" s="185"/>
      <c r="U46" s="320"/>
      <c r="V46" s="321"/>
      <c r="W46" s="322"/>
      <c r="X46" s="320"/>
      <c r="Y46" s="321"/>
      <c r="Z46" s="321"/>
      <c r="AA46" s="321"/>
      <c r="AB46" s="322"/>
      <c r="AC46" s="180"/>
      <c r="AD46" s="181"/>
      <c r="AE46" s="182"/>
      <c r="AF46" s="183" t="s">
        <v>11</v>
      </c>
      <c r="AG46" s="181"/>
      <c r="AH46" s="184"/>
      <c r="AI46" s="185"/>
    </row>
    <row r="47" spans="1:35" x14ac:dyDescent="0.3">
      <c r="A47" s="320"/>
      <c r="B47" s="321"/>
      <c r="C47" s="322"/>
      <c r="D47" s="320"/>
      <c r="E47" s="321"/>
      <c r="F47" s="321"/>
      <c r="G47" s="321"/>
      <c r="H47" s="322"/>
      <c r="I47" s="180"/>
      <c r="J47" s="181"/>
      <c r="K47" s="182"/>
      <c r="L47" s="183" t="s">
        <v>11</v>
      </c>
      <c r="M47" s="181"/>
      <c r="N47" s="184"/>
      <c r="O47" s="185"/>
      <c r="U47" s="320"/>
      <c r="V47" s="321"/>
      <c r="W47" s="322"/>
      <c r="X47" s="320"/>
      <c r="Y47" s="321"/>
      <c r="Z47" s="321"/>
      <c r="AA47" s="321"/>
      <c r="AB47" s="322"/>
      <c r="AC47" s="180"/>
      <c r="AD47" s="181"/>
      <c r="AE47" s="182"/>
      <c r="AF47" s="183" t="s">
        <v>11</v>
      </c>
      <c r="AG47" s="181"/>
      <c r="AH47" s="184"/>
      <c r="AI47" s="185"/>
    </row>
    <row r="48" spans="1:35" x14ac:dyDescent="0.3">
      <c r="A48" s="320"/>
      <c r="B48" s="321"/>
      <c r="C48" s="322"/>
      <c r="D48" s="320"/>
      <c r="E48" s="321"/>
      <c r="F48" s="321"/>
      <c r="G48" s="321"/>
      <c r="H48" s="322"/>
      <c r="I48" s="180"/>
      <c r="J48" s="181"/>
      <c r="K48" s="182"/>
      <c r="L48" s="183" t="s">
        <v>11</v>
      </c>
      <c r="M48" s="181"/>
      <c r="N48" s="184"/>
      <c r="O48" s="185"/>
      <c r="U48" s="320"/>
      <c r="V48" s="321"/>
      <c r="W48" s="322"/>
      <c r="X48" s="320"/>
      <c r="Y48" s="321"/>
      <c r="Z48" s="321"/>
      <c r="AA48" s="321"/>
      <c r="AB48" s="322"/>
      <c r="AC48" s="180"/>
      <c r="AD48" s="181"/>
      <c r="AE48" s="182"/>
      <c r="AF48" s="183" t="s">
        <v>11</v>
      </c>
      <c r="AG48" s="181"/>
      <c r="AH48" s="184"/>
      <c r="AI48" s="185"/>
    </row>
    <row r="49" spans="1:35" x14ac:dyDescent="0.3">
      <c r="A49" s="320"/>
      <c r="B49" s="321"/>
      <c r="C49" s="322"/>
      <c r="D49" s="320"/>
      <c r="E49" s="321"/>
      <c r="F49" s="321"/>
      <c r="G49" s="321"/>
      <c r="H49" s="322"/>
      <c r="I49" s="180"/>
      <c r="J49" s="181"/>
      <c r="K49" s="182"/>
      <c r="L49" s="183" t="s">
        <v>11</v>
      </c>
      <c r="M49" s="181"/>
      <c r="N49" s="184"/>
      <c r="O49" s="185"/>
      <c r="U49" s="320"/>
      <c r="V49" s="321"/>
      <c r="W49" s="322"/>
      <c r="X49" s="320"/>
      <c r="Y49" s="321"/>
      <c r="Z49" s="321"/>
      <c r="AA49" s="321"/>
      <c r="AB49" s="322"/>
      <c r="AC49" s="180"/>
      <c r="AD49" s="181"/>
      <c r="AE49" s="182"/>
      <c r="AF49" s="183" t="s">
        <v>11</v>
      </c>
      <c r="AG49" s="181"/>
      <c r="AH49" s="184"/>
      <c r="AI49" s="185"/>
    </row>
    <row r="50" spans="1:35" x14ac:dyDescent="0.3">
      <c r="A50" s="320"/>
      <c r="B50" s="321"/>
      <c r="C50" s="322"/>
      <c r="D50" s="320"/>
      <c r="E50" s="321"/>
      <c r="F50" s="321"/>
      <c r="G50" s="321"/>
      <c r="H50" s="322"/>
      <c r="I50" s="180"/>
      <c r="J50" s="181"/>
      <c r="K50" s="182"/>
      <c r="L50" s="183" t="s">
        <v>11</v>
      </c>
      <c r="M50" s="181"/>
      <c r="N50" s="184"/>
      <c r="O50" s="185"/>
      <c r="U50" s="320"/>
      <c r="V50" s="321"/>
      <c r="W50" s="322"/>
      <c r="X50" s="320"/>
      <c r="Y50" s="321"/>
      <c r="Z50" s="321"/>
      <c r="AA50" s="321"/>
      <c r="AB50" s="322"/>
      <c r="AC50" s="180"/>
      <c r="AD50" s="181"/>
      <c r="AE50" s="182"/>
      <c r="AF50" s="183" t="s">
        <v>11</v>
      </c>
      <c r="AG50" s="181"/>
      <c r="AH50" s="184"/>
      <c r="AI50" s="185"/>
    </row>
    <row r="51" spans="1:35" x14ac:dyDescent="0.3">
      <c r="A51" s="320"/>
      <c r="B51" s="321"/>
      <c r="C51" s="322"/>
      <c r="D51" s="320"/>
      <c r="E51" s="321"/>
      <c r="F51" s="321"/>
      <c r="G51" s="321"/>
      <c r="H51" s="322"/>
      <c r="I51" s="180"/>
      <c r="J51" s="181"/>
      <c r="K51" s="182"/>
      <c r="L51" s="183" t="s">
        <v>11</v>
      </c>
      <c r="M51" s="181"/>
      <c r="N51" s="184"/>
      <c r="O51" s="185"/>
      <c r="U51" s="320"/>
      <c r="V51" s="321"/>
      <c r="W51" s="322"/>
      <c r="X51" s="320"/>
      <c r="Y51" s="321"/>
      <c r="Z51" s="321"/>
      <c r="AA51" s="321"/>
      <c r="AB51" s="322"/>
      <c r="AC51" s="180"/>
      <c r="AD51" s="181"/>
      <c r="AE51" s="182"/>
      <c r="AF51" s="183" t="s">
        <v>11</v>
      </c>
      <c r="AG51" s="181"/>
      <c r="AH51" s="184"/>
      <c r="AI51" s="185"/>
    </row>
    <row r="52" spans="1:35" x14ac:dyDescent="0.3">
      <c r="A52" s="320"/>
      <c r="B52" s="321"/>
      <c r="C52" s="322"/>
      <c r="D52" s="320"/>
      <c r="E52" s="321"/>
      <c r="F52" s="321"/>
      <c r="G52" s="321"/>
      <c r="H52" s="322"/>
      <c r="I52" s="180"/>
      <c r="J52" s="181"/>
      <c r="K52" s="182"/>
      <c r="L52" s="183" t="s">
        <v>11</v>
      </c>
      <c r="M52" s="181"/>
      <c r="N52" s="184"/>
      <c r="O52" s="185"/>
      <c r="U52" s="320"/>
      <c r="V52" s="321"/>
      <c r="W52" s="322"/>
      <c r="X52" s="320"/>
      <c r="Y52" s="321"/>
      <c r="Z52" s="321"/>
      <c r="AA52" s="321"/>
      <c r="AB52" s="322"/>
      <c r="AC52" s="180"/>
      <c r="AD52" s="181"/>
      <c r="AE52" s="182"/>
      <c r="AF52" s="183" t="s">
        <v>11</v>
      </c>
      <c r="AG52" s="181"/>
      <c r="AH52" s="184"/>
      <c r="AI52" s="185"/>
    </row>
    <row r="53" spans="1:35" x14ac:dyDescent="0.3">
      <c r="A53" s="320"/>
      <c r="B53" s="321"/>
      <c r="C53" s="322"/>
      <c r="D53" s="320"/>
      <c r="E53" s="321"/>
      <c r="F53" s="321"/>
      <c r="G53" s="321"/>
      <c r="H53" s="322"/>
      <c r="I53" s="180"/>
      <c r="J53" s="181"/>
      <c r="K53" s="182"/>
      <c r="L53" s="183" t="s">
        <v>11</v>
      </c>
      <c r="M53" s="181"/>
      <c r="N53" s="184"/>
      <c r="O53" s="185"/>
      <c r="U53" s="320"/>
      <c r="V53" s="321"/>
      <c r="W53" s="322"/>
      <c r="X53" s="320"/>
      <c r="Y53" s="321"/>
      <c r="Z53" s="321"/>
      <c r="AA53" s="321"/>
      <c r="AB53" s="322"/>
      <c r="AC53" s="180"/>
      <c r="AD53" s="181"/>
      <c r="AE53" s="182"/>
      <c r="AF53" s="183" t="s">
        <v>11</v>
      </c>
      <c r="AG53" s="181"/>
      <c r="AH53" s="184"/>
      <c r="AI53" s="185"/>
    </row>
    <row r="54" spans="1:35" ht="30" customHeight="1" x14ac:dyDescent="0.3">
      <c r="A54" s="320"/>
      <c r="B54" s="321"/>
      <c r="C54" s="322"/>
      <c r="D54" s="320"/>
      <c r="E54" s="321"/>
      <c r="F54" s="321"/>
      <c r="G54" s="321"/>
      <c r="H54" s="322"/>
      <c r="I54" s="180"/>
      <c r="J54" s="181"/>
      <c r="K54" s="182"/>
      <c r="L54" s="183" t="s">
        <v>11</v>
      </c>
      <c r="M54" s="181"/>
      <c r="N54" s="184"/>
      <c r="O54" s="185"/>
      <c r="U54" s="320"/>
      <c r="V54" s="321"/>
      <c r="W54" s="322"/>
      <c r="X54" s="320"/>
      <c r="Y54" s="321"/>
      <c r="Z54" s="321"/>
      <c r="AA54" s="321"/>
      <c r="AB54" s="322"/>
      <c r="AC54" s="180"/>
      <c r="AD54" s="181"/>
      <c r="AE54" s="182"/>
      <c r="AF54" s="183" t="s">
        <v>11</v>
      </c>
      <c r="AG54" s="181"/>
      <c r="AH54" s="184"/>
      <c r="AI54" s="185"/>
    </row>
    <row r="55" spans="1:35" ht="30" customHeight="1" x14ac:dyDescent="0.3">
      <c r="A55" s="320"/>
      <c r="B55" s="321"/>
      <c r="C55" s="322"/>
      <c r="D55" s="320"/>
      <c r="E55" s="321"/>
      <c r="F55" s="321"/>
      <c r="G55" s="321"/>
      <c r="H55" s="322"/>
      <c r="I55" s="180"/>
      <c r="J55" s="181"/>
      <c r="K55" s="182"/>
      <c r="L55" s="183" t="s">
        <v>11</v>
      </c>
      <c r="M55" s="181"/>
      <c r="N55" s="184"/>
      <c r="O55" s="185"/>
      <c r="U55" s="320"/>
      <c r="V55" s="321"/>
      <c r="W55" s="322"/>
      <c r="X55" s="320"/>
      <c r="Y55" s="321"/>
      <c r="Z55" s="321"/>
      <c r="AA55" s="321"/>
      <c r="AB55" s="322"/>
      <c r="AC55" s="180"/>
      <c r="AD55" s="181"/>
      <c r="AE55" s="182"/>
      <c r="AF55" s="183" t="s">
        <v>11</v>
      </c>
      <c r="AG55" s="181"/>
      <c r="AH55" s="184"/>
      <c r="AI55" s="185"/>
    </row>
    <row r="56" spans="1:35" ht="30" customHeight="1" x14ac:dyDescent="0.3">
      <c r="A56" s="320"/>
      <c r="B56" s="321"/>
      <c r="C56" s="322"/>
      <c r="D56" s="320"/>
      <c r="E56" s="321"/>
      <c r="F56" s="321"/>
      <c r="G56" s="321"/>
      <c r="H56" s="322"/>
      <c r="I56" s="180"/>
      <c r="J56" s="181"/>
      <c r="K56" s="182"/>
      <c r="L56" s="183" t="s">
        <v>11</v>
      </c>
      <c r="M56" s="181"/>
      <c r="N56" s="184"/>
      <c r="O56" s="185"/>
      <c r="U56" s="320"/>
      <c r="V56" s="321"/>
      <c r="W56" s="322"/>
      <c r="X56" s="320"/>
      <c r="Y56" s="321"/>
      <c r="Z56" s="321"/>
      <c r="AA56" s="321"/>
      <c r="AB56" s="322"/>
      <c r="AC56" s="180"/>
      <c r="AD56" s="181"/>
      <c r="AE56" s="182"/>
      <c r="AF56" s="183" t="s">
        <v>11</v>
      </c>
      <c r="AG56" s="181"/>
      <c r="AH56" s="184"/>
      <c r="AI56" s="185"/>
    </row>
    <row r="57" spans="1:35" ht="30" customHeight="1" x14ac:dyDescent="0.3"/>
    <row r="58" spans="1:35" ht="30" customHeight="1" x14ac:dyDescent="0.3"/>
    <row r="59" spans="1:35" ht="30" customHeight="1" x14ac:dyDescent="0.3"/>
    <row r="60" spans="1:35" ht="30" customHeight="1" x14ac:dyDescent="0.3"/>
    <row r="61" spans="1:35" ht="30" customHeight="1" x14ac:dyDescent="0.3"/>
    <row r="62" spans="1:35" ht="30" customHeight="1" x14ac:dyDescent="0.3"/>
    <row r="63" spans="1:35" ht="30" customHeight="1" x14ac:dyDescent="0.3">
      <c r="A63" s="323" t="s">
        <v>215</v>
      </c>
      <c r="B63" s="324"/>
      <c r="C63" s="324"/>
      <c r="D63" s="324"/>
      <c r="E63" s="324"/>
      <c r="F63" s="324"/>
      <c r="G63" s="324"/>
      <c r="H63" s="324"/>
      <c r="I63" s="324"/>
      <c r="J63" s="324"/>
      <c r="K63" s="324"/>
      <c r="L63" s="324"/>
      <c r="M63" s="324"/>
      <c r="N63" s="324"/>
      <c r="O63" s="325"/>
    </row>
    <row r="64" spans="1:35" ht="30" customHeight="1" x14ac:dyDescent="0.3">
      <c r="A64" s="186"/>
      <c r="B64" s="186"/>
      <c r="E64" s="170"/>
      <c r="F64" s="170"/>
      <c r="G64" s="170"/>
      <c r="H64" s="170"/>
      <c r="I64" s="171"/>
      <c r="J64" s="328" t="s">
        <v>150</v>
      </c>
      <c r="K64" s="329"/>
      <c r="L64" s="329"/>
      <c r="M64" s="329"/>
      <c r="N64" s="330"/>
    </row>
    <row r="65" spans="1:15" ht="30" customHeight="1" x14ac:dyDescent="0.3">
      <c r="A65" s="337" t="s">
        <v>218</v>
      </c>
      <c r="B65" s="337"/>
      <c r="C65" s="337"/>
      <c r="D65" s="337" t="s">
        <v>219</v>
      </c>
      <c r="E65" s="337"/>
      <c r="F65" s="337"/>
      <c r="G65" s="337" t="s">
        <v>220</v>
      </c>
      <c r="H65" s="337"/>
      <c r="I65" s="337"/>
      <c r="J65" s="175" t="s">
        <v>6</v>
      </c>
      <c r="K65" s="176" t="s">
        <v>10</v>
      </c>
      <c r="L65" s="177" t="s">
        <v>11</v>
      </c>
      <c r="M65" s="176" t="s">
        <v>6</v>
      </c>
      <c r="N65" s="178" t="s">
        <v>10</v>
      </c>
      <c r="O65" s="179" t="s">
        <v>221</v>
      </c>
    </row>
    <row r="66" spans="1:15" ht="30" customHeight="1" x14ac:dyDescent="0.3">
      <c r="A66" s="334"/>
      <c r="B66" s="335"/>
      <c r="C66" s="336"/>
      <c r="D66" s="334"/>
      <c r="E66" s="335"/>
      <c r="F66" s="336"/>
      <c r="G66" s="334"/>
      <c r="H66" s="335"/>
      <c r="I66" s="336"/>
      <c r="J66" s="187"/>
      <c r="K66" s="188"/>
      <c r="L66" s="189" t="s">
        <v>11</v>
      </c>
      <c r="M66" s="188"/>
      <c r="N66" s="190"/>
      <c r="O66" s="80"/>
    </row>
    <row r="67" spans="1:15" ht="30" customHeight="1" x14ac:dyDescent="0.3">
      <c r="A67" s="334"/>
      <c r="B67" s="335"/>
      <c r="C67" s="336"/>
      <c r="D67" s="334"/>
      <c r="E67" s="335"/>
      <c r="F67" s="336"/>
      <c r="G67" s="334"/>
      <c r="H67" s="335"/>
      <c r="I67" s="336"/>
      <c r="J67" s="187"/>
      <c r="K67" s="188"/>
      <c r="L67" s="189" t="s">
        <v>11</v>
      </c>
      <c r="M67" s="188"/>
      <c r="N67" s="190"/>
      <c r="O67" s="80"/>
    </row>
    <row r="68" spans="1:15" ht="30" customHeight="1" x14ac:dyDescent="0.3">
      <c r="A68" s="334"/>
      <c r="B68" s="335"/>
      <c r="C68" s="336"/>
      <c r="D68" s="334"/>
      <c r="E68" s="335"/>
      <c r="F68" s="336"/>
      <c r="G68" s="334"/>
      <c r="H68" s="335"/>
      <c r="I68" s="336"/>
      <c r="J68" s="187"/>
      <c r="K68" s="188"/>
      <c r="L68" s="189" t="s">
        <v>11</v>
      </c>
      <c r="M68" s="188"/>
      <c r="N68" s="190"/>
      <c r="O68" s="80"/>
    </row>
    <row r="69" spans="1:15" ht="30" customHeight="1" x14ac:dyDescent="0.3">
      <c r="A69" s="334"/>
      <c r="B69" s="335"/>
      <c r="C69" s="336"/>
      <c r="D69" s="334"/>
      <c r="E69" s="335"/>
      <c r="F69" s="336"/>
      <c r="G69" s="334"/>
      <c r="H69" s="335"/>
      <c r="I69" s="336"/>
      <c r="J69" s="187"/>
      <c r="K69" s="188"/>
      <c r="L69" s="189" t="s">
        <v>11</v>
      </c>
      <c r="M69" s="188"/>
      <c r="N69" s="190"/>
      <c r="O69" s="80"/>
    </row>
    <row r="70" spans="1:15" ht="30" customHeight="1" x14ac:dyDescent="0.3"/>
    <row r="71" spans="1:15" ht="30" customHeight="1" x14ac:dyDescent="0.3"/>
    <row r="72" spans="1:15" ht="30" customHeight="1" x14ac:dyDescent="0.3"/>
    <row r="73" spans="1:15" ht="30" customHeight="1" x14ac:dyDescent="0.3"/>
    <row r="74" spans="1:15" ht="30" customHeight="1" x14ac:dyDescent="0.3"/>
    <row r="75" spans="1:15" ht="30" customHeight="1" x14ac:dyDescent="0.3"/>
    <row r="76" spans="1:15" ht="30" customHeight="1" x14ac:dyDescent="0.3"/>
    <row r="77" spans="1:15" ht="30" customHeight="1" x14ac:dyDescent="0.3"/>
    <row r="78" spans="1:15" ht="30" customHeight="1" x14ac:dyDescent="0.3"/>
    <row r="79" spans="1:15" ht="30" customHeight="1" x14ac:dyDescent="0.3"/>
    <row r="80" spans="1:15" ht="30" customHeight="1" x14ac:dyDescent="0.3"/>
  </sheetData>
  <mergeCells count="1299">
    <mergeCell ref="U55:W55"/>
    <mergeCell ref="X55:AB55"/>
    <mergeCell ref="U56:W56"/>
    <mergeCell ref="X56:AB56"/>
    <mergeCell ref="U46:W46"/>
    <mergeCell ref="X46:AB46"/>
    <mergeCell ref="U47:W47"/>
    <mergeCell ref="X47:AB47"/>
    <mergeCell ref="U48:W48"/>
    <mergeCell ref="X48:AB48"/>
    <mergeCell ref="U49:W49"/>
    <mergeCell ref="X49:AB49"/>
    <mergeCell ref="U50:W50"/>
    <mergeCell ref="X50:AB50"/>
    <mergeCell ref="U51:W51"/>
    <mergeCell ref="X51:AB51"/>
    <mergeCell ref="U52:W52"/>
    <mergeCell ref="X52:AB52"/>
    <mergeCell ref="U53:W53"/>
    <mergeCell ref="X53:AB53"/>
    <mergeCell ref="U54:W54"/>
    <mergeCell ref="X54:AB54"/>
    <mergeCell ref="U37:W37"/>
    <mergeCell ref="X37:AB37"/>
    <mergeCell ref="U38:W38"/>
    <mergeCell ref="X38:AB38"/>
    <mergeCell ref="U39:W39"/>
    <mergeCell ref="X39:AB39"/>
    <mergeCell ref="U40:W40"/>
    <mergeCell ref="X40:AB40"/>
    <mergeCell ref="U41:W41"/>
    <mergeCell ref="X41:AB41"/>
    <mergeCell ref="U42:W42"/>
    <mergeCell ref="X42:AB42"/>
    <mergeCell ref="U43:W43"/>
    <mergeCell ref="X43:AB43"/>
    <mergeCell ref="U44:W44"/>
    <mergeCell ref="X44:AB44"/>
    <mergeCell ref="U45:W45"/>
    <mergeCell ref="X45:AB45"/>
    <mergeCell ref="U27:AI27"/>
    <mergeCell ref="AD28:AH28"/>
    <mergeCell ref="U29:W29"/>
    <mergeCell ref="X29:AB29"/>
    <mergeCell ref="U30:W30"/>
    <mergeCell ref="X30:AB30"/>
    <mergeCell ref="U31:W31"/>
    <mergeCell ref="X31:AB31"/>
    <mergeCell ref="U32:W32"/>
    <mergeCell ref="X32:AB32"/>
    <mergeCell ref="U33:W33"/>
    <mergeCell ref="X33:AB33"/>
    <mergeCell ref="U34:W34"/>
    <mergeCell ref="X34:AB34"/>
    <mergeCell ref="U35:W35"/>
    <mergeCell ref="X35:AB35"/>
    <mergeCell ref="U36:W36"/>
    <mergeCell ref="X36:AB36"/>
    <mergeCell ref="U17:W17"/>
    <mergeCell ref="X17:AB17"/>
    <mergeCell ref="U18:W18"/>
    <mergeCell ref="X18:AB18"/>
    <mergeCell ref="U19:W19"/>
    <mergeCell ref="X19:AB19"/>
    <mergeCell ref="U20:W20"/>
    <mergeCell ref="X20:AB20"/>
    <mergeCell ref="U21:W21"/>
    <mergeCell ref="X21:AB21"/>
    <mergeCell ref="U22:W22"/>
    <mergeCell ref="X22:AB22"/>
    <mergeCell ref="U23:W23"/>
    <mergeCell ref="X23:AB23"/>
    <mergeCell ref="U24:W24"/>
    <mergeCell ref="X24:AB24"/>
    <mergeCell ref="U25:W25"/>
    <mergeCell ref="X25:AB25"/>
    <mergeCell ref="U7:AI7"/>
    <mergeCell ref="AD8:AH8"/>
    <mergeCell ref="U9:W9"/>
    <mergeCell ref="X9:AB9"/>
    <mergeCell ref="U10:W10"/>
    <mergeCell ref="X10:AB10"/>
    <mergeCell ref="U11:W11"/>
    <mergeCell ref="X11:AB11"/>
    <mergeCell ref="U12:W12"/>
    <mergeCell ref="X12:AB12"/>
    <mergeCell ref="U13:W13"/>
    <mergeCell ref="X13:AB13"/>
    <mergeCell ref="U14:W14"/>
    <mergeCell ref="X14:AB14"/>
    <mergeCell ref="U15:W15"/>
    <mergeCell ref="X15:AB15"/>
    <mergeCell ref="U16:W16"/>
    <mergeCell ref="X16:AB16"/>
    <mergeCell ref="A68:C68"/>
    <mergeCell ref="D68:F68"/>
    <mergeCell ref="G68:I68"/>
    <mergeCell ref="A69:C69"/>
    <mergeCell ref="D69:F69"/>
    <mergeCell ref="G69:I69"/>
    <mergeCell ref="A66:C66"/>
    <mergeCell ref="D66:F66"/>
    <mergeCell ref="G66:I66"/>
    <mergeCell ref="A67:C67"/>
    <mergeCell ref="D67:F67"/>
    <mergeCell ref="G67:I67"/>
    <mergeCell ref="A40:C40"/>
    <mergeCell ref="D40:H40"/>
    <mergeCell ref="A63:O63"/>
    <mergeCell ref="J64:N64"/>
    <mergeCell ref="A65:C65"/>
    <mergeCell ref="D65:F65"/>
    <mergeCell ref="G65:I65"/>
    <mergeCell ref="A41:C41"/>
    <mergeCell ref="D41:H41"/>
    <mergeCell ref="A42:C42"/>
    <mergeCell ref="D42:H42"/>
    <mergeCell ref="A43:C43"/>
    <mergeCell ref="D43:H43"/>
    <mergeCell ref="A44:C44"/>
    <mergeCell ref="D44:H44"/>
    <mergeCell ref="A45:C45"/>
    <mergeCell ref="D45:H45"/>
    <mergeCell ref="A46:C46"/>
    <mergeCell ref="D46:H46"/>
    <mergeCell ref="A47:C47"/>
    <mergeCell ref="A37:C37"/>
    <mergeCell ref="D37:H37"/>
    <mergeCell ref="A38:C38"/>
    <mergeCell ref="D38:H38"/>
    <mergeCell ref="A39:C39"/>
    <mergeCell ref="D39:H39"/>
    <mergeCell ref="A34:C34"/>
    <mergeCell ref="D34:H34"/>
    <mergeCell ref="R34:S34"/>
    <mergeCell ref="A35:C35"/>
    <mergeCell ref="D35:H35"/>
    <mergeCell ref="A36:C36"/>
    <mergeCell ref="D36:H36"/>
    <mergeCell ref="A31:C31"/>
    <mergeCell ref="D31:H31"/>
    <mergeCell ref="A32:C32"/>
    <mergeCell ref="D32:H32"/>
    <mergeCell ref="A33:C33"/>
    <mergeCell ref="D33:H33"/>
    <mergeCell ref="A27:O27"/>
    <mergeCell ref="J28:N28"/>
    <mergeCell ref="A29:C29"/>
    <mergeCell ref="D29:H29"/>
    <mergeCell ref="A30:C30"/>
    <mergeCell ref="D30:H30"/>
    <mergeCell ref="A23:C23"/>
    <mergeCell ref="D23:H23"/>
    <mergeCell ref="A24:C24"/>
    <mergeCell ref="D24:H24"/>
    <mergeCell ref="A25:C25"/>
    <mergeCell ref="D25:H25"/>
    <mergeCell ref="A20:C20"/>
    <mergeCell ref="D20:H20"/>
    <mergeCell ref="A21:C21"/>
    <mergeCell ref="D21:H21"/>
    <mergeCell ref="A22:C22"/>
    <mergeCell ref="D22:H22"/>
    <mergeCell ref="A17:C17"/>
    <mergeCell ref="D17:H17"/>
    <mergeCell ref="A18:C18"/>
    <mergeCell ref="D18:H18"/>
    <mergeCell ref="A19:C19"/>
    <mergeCell ref="D19:H19"/>
    <mergeCell ref="A14:C14"/>
    <mergeCell ref="D14:H14"/>
    <mergeCell ref="A15:C15"/>
    <mergeCell ref="D15:H15"/>
    <mergeCell ref="A16:C16"/>
    <mergeCell ref="D16:H16"/>
    <mergeCell ref="A11:C11"/>
    <mergeCell ref="D11:H11"/>
    <mergeCell ref="A12:C12"/>
    <mergeCell ref="D12:H12"/>
    <mergeCell ref="A13:C13"/>
    <mergeCell ref="D13:H13"/>
    <mergeCell ref="A7:O7"/>
    <mergeCell ref="R7:S7"/>
    <mergeCell ref="J8:N8"/>
    <mergeCell ref="A9:C9"/>
    <mergeCell ref="D9:H9"/>
    <mergeCell ref="A10:C10"/>
    <mergeCell ref="D10:H10"/>
    <mergeCell ref="XBZ1:XCN1"/>
    <mergeCell ref="XCO1:XDC1"/>
    <mergeCell ref="XDD1:XDR1"/>
    <mergeCell ref="XDS1:XEG1"/>
    <mergeCell ref="XEH1:XEV1"/>
    <mergeCell ref="XEW1:XEZ1"/>
    <mergeCell ref="WYN1:WZB1"/>
    <mergeCell ref="WZC1:WZQ1"/>
    <mergeCell ref="WZR1:XAF1"/>
    <mergeCell ref="XAG1:XAU1"/>
    <mergeCell ref="XAV1:XBJ1"/>
    <mergeCell ref="XBK1:XBY1"/>
    <mergeCell ref="WVB1:WVP1"/>
    <mergeCell ref="WVQ1:WWE1"/>
    <mergeCell ref="WWF1:WWT1"/>
    <mergeCell ref="WWU1:WXI1"/>
    <mergeCell ref="WXJ1:WXX1"/>
    <mergeCell ref="WXY1:WYM1"/>
    <mergeCell ref="WRP1:WSD1"/>
    <mergeCell ref="WSE1:WSS1"/>
    <mergeCell ref="WST1:WTH1"/>
    <mergeCell ref="WTI1:WTW1"/>
    <mergeCell ref="WTX1:WUL1"/>
    <mergeCell ref="WUM1:WVA1"/>
    <mergeCell ref="WOD1:WOR1"/>
    <mergeCell ref="WOS1:WPG1"/>
    <mergeCell ref="WPH1:WPV1"/>
    <mergeCell ref="WPW1:WQK1"/>
    <mergeCell ref="WQL1:WQZ1"/>
    <mergeCell ref="WRA1:WRO1"/>
    <mergeCell ref="WKR1:WLF1"/>
    <mergeCell ref="WLG1:WLU1"/>
    <mergeCell ref="WLV1:WMJ1"/>
    <mergeCell ref="WMK1:WMY1"/>
    <mergeCell ref="WMZ1:WNN1"/>
    <mergeCell ref="WNO1:WOC1"/>
    <mergeCell ref="WHF1:WHT1"/>
    <mergeCell ref="WHU1:WII1"/>
    <mergeCell ref="WIJ1:WIX1"/>
    <mergeCell ref="WIY1:WJM1"/>
    <mergeCell ref="WJN1:WKB1"/>
    <mergeCell ref="WKC1:WKQ1"/>
    <mergeCell ref="WDT1:WEH1"/>
    <mergeCell ref="WEI1:WEW1"/>
    <mergeCell ref="WEX1:WFL1"/>
    <mergeCell ref="WFM1:WGA1"/>
    <mergeCell ref="WGB1:WGP1"/>
    <mergeCell ref="WGQ1:WHE1"/>
    <mergeCell ref="WAH1:WAV1"/>
    <mergeCell ref="WAW1:WBK1"/>
    <mergeCell ref="WBL1:WBZ1"/>
    <mergeCell ref="WCA1:WCO1"/>
    <mergeCell ref="WCP1:WDD1"/>
    <mergeCell ref="WDE1:WDS1"/>
    <mergeCell ref="VWV1:VXJ1"/>
    <mergeCell ref="VXK1:VXY1"/>
    <mergeCell ref="VXZ1:VYN1"/>
    <mergeCell ref="VYO1:VZC1"/>
    <mergeCell ref="VZD1:VZR1"/>
    <mergeCell ref="VZS1:WAG1"/>
    <mergeCell ref="VTJ1:VTX1"/>
    <mergeCell ref="VTY1:VUM1"/>
    <mergeCell ref="VUN1:VVB1"/>
    <mergeCell ref="VVC1:VVQ1"/>
    <mergeCell ref="VVR1:VWF1"/>
    <mergeCell ref="VWG1:VWU1"/>
    <mergeCell ref="VPX1:VQL1"/>
    <mergeCell ref="VQM1:VRA1"/>
    <mergeCell ref="VRB1:VRP1"/>
    <mergeCell ref="VRQ1:VSE1"/>
    <mergeCell ref="VSF1:VST1"/>
    <mergeCell ref="VSU1:VTI1"/>
    <mergeCell ref="VML1:VMZ1"/>
    <mergeCell ref="VNA1:VNO1"/>
    <mergeCell ref="VNP1:VOD1"/>
    <mergeCell ref="VOE1:VOS1"/>
    <mergeCell ref="VOT1:VPH1"/>
    <mergeCell ref="VPI1:VPW1"/>
    <mergeCell ref="VIZ1:VJN1"/>
    <mergeCell ref="VJO1:VKC1"/>
    <mergeCell ref="VKD1:VKR1"/>
    <mergeCell ref="VKS1:VLG1"/>
    <mergeCell ref="VLH1:VLV1"/>
    <mergeCell ref="VLW1:VMK1"/>
    <mergeCell ref="VFN1:VGB1"/>
    <mergeCell ref="VGC1:VGQ1"/>
    <mergeCell ref="VGR1:VHF1"/>
    <mergeCell ref="VHG1:VHU1"/>
    <mergeCell ref="VHV1:VIJ1"/>
    <mergeCell ref="VIK1:VIY1"/>
    <mergeCell ref="VCB1:VCP1"/>
    <mergeCell ref="VCQ1:VDE1"/>
    <mergeCell ref="VDF1:VDT1"/>
    <mergeCell ref="VDU1:VEI1"/>
    <mergeCell ref="VEJ1:VEX1"/>
    <mergeCell ref="VEY1:VFM1"/>
    <mergeCell ref="UYP1:UZD1"/>
    <mergeCell ref="UZE1:UZS1"/>
    <mergeCell ref="UZT1:VAH1"/>
    <mergeCell ref="VAI1:VAW1"/>
    <mergeCell ref="VAX1:VBL1"/>
    <mergeCell ref="VBM1:VCA1"/>
    <mergeCell ref="UVD1:UVR1"/>
    <mergeCell ref="UVS1:UWG1"/>
    <mergeCell ref="UWH1:UWV1"/>
    <mergeCell ref="UWW1:UXK1"/>
    <mergeCell ref="UXL1:UXZ1"/>
    <mergeCell ref="UYA1:UYO1"/>
    <mergeCell ref="URR1:USF1"/>
    <mergeCell ref="USG1:USU1"/>
    <mergeCell ref="USV1:UTJ1"/>
    <mergeCell ref="UTK1:UTY1"/>
    <mergeCell ref="UTZ1:UUN1"/>
    <mergeCell ref="UUO1:UVC1"/>
    <mergeCell ref="UOF1:UOT1"/>
    <mergeCell ref="UOU1:UPI1"/>
    <mergeCell ref="UPJ1:UPX1"/>
    <mergeCell ref="UPY1:UQM1"/>
    <mergeCell ref="UQN1:URB1"/>
    <mergeCell ref="URC1:URQ1"/>
    <mergeCell ref="UKT1:ULH1"/>
    <mergeCell ref="ULI1:ULW1"/>
    <mergeCell ref="ULX1:UML1"/>
    <mergeCell ref="UMM1:UNA1"/>
    <mergeCell ref="UNB1:UNP1"/>
    <mergeCell ref="UNQ1:UOE1"/>
    <mergeCell ref="UHH1:UHV1"/>
    <mergeCell ref="UHW1:UIK1"/>
    <mergeCell ref="UIL1:UIZ1"/>
    <mergeCell ref="UJA1:UJO1"/>
    <mergeCell ref="UJP1:UKD1"/>
    <mergeCell ref="UKE1:UKS1"/>
    <mergeCell ref="UDV1:UEJ1"/>
    <mergeCell ref="UEK1:UEY1"/>
    <mergeCell ref="UEZ1:UFN1"/>
    <mergeCell ref="UFO1:UGC1"/>
    <mergeCell ref="UGD1:UGR1"/>
    <mergeCell ref="UGS1:UHG1"/>
    <mergeCell ref="UAJ1:UAX1"/>
    <mergeCell ref="UAY1:UBM1"/>
    <mergeCell ref="UBN1:UCB1"/>
    <mergeCell ref="UCC1:UCQ1"/>
    <mergeCell ref="UCR1:UDF1"/>
    <mergeCell ref="UDG1:UDU1"/>
    <mergeCell ref="TWX1:TXL1"/>
    <mergeCell ref="TXM1:TYA1"/>
    <mergeCell ref="TYB1:TYP1"/>
    <mergeCell ref="TYQ1:TZE1"/>
    <mergeCell ref="TZF1:TZT1"/>
    <mergeCell ref="TZU1:UAI1"/>
    <mergeCell ref="TTL1:TTZ1"/>
    <mergeCell ref="TUA1:TUO1"/>
    <mergeCell ref="TUP1:TVD1"/>
    <mergeCell ref="TVE1:TVS1"/>
    <mergeCell ref="TVT1:TWH1"/>
    <mergeCell ref="TWI1:TWW1"/>
    <mergeCell ref="TPZ1:TQN1"/>
    <mergeCell ref="TQO1:TRC1"/>
    <mergeCell ref="TRD1:TRR1"/>
    <mergeCell ref="TRS1:TSG1"/>
    <mergeCell ref="TSH1:TSV1"/>
    <mergeCell ref="TSW1:TTK1"/>
    <mergeCell ref="TMN1:TNB1"/>
    <mergeCell ref="TNC1:TNQ1"/>
    <mergeCell ref="TNR1:TOF1"/>
    <mergeCell ref="TOG1:TOU1"/>
    <mergeCell ref="TOV1:TPJ1"/>
    <mergeCell ref="TPK1:TPY1"/>
    <mergeCell ref="TJB1:TJP1"/>
    <mergeCell ref="TJQ1:TKE1"/>
    <mergeCell ref="TKF1:TKT1"/>
    <mergeCell ref="TKU1:TLI1"/>
    <mergeCell ref="TLJ1:TLX1"/>
    <mergeCell ref="TLY1:TMM1"/>
    <mergeCell ref="TFP1:TGD1"/>
    <mergeCell ref="TGE1:TGS1"/>
    <mergeCell ref="TGT1:THH1"/>
    <mergeCell ref="THI1:THW1"/>
    <mergeCell ref="THX1:TIL1"/>
    <mergeCell ref="TIM1:TJA1"/>
    <mergeCell ref="TCD1:TCR1"/>
    <mergeCell ref="TCS1:TDG1"/>
    <mergeCell ref="TDH1:TDV1"/>
    <mergeCell ref="TDW1:TEK1"/>
    <mergeCell ref="TEL1:TEZ1"/>
    <mergeCell ref="TFA1:TFO1"/>
    <mergeCell ref="SYR1:SZF1"/>
    <mergeCell ref="SZG1:SZU1"/>
    <mergeCell ref="SZV1:TAJ1"/>
    <mergeCell ref="TAK1:TAY1"/>
    <mergeCell ref="TAZ1:TBN1"/>
    <mergeCell ref="TBO1:TCC1"/>
    <mergeCell ref="SVF1:SVT1"/>
    <mergeCell ref="SVU1:SWI1"/>
    <mergeCell ref="SWJ1:SWX1"/>
    <mergeCell ref="SWY1:SXM1"/>
    <mergeCell ref="SXN1:SYB1"/>
    <mergeCell ref="SYC1:SYQ1"/>
    <mergeCell ref="SRT1:SSH1"/>
    <mergeCell ref="SSI1:SSW1"/>
    <mergeCell ref="SSX1:STL1"/>
    <mergeCell ref="STM1:SUA1"/>
    <mergeCell ref="SUB1:SUP1"/>
    <mergeCell ref="SUQ1:SVE1"/>
    <mergeCell ref="SOH1:SOV1"/>
    <mergeCell ref="SOW1:SPK1"/>
    <mergeCell ref="SPL1:SPZ1"/>
    <mergeCell ref="SQA1:SQO1"/>
    <mergeCell ref="SQP1:SRD1"/>
    <mergeCell ref="SRE1:SRS1"/>
    <mergeCell ref="SKV1:SLJ1"/>
    <mergeCell ref="SLK1:SLY1"/>
    <mergeCell ref="SLZ1:SMN1"/>
    <mergeCell ref="SMO1:SNC1"/>
    <mergeCell ref="SND1:SNR1"/>
    <mergeCell ref="SNS1:SOG1"/>
    <mergeCell ref="SHJ1:SHX1"/>
    <mergeCell ref="SHY1:SIM1"/>
    <mergeCell ref="SIN1:SJB1"/>
    <mergeCell ref="SJC1:SJQ1"/>
    <mergeCell ref="SJR1:SKF1"/>
    <mergeCell ref="SKG1:SKU1"/>
    <mergeCell ref="SDX1:SEL1"/>
    <mergeCell ref="SEM1:SFA1"/>
    <mergeCell ref="SFB1:SFP1"/>
    <mergeCell ref="SFQ1:SGE1"/>
    <mergeCell ref="SGF1:SGT1"/>
    <mergeCell ref="SGU1:SHI1"/>
    <mergeCell ref="SAL1:SAZ1"/>
    <mergeCell ref="SBA1:SBO1"/>
    <mergeCell ref="SBP1:SCD1"/>
    <mergeCell ref="SCE1:SCS1"/>
    <mergeCell ref="SCT1:SDH1"/>
    <mergeCell ref="SDI1:SDW1"/>
    <mergeCell ref="RWZ1:RXN1"/>
    <mergeCell ref="RXO1:RYC1"/>
    <mergeCell ref="RYD1:RYR1"/>
    <mergeCell ref="RYS1:RZG1"/>
    <mergeCell ref="RZH1:RZV1"/>
    <mergeCell ref="RZW1:SAK1"/>
    <mergeCell ref="RTN1:RUB1"/>
    <mergeCell ref="RUC1:RUQ1"/>
    <mergeCell ref="RUR1:RVF1"/>
    <mergeCell ref="RVG1:RVU1"/>
    <mergeCell ref="RVV1:RWJ1"/>
    <mergeCell ref="RWK1:RWY1"/>
    <mergeCell ref="RQB1:RQP1"/>
    <mergeCell ref="RQQ1:RRE1"/>
    <mergeCell ref="RRF1:RRT1"/>
    <mergeCell ref="RRU1:RSI1"/>
    <mergeCell ref="RSJ1:RSX1"/>
    <mergeCell ref="RSY1:RTM1"/>
    <mergeCell ref="RMP1:RND1"/>
    <mergeCell ref="RNE1:RNS1"/>
    <mergeCell ref="RNT1:ROH1"/>
    <mergeCell ref="ROI1:ROW1"/>
    <mergeCell ref="ROX1:RPL1"/>
    <mergeCell ref="RPM1:RQA1"/>
    <mergeCell ref="RJD1:RJR1"/>
    <mergeCell ref="RJS1:RKG1"/>
    <mergeCell ref="RKH1:RKV1"/>
    <mergeCell ref="RKW1:RLK1"/>
    <mergeCell ref="RLL1:RLZ1"/>
    <mergeCell ref="RMA1:RMO1"/>
    <mergeCell ref="RFR1:RGF1"/>
    <mergeCell ref="RGG1:RGU1"/>
    <mergeCell ref="RGV1:RHJ1"/>
    <mergeCell ref="RHK1:RHY1"/>
    <mergeCell ref="RHZ1:RIN1"/>
    <mergeCell ref="RIO1:RJC1"/>
    <mergeCell ref="RCF1:RCT1"/>
    <mergeCell ref="RCU1:RDI1"/>
    <mergeCell ref="RDJ1:RDX1"/>
    <mergeCell ref="RDY1:REM1"/>
    <mergeCell ref="REN1:RFB1"/>
    <mergeCell ref="RFC1:RFQ1"/>
    <mergeCell ref="QYT1:QZH1"/>
    <mergeCell ref="QZI1:QZW1"/>
    <mergeCell ref="QZX1:RAL1"/>
    <mergeCell ref="RAM1:RBA1"/>
    <mergeCell ref="RBB1:RBP1"/>
    <mergeCell ref="RBQ1:RCE1"/>
    <mergeCell ref="QVH1:QVV1"/>
    <mergeCell ref="QVW1:QWK1"/>
    <mergeCell ref="QWL1:QWZ1"/>
    <mergeCell ref="QXA1:QXO1"/>
    <mergeCell ref="QXP1:QYD1"/>
    <mergeCell ref="QYE1:QYS1"/>
    <mergeCell ref="QRV1:QSJ1"/>
    <mergeCell ref="QSK1:QSY1"/>
    <mergeCell ref="QSZ1:QTN1"/>
    <mergeCell ref="QTO1:QUC1"/>
    <mergeCell ref="QUD1:QUR1"/>
    <mergeCell ref="QUS1:QVG1"/>
    <mergeCell ref="QOJ1:QOX1"/>
    <mergeCell ref="QOY1:QPM1"/>
    <mergeCell ref="QPN1:QQB1"/>
    <mergeCell ref="QQC1:QQQ1"/>
    <mergeCell ref="QQR1:QRF1"/>
    <mergeCell ref="QRG1:QRU1"/>
    <mergeCell ref="QKX1:QLL1"/>
    <mergeCell ref="QLM1:QMA1"/>
    <mergeCell ref="QMB1:QMP1"/>
    <mergeCell ref="QMQ1:QNE1"/>
    <mergeCell ref="QNF1:QNT1"/>
    <mergeCell ref="QNU1:QOI1"/>
    <mergeCell ref="QHL1:QHZ1"/>
    <mergeCell ref="QIA1:QIO1"/>
    <mergeCell ref="QIP1:QJD1"/>
    <mergeCell ref="QJE1:QJS1"/>
    <mergeCell ref="QJT1:QKH1"/>
    <mergeCell ref="QKI1:QKW1"/>
    <mergeCell ref="QDZ1:QEN1"/>
    <mergeCell ref="QEO1:QFC1"/>
    <mergeCell ref="QFD1:QFR1"/>
    <mergeCell ref="QFS1:QGG1"/>
    <mergeCell ref="QGH1:QGV1"/>
    <mergeCell ref="QGW1:QHK1"/>
    <mergeCell ref="QAN1:QBB1"/>
    <mergeCell ref="QBC1:QBQ1"/>
    <mergeCell ref="QBR1:QCF1"/>
    <mergeCell ref="QCG1:QCU1"/>
    <mergeCell ref="QCV1:QDJ1"/>
    <mergeCell ref="QDK1:QDY1"/>
    <mergeCell ref="PXB1:PXP1"/>
    <mergeCell ref="PXQ1:PYE1"/>
    <mergeCell ref="PYF1:PYT1"/>
    <mergeCell ref="PYU1:PZI1"/>
    <mergeCell ref="PZJ1:PZX1"/>
    <mergeCell ref="PZY1:QAM1"/>
    <mergeCell ref="PTP1:PUD1"/>
    <mergeCell ref="PUE1:PUS1"/>
    <mergeCell ref="PUT1:PVH1"/>
    <mergeCell ref="PVI1:PVW1"/>
    <mergeCell ref="PVX1:PWL1"/>
    <mergeCell ref="PWM1:PXA1"/>
    <mergeCell ref="PQD1:PQR1"/>
    <mergeCell ref="PQS1:PRG1"/>
    <mergeCell ref="PRH1:PRV1"/>
    <mergeCell ref="PRW1:PSK1"/>
    <mergeCell ref="PSL1:PSZ1"/>
    <mergeCell ref="PTA1:PTO1"/>
    <mergeCell ref="PMR1:PNF1"/>
    <mergeCell ref="PNG1:PNU1"/>
    <mergeCell ref="PNV1:POJ1"/>
    <mergeCell ref="POK1:POY1"/>
    <mergeCell ref="POZ1:PPN1"/>
    <mergeCell ref="PPO1:PQC1"/>
    <mergeCell ref="PJF1:PJT1"/>
    <mergeCell ref="PJU1:PKI1"/>
    <mergeCell ref="PKJ1:PKX1"/>
    <mergeCell ref="PKY1:PLM1"/>
    <mergeCell ref="PLN1:PMB1"/>
    <mergeCell ref="PMC1:PMQ1"/>
    <mergeCell ref="PFT1:PGH1"/>
    <mergeCell ref="PGI1:PGW1"/>
    <mergeCell ref="PGX1:PHL1"/>
    <mergeCell ref="PHM1:PIA1"/>
    <mergeCell ref="PIB1:PIP1"/>
    <mergeCell ref="PIQ1:PJE1"/>
    <mergeCell ref="PCH1:PCV1"/>
    <mergeCell ref="PCW1:PDK1"/>
    <mergeCell ref="PDL1:PDZ1"/>
    <mergeCell ref="PEA1:PEO1"/>
    <mergeCell ref="PEP1:PFD1"/>
    <mergeCell ref="PFE1:PFS1"/>
    <mergeCell ref="OYV1:OZJ1"/>
    <mergeCell ref="OZK1:OZY1"/>
    <mergeCell ref="OZZ1:PAN1"/>
    <mergeCell ref="PAO1:PBC1"/>
    <mergeCell ref="PBD1:PBR1"/>
    <mergeCell ref="PBS1:PCG1"/>
    <mergeCell ref="OVJ1:OVX1"/>
    <mergeCell ref="OVY1:OWM1"/>
    <mergeCell ref="OWN1:OXB1"/>
    <mergeCell ref="OXC1:OXQ1"/>
    <mergeCell ref="OXR1:OYF1"/>
    <mergeCell ref="OYG1:OYU1"/>
    <mergeCell ref="ORX1:OSL1"/>
    <mergeCell ref="OSM1:OTA1"/>
    <mergeCell ref="OTB1:OTP1"/>
    <mergeCell ref="OTQ1:OUE1"/>
    <mergeCell ref="OUF1:OUT1"/>
    <mergeCell ref="OUU1:OVI1"/>
    <mergeCell ref="OOL1:OOZ1"/>
    <mergeCell ref="OPA1:OPO1"/>
    <mergeCell ref="OPP1:OQD1"/>
    <mergeCell ref="OQE1:OQS1"/>
    <mergeCell ref="OQT1:ORH1"/>
    <mergeCell ref="ORI1:ORW1"/>
    <mergeCell ref="OKZ1:OLN1"/>
    <mergeCell ref="OLO1:OMC1"/>
    <mergeCell ref="OMD1:OMR1"/>
    <mergeCell ref="OMS1:ONG1"/>
    <mergeCell ref="ONH1:ONV1"/>
    <mergeCell ref="ONW1:OOK1"/>
    <mergeCell ref="OHN1:OIB1"/>
    <mergeCell ref="OIC1:OIQ1"/>
    <mergeCell ref="OIR1:OJF1"/>
    <mergeCell ref="OJG1:OJU1"/>
    <mergeCell ref="OJV1:OKJ1"/>
    <mergeCell ref="OKK1:OKY1"/>
    <mergeCell ref="OEB1:OEP1"/>
    <mergeCell ref="OEQ1:OFE1"/>
    <mergeCell ref="OFF1:OFT1"/>
    <mergeCell ref="OFU1:OGI1"/>
    <mergeCell ref="OGJ1:OGX1"/>
    <mergeCell ref="OGY1:OHM1"/>
    <mergeCell ref="OAP1:OBD1"/>
    <mergeCell ref="OBE1:OBS1"/>
    <mergeCell ref="OBT1:OCH1"/>
    <mergeCell ref="OCI1:OCW1"/>
    <mergeCell ref="OCX1:ODL1"/>
    <mergeCell ref="ODM1:OEA1"/>
    <mergeCell ref="NXD1:NXR1"/>
    <mergeCell ref="NXS1:NYG1"/>
    <mergeCell ref="NYH1:NYV1"/>
    <mergeCell ref="NYW1:NZK1"/>
    <mergeCell ref="NZL1:NZZ1"/>
    <mergeCell ref="OAA1:OAO1"/>
    <mergeCell ref="NTR1:NUF1"/>
    <mergeCell ref="NUG1:NUU1"/>
    <mergeCell ref="NUV1:NVJ1"/>
    <mergeCell ref="NVK1:NVY1"/>
    <mergeCell ref="NVZ1:NWN1"/>
    <mergeCell ref="NWO1:NXC1"/>
    <mergeCell ref="NQF1:NQT1"/>
    <mergeCell ref="NQU1:NRI1"/>
    <mergeCell ref="NRJ1:NRX1"/>
    <mergeCell ref="NRY1:NSM1"/>
    <mergeCell ref="NSN1:NTB1"/>
    <mergeCell ref="NTC1:NTQ1"/>
    <mergeCell ref="NMT1:NNH1"/>
    <mergeCell ref="NNI1:NNW1"/>
    <mergeCell ref="NNX1:NOL1"/>
    <mergeCell ref="NOM1:NPA1"/>
    <mergeCell ref="NPB1:NPP1"/>
    <mergeCell ref="NPQ1:NQE1"/>
    <mergeCell ref="NJH1:NJV1"/>
    <mergeCell ref="NJW1:NKK1"/>
    <mergeCell ref="NKL1:NKZ1"/>
    <mergeCell ref="NLA1:NLO1"/>
    <mergeCell ref="NLP1:NMD1"/>
    <mergeCell ref="NME1:NMS1"/>
    <mergeCell ref="NFV1:NGJ1"/>
    <mergeCell ref="NGK1:NGY1"/>
    <mergeCell ref="NGZ1:NHN1"/>
    <mergeCell ref="NHO1:NIC1"/>
    <mergeCell ref="NID1:NIR1"/>
    <mergeCell ref="NIS1:NJG1"/>
    <mergeCell ref="NCJ1:NCX1"/>
    <mergeCell ref="NCY1:NDM1"/>
    <mergeCell ref="NDN1:NEB1"/>
    <mergeCell ref="NEC1:NEQ1"/>
    <mergeCell ref="NER1:NFF1"/>
    <mergeCell ref="NFG1:NFU1"/>
    <mergeCell ref="MYX1:MZL1"/>
    <mergeCell ref="MZM1:NAA1"/>
    <mergeCell ref="NAB1:NAP1"/>
    <mergeCell ref="NAQ1:NBE1"/>
    <mergeCell ref="NBF1:NBT1"/>
    <mergeCell ref="NBU1:NCI1"/>
    <mergeCell ref="MVL1:MVZ1"/>
    <mergeCell ref="MWA1:MWO1"/>
    <mergeCell ref="MWP1:MXD1"/>
    <mergeCell ref="MXE1:MXS1"/>
    <mergeCell ref="MXT1:MYH1"/>
    <mergeCell ref="MYI1:MYW1"/>
    <mergeCell ref="MRZ1:MSN1"/>
    <mergeCell ref="MSO1:MTC1"/>
    <mergeCell ref="MTD1:MTR1"/>
    <mergeCell ref="MTS1:MUG1"/>
    <mergeCell ref="MUH1:MUV1"/>
    <mergeCell ref="MUW1:MVK1"/>
    <mergeCell ref="MON1:MPB1"/>
    <mergeCell ref="MPC1:MPQ1"/>
    <mergeCell ref="MPR1:MQF1"/>
    <mergeCell ref="MQG1:MQU1"/>
    <mergeCell ref="MQV1:MRJ1"/>
    <mergeCell ref="MRK1:MRY1"/>
    <mergeCell ref="MLB1:MLP1"/>
    <mergeCell ref="MLQ1:MME1"/>
    <mergeCell ref="MMF1:MMT1"/>
    <mergeCell ref="MMU1:MNI1"/>
    <mergeCell ref="MNJ1:MNX1"/>
    <mergeCell ref="MNY1:MOM1"/>
    <mergeCell ref="MHP1:MID1"/>
    <mergeCell ref="MIE1:MIS1"/>
    <mergeCell ref="MIT1:MJH1"/>
    <mergeCell ref="MJI1:MJW1"/>
    <mergeCell ref="MJX1:MKL1"/>
    <mergeCell ref="MKM1:MLA1"/>
    <mergeCell ref="MED1:MER1"/>
    <mergeCell ref="MES1:MFG1"/>
    <mergeCell ref="MFH1:MFV1"/>
    <mergeCell ref="MFW1:MGK1"/>
    <mergeCell ref="MGL1:MGZ1"/>
    <mergeCell ref="MHA1:MHO1"/>
    <mergeCell ref="MAR1:MBF1"/>
    <mergeCell ref="MBG1:MBU1"/>
    <mergeCell ref="MBV1:MCJ1"/>
    <mergeCell ref="MCK1:MCY1"/>
    <mergeCell ref="MCZ1:MDN1"/>
    <mergeCell ref="MDO1:MEC1"/>
    <mergeCell ref="LXF1:LXT1"/>
    <mergeCell ref="LXU1:LYI1"/>
    <mergeCell ref="LYJ1:LYX1"/>
    <mergeCell ref="LYY1:LZM1"/>
    <mergeCell ref="LZN1:MAB1"/>
    <mergeCell ref="MAC1:MAQ1"/>
    <mergeCell ref="LTT1:LUH1"/>
    <mergeCell ref="LUI1:LUW1"/>
    <mergeCell ref="LUX1:LVL1"/>
    <mergeCell ref="LVM1:LWA1"/>
    <mergeCell ref="LWB1:LWP1"/>
    <mergeCell ref="LWQ1:LXE1"/>
    <mergeCell ref="LQH1:LQV1"/>
    <mergeCell ref="LQW1:LRK1"/>
    <mergeCell ref="LRL1:LRZ1"/>
    <mergeCell ref="LSA1:LSO1"/>
    <mergeCell ref="LSP1:LTD1"/>
    <mergeCell ref="LTE1:LTS1"/>
    <mergeCell ref="LMV1:LNJ1"/>
    <mergeCell ref="LNK1:LNY1"/>
    <mergeCell ref="LNZ1:LON1"/>
    <mergeCell ref="LOO1:LPC1"/>
    <mergeCell ref="LPD1:LPR1"/>
    <mergeCell ref="LPS1:LQG1"/>
    <mergeCell ref="LJJ1:LJX1"/>
    <mergeCell ref="LJY1:LKM1"/>
    <mergeCell ref="LKN1:LLB1"/>
    <mergeCell ref="LLC1:LLQ1"/>
    <mergeCell ref="LLR1:LMF1"/>
    <mergeCell ref="LMG1:LMU1"/>
    <mergeCell ref="LFX1:LGL1"/>
    <mergeCell ref="LGM1:LHA1"/>
    <mergeCell ref="LHB1:LHP1"/>
    <mergeCell ref="LHQ1:LIE1"/>
    <mergeCell ref="LIF1:LIT1"/>
    <mergeCell ref="LIU1:LJI1"/>
    <mergeCell ref="LCL1:LCZ1"/>
    <mergeCell ref="LDA1:LDO1"/>
    <mergeCell ref="LDP1:LED1"/>
    <mergeCell ref="LEE1:LES1"/>
    <mergeCell ref="LET1:LFH1"/>
    <mergeCell ref="LFI1:LFW1"/>
    <mergeCell ref="KYZ1:KZN1"/>
    <mergeCell ref="KZO1:LAC1"/>
    <mergeCell ref="LAD1:LAR1"/>
    <mergeCell ref="LAS1:LBG1"/>
    <mergeCell ref="LBH1:LBV1"/>
    <mergeCell ref="LBW1:LCK1"/>
    <mergeCell ref="KVN1:KWB1"/>
    <mergeCell ref="KWC1:KWQ1"/>
    <mergeCell ref="KWR1:KXF1"/>
    <mergeCell ref="KXG1:KXU1"/>
    <mergeCell ref="KXV1:KYJ1"/>
    <mergeCell ref="KYK1:KYY1"/>
    <mergeCell ref="KSB1:KSP1"/>
    <mergeCell ref="KSQ1:KTE1"/>
    <mergeCell ref="KTF1:KTT1"/>
    <mergeCell ref="KTU1:KUI1"/>
    <mergeCell ref="KUJ1:KUX1"/>
    <mergeCell ref="KUY1:KVM1"/>
    <mergeCell ref="KOP1:KPD1"/>
    <mergeCell ref="KPE1:KPS1"/>
    <mergeCell ref="KPT1:KQH1"/>
    <mergeCell ref="KQI1:KQW1"/>
    <mergeCell ref="KQX1:KRL1"/>
    <mergeCell ref="KRM1:KSA1"/>
    <mergeCell ref="KLD1:KLR1"/>
    <mergeCell ref="KLS1:KMG1"/>
    <mergeCell ref="KMH1:KMV1"/>
    <mergeCell ref="KMW1:KNK1"/>
    <mergeCell ref="KNL1:KNZ1"/>
    <mergeCell ref="KOA1:KOO1"/>
    <mergeCell ref="KHR1:KIF1"/>
    <mergeCell ref="KIG1:KIU1"/>
    <mergeCell ref="KIV1:KJJ1"/>
    <mergeCell ref="KJK1:KJY1"/>
    <mergeCell ref="KJZ1:KKN1"/>
    <mergeCell ref="KKO1:KLC1"/>
    <mergeCell ref="KEF1:KET1"/>
    <mergeCell ref="KEU1:KFI1"/>
    <mergeCell ref="KFJ1:KFX1"/>
    <mergeCell ref="KFY1:KGM1"/>
    <mergeCell ref="KGN1:KHB1"/>
    <mergeCell ref="KHC1:KHQ1"/>
    <mergeCell ref="KAT1:KBH1"/>
    <mergeCell ref="KBI1:KBW1"/>
    <mergeCell ref="KBX1:KCL1"/>
    <mergeCell ref="KCM1:KDA1"/>
    <mergeCell ref="KDB1:KDP1"/>
    <mergeCell ref="KDQ1:KEE1"/>
    <mergeCell ref="JXH1:JXV1"/>
    <mergeCell ref="JXW1:JYK1"/>
    <mergeCell ref="JYL1:JYZ1"/>
    <mergeCell ref="JZA1:JZO1"/>
    <mergeCell ref="JZP1:KAD1"/>
    <mergeCell ref="KAE1:KAS1"/>
    <mergeCell ref="JTV1:JUJ1"/>
    <mergeCell ref="JUK1:JUY1"/>
    <mergeCell ref="JUZ1:JVN1"/>
    <mergeCell ref="JVO1:JWC1"/>
    <mergeCell ref="JWD1:JWR1"/>
    <mergeCell ref="JWS1:JXG1"/>
    <mergeCell ref="JQJ1:JQX1"/>
    <mergeCell ref="JQY1:JRM1"/>
    <mergeCell ref="JRN1:JSB1"/>
    <mergeCell ref="JSC1:JSQ1"/>
    <mergeCell ref="JSR1:JTF1"/>
    <mergeCell ref="JTG1:JTU1"/>
    <mergeCell ref="JMX1:JNL1"/>
    <mergeCell ref="JNM1:JOA1"/>
    <mergeCell ref="JOB1:JOP1"/>
    <mergeCell ref="JOQ1:JPE1"/>
    <mergeCell ref="JPF1:JPT1"/>
    <mergeCell ref="JPU1:JQI1"/>
    <mergeCell ref="JJL1:JJZ1"/>
    <mergeCell ref="JKA1:JKO1"/>
    <mergeCell ref="JKP1:JLD1"/>
    <mergeCell ref="JLE1:JLS1"/>
    <mergeCell ref="JLT1:JMH1"/>
    <mergeCell ref="JMI1:JMW1"/>
    <mergeCell ref="JFZ1:JGN1"/>
    <mergeCell ref="JGO1:JHC1"/>
    <mergeCell ref="JHD1:JHR1"/>
    <mergeCell ref="JHS1:JIG1"/>
    <mergeCell ref="JIH1:JIV1"/>
    <mergeCell ref="JIW1:JJK1"/>
    <mergeCell ref="JCN1:JDB1"/>
    <mergeCell ref="JDC1:JDQ1"/>
    <mergeCell ref="JDR1:JEF1"/>
    <mergeCell ref="JEG1:JEU1"/>
    <mergeCell ref="JEV1:JFJ1"/>
    <mergeCell ref="JFK1:JFY1"/>
    <mergeCell ref="IZB1:IZP1"/>
    <mergeCell ref="IZQ1:JAE1"/>
    <mergeCell ref="JAF1:JAT1"/>
    <mergeCell ref="JAU1:JBI1"/>
    <mergeCell ref="JBJ1:JBX1"/>
    <mergeCell ref="JBY1:JCM1"/>
    <mergeCell ref="IVP1:IWD1"/>
    <mergeCell ref="IWE1:IWS1"/>
    <mergeCell ref="IWT1:IXH1"/>
    <mergeCell ref="IXI1:IXW1"/>
    <mergeCell ref="IXX1:IYL1"/>
    <mergeCell ref="IYM1:IZA1"/>
    <mergeCell ref="ISD1:ISR1"/>
    <mergeCell ref="ISS1:ITG1"/>
    <mergeCell ref="ITH1:ITV1"/>
    <mergeCell ref="ITW1:IUK1"/>
    <mergeCell ref="IUL1:IUZ1"/>
    <mergeCell ref="IVA1:IVO1"/>
    <mergeCell ref="IOR1:IPF1"/>
    <mergeCell ref="IPG1:IPU1"/>
    <mergeCell ref="IPV1:IQJ1"/>
    <mergeCell ref="IQK1:IQY1"/>
    <mergeCell ref="IQZ1:IRN1"/>
    <mergeCell ref="IRO1:ISC1"/>
    <mergeCell ref="ILF1:ILT1"/>
    <mergeCell ref="ILU1:IMI1"/>
    <mergeCell ref="IMJ1:IMX1"/>
    <mergeCell ref="IMY1:INM1"/>
    <mergeCell ref="INN1:IOB1"/>
    <mergeCell ref="IOC1:IOQ1"/>
    <mergeCell ref="IHT1:IIH1"/>
    <mergeCell ref="III1:IIW1"/>
    <mergeCell ref="IIX1:IJL1"/>
    <mergeCell ref="IJM1:IKA1"/>
    <mergeCell ref="IKB1:IKP1"/>
    <mergeCell ref="IKQ1:ILE1"/>
    <mergeCell ref="IEH1:IEV1"/>
    <mergeCell ref="IEW1:IFK1"/>
    <mergeCell ref="IFL1:IFZ1"/>
    <mergeCell ref="IGA1:IGO1"/>
    <mergeCell ref="IGP1:IHD1"/>
    <mergeCell ref="IHE1:IHS1"/>
    <mergeCell ref="IAV1:IBJ1"/>
    <mergeCell ref="IBK1:IBY1"/>
    <mergeCell ref="IBZ1:ICN1"/>
    <mergeCell ref="ICO1:IDC1"/>
    <mergeCell ref="IDD1:IDR1"/>
    <mergeCell ref="IDS1:IEG1"/>
    <mergeCell ref="HXJ1:HXX1"/>
    <mergeCell ref="HXY1:HYM1"/>
    <mergeCell ref="HYN1:HZB1"/>
    <mergeCell ref="HZC1:HZQ1"/>
    <mergeCell ref="HZR1:IAF1"/>
    <mergeCell ref="IAG1:IAU1"/>
    <mergeCell ref="HTX1:HUL1"/>
    <mergeCell ref="HUM1:HVA1"/>
    <mergeCell ref="HVB1:HVP1"/>
    <mergeCell ref="HVQ1:HWE1"/>
    <mergeCell ref="HWF1:HWT1"/>
    <mergeCell ref="HWU1:HXI1"/>
    <mergeCell ref="HQL1:HQZ1"/>
    <mergeCell ref="HRA1:HRO1"/>
    <mergeCell ref="HRP1:HSD1"/>
    <mergeCell ref="HSE1:HSS1"/>
    <mergeCell ref="HST1:HTH1"/>
    <mergeCell ref="HTI1:HTW1"/>
    <mergeCell ref="HMZ1:HNN1"/>
    <mergeCell ref="HNO1:HOC1"/>
    <mergeCell ref="HOD1:HOR1"/>
    <mergeCell ref="HOS1:HPG1"/>
    <mergeCell ref="HPH1:HPV1"/>
    <mergeCell ref="HPW1:HQK1"/>
    <mergeCell ref="HJN1:HKB1"/>
    <mergeCell ref="HKC1:HKQ1"/>
    <mergeCell ref="HKR1:HLF1"/>
    <mergeCell ref="HLG1:HLU1"/>
    <mergeCell ref="HLV1:HMJ1"/>
    <mergeCell ref="HMK1:HMY1"/>
    <mergeCell ref="HGB1:HGP1"/>
    <mergeCell ref="HGQ1:HHE1"/>
    <mergeCell ref="HHF1:HHT1"/>
    <mergeCell ref="HHU1:HII1"/>
    <mergeCell ref="HIJ1:HIX1"/>
    <mergeCell ref="HIY1:HJM1"/>
    <mergeCell ref="HCP1:HDD1"/>
    <mergeCell ref="HDE1:HDS1"/>
    <mergeCell ref="HDT1:HEH1"/>
    <mergeCell ref="HEI1:HEW1"/>
    <mergeCell ref="HEX1:HFL1"/>
    <mergeCell ref="HFM1:HGA1"/>
    <mergeCell ref="GZD1:GZR1"/>
    <mergeCell ref="GZS1:HAG1"/>
    <mergeCell ref="HAH1:HAV1"/>
    <mergeCell ref="HAW1:HBK1"/>
    <mergeCell ref="HBL1:HBZ1"/>
    <mergeCell ref="HCA1:HCO1"/>
    <mergeCell ref="GVR1:GWF1"/>
    <mergeCell ref="GWG1:GWU1"/>
    <mergeCell ref="GWV1:GXJ1"/>
    <mergeCell ref="GXK1:GXY1"/>
    <mergeCell ref="GXZ1:GYN1"/>
    <mergeCell ref="GYO1:GZC1"/>
    <mergeCell ref="GSF1:GST1"/>
    <mergeCell ref="GSU1:GTI1"/>
    <mergeCell ref="GTJ1:GTX1"/>
    <mergeCell ref="GTY1:GUM1"/>
    <mergeCell ref="GUN1:GVB1"/>
    <mergeCell ref="GVC1:GVQ1"/>
    <mergeCell ref="GOT1:GPH1"/>
    <mergeCell ref="GPI1:GPW1"/>
    <mergeCell ref="GPX1:GQL1"/>
    <mergeCell ref="GQM1:GRA1"/>
    <mergeCell ref="GRB1:GRP1"/>
    <mergeCell ref="GRQ1:GSE1"/>
    <mergeCell ref="GLH1:GLV1"/>
    <mergeCell ref="GLW1:GMK1"/>
    <mergeCell ref="GML1:GMZ1"/>
    <mergeCell ref="GNA1:GNO1"/>
    <mergeCell ref="GNP1:GOD1"/>
    <mergeCell ref="GOE1:GOS1"/>
    <mergeCell ref="GHV1:GIJ1"/>
    <mergeCell ref="GIK1:GIY1"/>
    <mergeCell ref="GIZ1:GJN1"/>
    <mergeCell ref="GJO1:GKC1"/>
    <mergeCell ref="GKD1:GKR1"/>
    <mergeCell ref="GKS1:GLG1"/>
    <mergeCell ref="GEJ1:GEX1"/>
    <mergeCell ref="GEY1:GFM1"/>
    <mergeCell ref="GFN1:GGB1"/>
    <mergeCell ref="GGC1:GGQ1"/>
    <mergeCell ref="GGR1:GHF1"/>
    <mergeCell ref="GHG1:GHU1"/>
    <mergeCell ref="GAX1:GBL1"/>
    <mergeCell ref="GBM1:GCA1"/>
    <mergeCell ref="GCB1:GCP1"/>
    <mergeCell ref="GCQ1:GDE1"/>
    <mergeCell ref="GDF1:GDT1"/>
    <mergeCell ref="GDU1:GEI1"/>
    <mergeCell ref="FXL1:FXZ1"/>
    <mergeCell ref="FYA1:FYO1"/>
    <mergeCell ref="FYP1:FZD1"/>
    <mergeCell ref="FZE1:FZS1"/>
    <mergeCell ref="FZT1:GAH1"/>
    <mergeCell ref="GAI1:GAW1"/>
    <mergeCell ref="FTZ1:FUN1"/>
    <mergeCell ref="FUO1:FVC1"/>
    <mergeCell ref="FVD1:FVR1"/>
    <mergeCell ref="FVS1:FWG1"/>
    <mergeCell ref="FWH1:FWV1"/>
    <mergeCell ref="FWW1:FXK1"/>
    <mergeCell ref="FQN1:FRB1"/>
    <mergeCell ref="FRC1:FRQ1"/>
    <mergeCell ref="FRR1:FSF1"/>
    <mergeCell ref="FSG1:FSU1"/>
    <mergeCell ref="FSV1:FTJ1"/>
    <mergeCell ref="FTK1:FTY1"/>
    <mergeCell ref="FNB1:FNP1"/>
    <mergeCell ref="FNQ1:FOE1"/>
    <mergeCell ref="FOF1:FOT1"/>
    <mergeCell ref="FOU1:FPI1"/>
    <mergeCell ref="FPJ1:FPX1"/>
    <mergeCell ref="FPY1:FQM1"/>
    <mergeCell ref="FJP1:FKD1"/>
    <mergeCell ref="FKE1:FKS1"/>
    <mergeCell ref="FKT1:FLH1"/>
    <mergeCell ref="FLI1:FLW1"/>
    <mergeCell ref="FLX1:FML1"/>
    <mergeCell ref="FMM1:FNA1"/>
    <mergeCell ref="FGD1:FGR1"/>
    <mergeCell ref="FGS1:FHG1"/>
    <mergeCell ref="FHH1:FHV1"/>
    <mergeCell ref="FHW1:FIK1"/>
    <mergeCell ref="FIL1:FIZ1"/>
    <mergeCell ref="FJA1:FJO1"/>
    <mergeCell ref="FCR1:FDF1"/>
    <mergeCell ref="FDG1:FDU1"/>
    <mergeCell ref="FDV1:FEJ1"/>
    <mergeCell ref="FEK1:FEY1"/>
    <mergeCell ref="FEZ1:FFN1"/>
    <mergeCell ref="FFO1:FGC1"/>
    <mergeCell ref="EZF1:EZT1"/>
    <mergeCell ref="EZU1:FAI1"/>
    <mergeCell ref="FAJ1:FAX1"/>
    <mergeCell ref="FAY1:FBM1"/>
    <mergeCell ref="FBN1:FCB1"/>
    <mergeCell ref="FCC1:FCQ1"/>
    <mergeCell ref="EVT1:EWH1"/>
    <mergeCell ref="EWI1:EWW1"/>
    <mergeCell ref="EWX1:EXL1"/>
    <mergeCell ref="EXM1:EYA1"/>
    <mergeCell ref="EYB1:EYP1"/>
    <mergeCell ref="EYQ1:EZE1"/>
    <mergeCell ref="ESH1:ESV1"/>
    <mergeCell ref="ESW1:ETK1"/>
    <mergeCell ref="ETL1:ETZ1"/>
    <mergeCell ref="EUA1:EUO1"/>
    <mergeCell ref="EUP1:EVD1"/>
    <mergeCell ref="EVE1:EVS1"/>
    <mergeCell ref="EOV1:EPJ1"/>
    <mergeCell ref="EPK1:EPY1"/>
    <mergeCell ref="EPZ1:EQN1"/>
    <mergeCell ref="EQO1:ERC1"/>
    <mergeCell ref="ERD1:ERR1"/>
    <mergeCell ref="ERS1:ESG1"/>
    <mergeCell ref="ELJ1:ELX1"/>
    <mergeCell ref="ELY1:EMM1"/>
    <mergeCell ref="EMN1:ENB1"/>
    <mergeCell ref="ENC1:ENQ1"/>
    <mergeCell ref="ENR1:EOF1"/>
    <mergeCell ref="EOG1:EOU1"/>
    <mergeCell ref="EHX1:EIL1"/>
    <mergeCell ref="EIM1:EJA1"/>
    <mergeCell ref="EJB1:EJP1"/>
    <mergeCell ref="EJQ1:EKE1"/>
    <mergeCell ref="EKF1:EKT1"/>
    <mergeCell ref="EKU1:ELI1"/>
    <mergeCell ref="EEL1:EEZ1"/>
    <mergeCell ref="EFA1:EFO1"/>
    <mergeCell ref="EFP1:EGD1"/>
    <mergeCell ref="EGE1:EGS1"/>
    <mergeCell ref="EGT1:EHH1"/>
    <mergeCell ref="EHI1:EHW1"/>
    <mergeCell ref="EAZ1:EBN1"/>
    <mergeCell ref="EBO1:ECC1"/>
    <mergeCell ref="ECD1:ECR1"/>
    <mergeCell ref="ECS1:EDG1"/>
    <mergeCell ref="EDH1:EDV1"/>
    <mergeCell ref="EDW1:EEK1"/>
    <mergeCell ref="DXN1:DYB1"/>
    <mergeCell ref="DYC1:DYQ1"/>
    <mergeCell ref="DYR1:DZF1"/>
    <mergeCell ref="DZG1:DZU1"/>
    <mergeCell ref="DZV1:EAJ1"/>
    <mergeCell ref="EAK1:EAY1"/>
    <mergeCell ref="DUB1:DUP1"/>
    <mergeCell ref="DUQ1:DVE1"/>
    <mergeCell ref="DVF1:DVT1"/>
    <mergeCell ref="DVU1:DWI1"/>
    <mergeCell ref="DWJ1:DWX1"/>
    <mergeCell ref="DWY1:DXM1"/>
    <mergeCell ref="DQP1:DRD1"/>
    <mergeCell ref="DRE1:DRS1"/>
    <mergeCell ref="DRT1:DSH1"/>
    <mergeCell ref="DSI1:DSW1"/>
    <mergeCell ref="DSX1:DTL1"/>
    <mergeCell ref="DTM1:DUA1"/>
    <mergeCell ref="DND1:DNR1"/>
    <mergeCell ref="DNS1:DOG1"/>
    <mergeCell ref="DOH1:DOV1"/>
    <mergeCell ref="DOW1:DPK1"/>
    <mergeCell ref="DPL1:DPZ1"/>
    <mergeCell ref="DQA1:DQO1"/>
    <mergeCell ref="DJR1:DKF1"/>
    <mergeCell ref="DKG1:DKU1"/>
    <mergeCell ref="DKV1:DLJ1"/>
    <mergeCell ref="DLK1:DLY1"/>
    <mergeCell ref="DLZ1:DMN1"/>
    <mergeCell ref="DMO1:DNC1"/>
    <mergeCell ref="DGF1:DGT1"/>
    <mergeCell ref="DGU1:DHI1"/>
    <mergeCell ref="DHJ1:DHX1"/>
    <mergeCell ref="DHY1:DIM1"/>
    <mergeCell ref="DIN1:DJB1"/>
    <mergeCell ref="DJC1:DJQ1"/>
    <mergeCell ref="DCT1:DDH1"/>
    <mergeCell ref="DDI1:DDW1"/>
    <mergeCell ref="DDX1:DEL1"/>
    <mergeCell ref="DEM1:DFA1"/>
    <mergeCell ref="DFB1:DFP1"/>
    <mergeCell ref="DFQ1:DGE1"/>
    <mergeCell ref="CZH1:CZV1"/>
    <mergeCell ref="CZW1:DAK1"/>
    <mergeCell ref="DAL1:DAZ1"/>
    <mergeCell ref="DBA1:DBO1"/>
    <mergeCell ref="DBP1:DCD1"/>
    <mergeCell ref="DCE1:DCS1"/>
    <mergeCell ref="CVV1:CWJ1"/>
    <mergeCell ref="CWK1:CWY1"/>
    <mergeCell ref="CWZ1:CXN1"/>
    <mergeCell ref="CXO1:CYC1"/>
    <mergeCell ref="CYD1:CYR1"/>
    <mergeCell ref="CYS1:CZG1"/>
    <mergeCell ref="CSJ1:CSX1"/>
    <mergeCell ref="CSY1:CTM1"/>
    <mergeCell ref="CTN1:CUB1"/>
    <mergeCell ref="CUC1:CUQ1"/>
    <mergeCell ref="CUR1:CVF1"/>
    <mergeCell ref="CVG1:CVU1"/>
    <mergeCell ref="COX1:CPL1"/>
    <mergeCell ref="CPM1:CQA1"/>
    <mergeCell ref="CQB1:CQP1"/>
    <mergeCell ref="CQQ1:CRE1"/>
    <mergeCell ref="CRF1:CRT1"/>
    <mergeCell ref="CRU1:CSI1"/>
    <mergeCell ref="CLL1:CLZ1"/>
    <mergeCell ref="CMA1:CMO1"/>
    <mergeCell ref="CMP1:CND1"/>
    <mergeCell ref="CNE1:CNS1"/>
    <mergeCell ref="CNT1:COH1"/>
    <mergeCell ref="COI1:COW1"/>
    <mergeCell ref="CHZ1:CIN1"/>
    <mergeCell ref="CIO1:CJC1"/>
    <mergeCell ref="CJD1:CJR1"/>
    <mergeCell ref="CJS1:CKG1"/>
    <mergeCell ref="CKH1:CKV1"/>
    <mergeCell ref="CKW1:CLK1"/>
    <mergeCell ref="CEN1:CFB1"/>
    <mergeCell ref="CFC1:CFQ1"/>
    <mergeCell ref="CFR1:CGF1"/>
    <mergeCell ref="CGG1:CGU1"/>
    <mergeCell ref="CGV1:CHJ1"/>
    <mergeCell ref="CHK1:CHY1"/>
    <mergeCell ref="CBB1:CBP1"/>
    <mergeCell ref="CBQ1:CCE1"/>
    <mergeCell ref="CCF1:CCT1"/>
    <mergeCell ref="CCU1:CDI1"/>
    <mergeCell ref="CDJ1:CDX1"/>
    <mergeCell ref="CDY1:CEM1"/>
    <mergeCell ref="BXP1:BYD1"/>
    <mergeCell ref="BYE1:BYS1"/>
    <mergeCell ref="BYT1:BZH1"/>
    <mergeCell ref="BZI1:BZW1"/>
    <mergeCell ref="BZX1:CAL1"/>
    <mergeCell ref="CAM1:CBA1"/>
    <mergeCell ref="BUD1:BUR1"/>
    <mergeCell ref="BUS1:BVG1"/>
    <mergeCell ref="BVH1:BVV1"/>
    <mergeCell ref="BVW1:BWK1"/>
    <mergeCell ref="BWL1:BWZ1"/>
    <mergeCell ref="BXA1:BXO1"/>
    <mergeCell ref="BQR1:BRF1"/>
    <mergeCell ref="BRG1:BRU1"/>
    <mergeCell ref="BRV1:BSJ1"/>
    <mergeCell ref="BSK1:BSY1"/>
    <mergeCell ref="BSZ1:BTN1"/>
    <mergeCell ref="BTO1:BUC1"/>
    <mergeCell ref="BNF1:BNT1"/>
    <mergeCell ref="BNU1:BOI1"/>
    <mergeCell ref="BOJ1:BOX1"/>
    <mergeCell ref="BOY1:BPM1"/>
    <mergeCell ref="BPN1:BQB1"/>
    <mergeCell ref="BQC1:BQQ1"/>
    <mergeCell ref="BJT1:BKH1"/>
    <mergeCell ref="BKI1:BKW1"/>
    <mergeCell ref="BKX1:BLL1"/>
    <mergeCell ref="BLM1:BMA1"/>
    <mergeCell ref="BMB1:BMP1"/>
    <mergeCell ref="BMQ1:BNE1"/>
    <mergeCell ref="BGH1:BGV1"/>
    <mergeCell ref="BGW1:BHK1"/>
    <mergeCell ref="BHL1:BHZ1"/>
    <mergeCell ref="BIA1:BIO1"/>
    <mergeCell ref="BIP1:BJD1"/>
    <mergeCell ref="BJE1:BJS1"/>
    <mergeCell ref="BCV1:BDJ1"/>
    <mergeCell ref="BDK1:BDY1"/>
    <mergeCell ref="BDZ1:BEN1"/>
    <mergeCell ref="BEO1:BFC1"/>
    <mergeCell ref="BFD1:BFR1"/>
    <mergeCell ref="BFS1:BGG1"/>
    <mergeCell ref="AZJ1:AZX1"/>
    <mergeCell ref="AZY1:BAM1"/>
    <mergeCell ref="BAN1:BBB1"/>
    <mergeCell ref="BBC1:BBQ1"/>
    <mergeCell ref="BBR1:BCF1"/>
    <mergeCell ref="BCG1:BCU1"/>
    <mergeCell ref="AVX1:AWL1"/>
    <mergeCell ref="AWM1:AXA1"/>
    <mergeCell ref="AXB1:AXP1"/>
    <mergeCell ref="AXQ1:AYE1"/>
    <mergeCell ref="AYF1:AYT1"/>
    <mergeCell ref="AYU1:AZI1"/>
    <mergeCell ref="ASL1:ASZ1"/>
    <mergeCell ref="ATA1:ATO1"/>
    <mergeCell ref="ATP1:AUD1"/>
    <mergeCell ref="AUE1:AUS1"/>
    <mergeCell ref="AUT1:AVH1"/>
    <mergeCell ref="AVI1:AVW1"/>
    <mergeCell ref="AOZ1:APN1"/>
    <mergeCell ref="APO1:AQC1"/>
    <mergeCell ref="AQD1:AQR1"/>
    <mergeCell ref="AQS1:ARG1"/>
    <mergeCell ref="ARH1:ARV1"/>
    <mergeCell ref="ARW1:ASK1"/>
    <mergeCell ref="ALN1:AMB1"/>
    <mergeCell ref="AMC1:AMQ1"/>
    <mergeCell ref="AMR1:ANF1"/>
    <mergeCell ref="ANG1:ANU1"/>
    <mergeCell ref="ANV1:AOJ1"/>
    <mergeCell ref="AOK1:AOY1"/>
    <mergeCell ref="AIB1:AIP1"/>
    <mergeCell ref="AIQ1:AJE1"/>
    <mergeCell ref="AJF1:AJT1"/>
    <mergeCell ref="AJU1:AKI1"/>
    <mergeCell ref="AKJ1:AKX1"/>
    <mergeCell ref="AKY1:ALM1"/>
    <mergeCell ref="AEP1:AFD1"/>
    <mergeCell ref="AFE1:AFS1"/>
    <mergeCell ref="AFT1:AGH1"/>
    <mergeCell ref="AGI1:AGW1"/>
    <mergeCell ref="AGX1:AHL1"/>
    <mergeCell ref="AHM1:AIA1"/>
    <mergeCell ref="ABD1:ABR1"/>
    <mergeCell ref="ABS1:ACG1"/>
    <mergeCell ref="ACH1:ACV1"/>
    <mergeCell ref="ACW1:ADK1"/>
    <mergeCell ref="ADL1:ADZ1"/>
    <mergeCell ref="AEA1:AEO1"/>
    <mergeCell ref="XR1:YF1"/>
    <mergeCell ref="YG1:YU1"/>
    <mergeCell ref="YV1:ZJ1"/>
    <mergeCell ref="ZK1:ZY1"/>
    <mergeCell ref="ZZ1:AAN1"/>
    <mergeCell ref="AAO1:ABC1"/>
    <mergeCell ref="UF1:UT1"/>
    <mergeCell ref="UU1:VI1"/>
    <mergeCell ref="VJ1:VX1"/>
    <mergeCell ref="VY1:WM1"/>
    <mergeCell ref="WN1:XB1"/>
    <mergeCell ref="XC1:XQ1"/>
    <mergeCell ref="QT1:RH1"/>
    <mergeCell ref="RI1:RW1"/>
    <mergeCell ref="RX1:SL1"/>
    <mergeCell ref="SM1:TA1"/>
    <mergeCell ref="TB1:TP1"/>
    <mergeCell ref="TQ1:UE1"/>
    <mergeCell ref="NH1:NV1"/>
    <mergeCell ref="NW1:OK1"/>
    <mergeCell ref="OL1:OZ1"/>
    <mergeCell ref="PA1:PO1"/>
    <mergeCell ref="PP1:QD1"/>
    <mergeCell ref="QE1:QS1"/>
    <mergeCell ref="A1:O1"/>
    <mergeCell ref="AA1:AO1"/>
    <mergeCell ref="AP1:BD1"/>
    <mergeCell ref="BE1:BS1"/>
    <mergeCell ref="BT1:CH1"/>
    <mergeCell ref="CI1:CW1"/>
    <mergeCell ref="JV1:KJ1"/>
    <mergeCell ref="KK1:KY1"/>
    <mergeCell ref="KZ1:LN1"/>
    <mergeCell ref="LO1:MC1"/>
    <mergeCell ref="MD1:MR1"/>
    <mergeCell ref="MS1:NG1"/>
    <mergeCell ref="GJ1:GX1"/>
    <mergeCell ref="GY1:HM1"/>
    <mergeCell ref="HN1:IB1"/>
    <mergeCell ref="IC1:IQ1"/>
    <mergeCell ref="IR1:JF1"/>
    <mergeCell ref="JG1:JU1"/>
    <mergeCell ref="CX1:DL1"/>
    <mergeCell ref="DM1:EA1"/>
    <mergeCell ref="EB1:EP1"/>
    <mergeCell ref="EQ1:FE1"/>
    <mergeCell ref="FF1:FT1"/>
    <mergeCell ref="FU1:GI1"/>
    <mergeCell ref="A56:C56"/>
    <mergeCell ref="D56:H56"/>
    <mergeCell ref="D47:H47"/>
    <mergeCell ref="A48:C48"/>
    <mergeCell ref="D48:H48"/>
    <mergeCell ref="A49:C49"/>
    <mergeCell ref="D49:H49"/>
    <mergeCell ref="A50:C50"/>
    <mergeCell ref="D50:H50"/>
    <mergeCell ref="A51:C51"/>
    <mergeCell ref="D51:H51"/>
    <mergeCell ref="A52:C52"/>
    <mergeCell ref="D52:H52"/>
    <mergeCell ref="A53:C53"/>
    <mergeCell ref="D53:H53"/>
    <mergeCell ref="A54:C54"/>
    <mergeCell ref="D54:H54"/>
    <mergeCell ref="A55:C55"/>
    <mergeCell ref="D55:H55"/>
  </mergeCells>
  <pageMargins left="0.7" right="0.7" top="0.75" bottom="0.75" header="0.3" footer="0.3"/>
  <pageSetup scale="40" orientation="portrait" verticalDpi="0"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B353-20BD-4F2F-8B78-D3A4C6CEE6DF}">
  <dimension ref="A1:AE45"/>
  <sheetViews>
    <sheetView topLeftCell="J1" workbookViewId="0">
      <selection activeCell="Q6" sqref="Q6"/>
    </sheetView>
  </sheetViews>
  <sheetFormatPr defaultRowHeight="14.4" x14ac:dyDescent="0.3"/>
  <cols>
    <col min="1" max="1" width="14.88671875" bestFit="1" customWidth="1"/>
    <col min="3" max="3" width="15" customWidth="1"/>
    <col min="4" max="4" width="19.88671875" bestFit="1" customWidth="1"/>
    <col min="5" max="5" width="9.33203125" customWidth="1"/>
    <col min="9" max="9" width="11.33203125" bestFit="1" customWidth="1"/>
    <col min="10" max="10" width="14.88671875" bestFit="1" customWidth="1"/>
    <col min="11" max="11" width="13.6640625" customWidth="1"/>
    <col min="12" max="12" width="19.5546875" customWidth="1"/>
    <col min="13" max="13" width="24.109375" customWidth="1"/>
    <col min="16" max="17" width="14.88671875" bestFit="1" customWidth="1"/>
    <col min="18" max="18" width="9.6640625" customWidth="1"/>
    <col min="19" max="19" width="14.6640625" bestFit="1" customWidth="1"/>
    <col min="20" max="20" width="16.6640625" customWidth="1"/>
    <col min="22" max="22" width="16.44140625" customWidth="1"/>
    <col min="23" max="23" width="17.88671875" customWidth="1"/>
    <col min="24" max="24" width="8" customWidth="1"/>
  </cols>
  <sheetData>
    <row r="1" spans="1:31" ht="15" thickBot="1" x14ac:dyDescent="0.35">
      <c r="A1" s="222" t="s">
        <v>251</v>
      </c>
      <c r="B1" s="224" t="s">
        <v>250</v>
      </c>
      <c r="C1" s="223" t="s">
        <v>253</v>
      </c>
      <c r="D1" s="224" t="s">
        <v>252</v>
      </c>
      <c r="J1" s="224" t="s">
        <v>251</v>
      </c>
      <c r="K1" s="224" t="s">
        <v>250</v>
      </c>
      <c r="L1" s="224" t="s">
        <v>253</v>
      </c>
      <c r="M1" s="224" t="s">
        <v>252</v>
      </c>
      <c r="S1" s="224" t="s">
        <v>251</v>
      </c>
      <c r="T1" s="224" t="s">
        <v>250</v>
      </c>
      <c r="U1" s="224" t="s">
        <v>249</v>
      </c>
      <c r="V1" s="224" t="s">
        <v>248</v>
      </c>
    </row>
    <row r="2" spans="1:31" ht="15" thickBot="1" x14ac:dyDescent="0.35">
      <c r="A2" s="237" t="s">
        <v>247</v>
      </c>
      <c r="B2" s="232">
        <v>1.48E-3</v>
      </c>
      <c r="C2">
        <v>0.34</v>
      </c>
      <c r="D2" s="209">
        <v>0.14599999999999999</v>
      </c>
      <c r="E2" s="233"/>
      <c r="I2" s="233"/>
      <c r="J2" s="209" t="s">
        <v>246</v>
      </c>
      <c r="K2" s="232">
        <v>5.0000000000000001E-3</v>
      </c>
      <c r="L2" s="209">
        <v>0.36</v>
      </c>
      <c r="M2" s="209">
        <v>0.15260000000000001</v>
      </c>
      <c r="S2" s="209" t="s">
        <v>245</v>
      </c>
      <c r="T2" s="232">
        <v>1.3500000000000001E-3</v>
      </c>
      <c r="U2" s="209">
        <v>1040</v>
      </c>
      <c r="V2" s="209">
        <v>1080</v>
      </c>
    </row>
    <row r="3" spans="1:31" ht="15" thickBot="1" x14ac:dyDescent="0.35">
      <c r="A3" s="237"/>
      <c r="B3" s="232"/>
      <c r="D3" s="209"/>
      <c r="I3" s="233"/>
      <c r="J3" s="236"/>
      <c r="K3" s="235"/>
      <c r="L3" s="205"/>
      <c r="M3" s="235"/>
      <c r="Q3" s="234"/>
      <c r="R3" s="233"/>
      <c r="S3" s="232"/>
      <c r="T3" s="231"/>
      <c r="U3" s="209"/>
      <c r="V3" s="231"/>
      <c r="Z3" s="230" t="s">
        <v>60</v>
      </c>
      <c r="AA3" s="229"/>
      <c r="AB3" s="228" t="s">
        <v>62</v>
      </c>
      <c r="AC3" s="227"/>
      <c r="AD3" s="226" t="s">
        <v>63</v>
      </c>
      <c r="AE3" s="225"/>
    </row>
    <row r="4" spans="1:31" ht="15" thickBot="1" x14ac:dyDescent="0.35">
      <c r="A4" s="338" t="s">
        <v>60</v>
      </c>
      <c r="B4" s="339"/>
      <c r="C4" s="339"/>
      <c r="D4" s="339"/>
      <c r="E4" s="339"/>
      <c r="F4" s="339"/>
      <c r="G4" s="340"/>
      <c r="J4" s="341" t="s">
        <v>62</v>
      </c>
      <c r="K4" s="342"/>
      <c r="L4" s="342"/>
      <c r="M4" s="342"/>
      <c r="N4" s="343"/>
      <c r="S4" s="344" t="s">
        <v>63</v>
      </c>
      <c r="T4" s="345"/>
      <c r="U4" s="345"/>
      <c r="V4" s="345"/>
      <c r="W4" s="346"/>
      <c r="Y4" s="210" t="s">
        <v>233</v>
      </c>
      <c r="Z4" s="199" t="s">
        <v>232</v>
      </c>
      <c r="AA4" s="197" t="s">
        <v>231</v>
      </c>
      <c r="AB4" s="199" t="s">
        <v>232</v>
      </c>
      <c r="AC4" s="197" t="s">
        <v>231</v>
      </c>
      <c r="AD4" s="198" t="s">
        <v>232</v>
      </c>
      <c r="AE4" s="197" t="s">
        <v>231</v>
      </c>
    </row>
    <row r="5" spans="1:31" ht="15" thickBot="1" x14ac:dyDescent="0.35">
      <c r="A5" s="222" t="s">
        <v>236</v>
      </c>
      <c r="B5" s="222" t="s">
        <v>244</v>
      </c>
      <c r="C5" s="223" t="s">
        <v>242</v>
      </c>
      <c r="D5" s="221" t="s">
        <v>235</v>
      </c>
      <c r="E5" s="223" t="s">
        <v>243</v>
      </c>
      <c r="F5" s="221" t="s">
        <v>242</v>
      </c>
      <c r="G5" s="221" t="s">
        <v>234</v>
      </c>
      <c r="J5" s="222" t="s">
        <v>237</v>
      </c>
      <c r="K5" s="222" t="s">
        <v>241</v>
      </c>
      <c r="L5" s="221" t="s">
        <v>235</v>
      </c>
      <c r="M5" s="222" t="s">
        <v>240</v>
      </c>
      <c r="N5" s="221" t="s">
        <v>234</v>
      </c>
      <c r="S5" s="224" t="s">
        <v>236</v>
      </c>
      <c r="T5" s="223" t="s">
        <v>241</v>
      </c>
      <c r="U5" s="223" t="s">
        <v>235</v>
      </c>
      <c r="V5" s="222" t="s">
        <v>240</v>
      </c>
      <c r="W5" s="221" t="s">
        <v>234</v>
      </c>
      <c r="Y5" s="209" t="s">
        <v>230</v>
      </c>
      <c r="Z5" s="208">
        <f>B41/B42</f>
        <v>1.3988084104866112</v>
      </c>
      <c r="AA5" s="206">
        <f>B44/B41</f>
        <v>4.5893690036154032E-2</v>
      </c>
      <c r="AB5" s="208">
        <f>K16/K15</f>
        <v>23.889482321268034</v>
      </c>
      <c r="AC5" s="206">
        <f>K10/K16</f>
        <v>0</v>
      </c>
      <c r="AD5" s="207">
        <f>T13/T12</f>
        <v>0.90474833808167143</v>
      </c>
      <c r="AE5" s="206">
        <f>T11/T13</f>
        <v>1.3584078196754196E-2</v>
      </c>
    </row>
    <row r="6" spans="1:31" ht="15" thickBot="1" x14ac:dyDescent="0.35">
      <c r="A6" s="200">
        <v>45901.083333333336</v>
      </c>
      <c r="B6">
        <v>2.0144000000000002</v>
      </c>
      <c r="C6">
        <f t="shared" ref="C6:C40" si="0">_xlfn.NORM.DIST(B6,$B$41,$B$44,FALSE)</f>
        <v>2.4883277627044436</v>
      </c>
      <c r="D6" s="195">
        <f t="shared" ref="D6:D40" si="1">B6/$B$42*100</f>
        <v>133.43932167461583</v>
      </c>
      <c r="E6">
        <v>2.0695000000000001</v>
      </c>
      <c r="F6">
        <f t="shared" ref="F6:F40" si="2">_xlfn.NORM.DIST(E6,$E$41,$E$44,FALSE)</f>
        <v>3.3145410038963461</v>
      </c>
      <c r="G6" s="195">
        <f t="shared" ref="G6:G40" si="3">E6/$E$42*100</f>
        <v>136.82101867033379</v>
      </c>
      <c r="J6" s="220">
        <v>45906.875</v>
      </c>
      <c r="K6" s="196">
        <v>6.0030999999999999</v>
      </c>
      <c r="L6" s="195">
        <f>K6/K$16*100</f>
        <v>111.1685185185185</v>
      </c>
      <c r="M6">
        <v>6.1555999999999997</v>
      </c>
      <c r="N6" s="195">
        <f>M6/M$16*100</f>
        <v>115.25182550084251</v>
      </c>
      <c r="S6" s="220">
        <v>45906.916666666664</v>
      </c>
      <c r="T6">
        <v>1.2459</v>
      </c>
      <c r="U6" s="195">
        <f>T6/T$12*100</f>
        <v>88.739316239316238</v>
      </c>
      <c r="V6" s="196">
        <v>1.3608</v>
      </c>
      <c r="W6" s="195">
        <f>V6/V$12*100</f>
        <v>93.333333333333329</v>
      </c>
      <c r="Y6" s="205" t="s">
        <v>229</v>
      </c>
      <c r="Z6" s="204">
        <f>E41/E42</f>
        <v>1.416324952787483</v>
      </c>
      <c r="AA6" s="202">
        <f>E44/E41</f>
        <v>3.5956135079102898E-2</v>
      </c>
      <c r="AB6" s="204">
        <f>M16/M15</f>
        <v>43.524615064295091</v>
      </c>
      <c r="AC6" s="202">
        <f>M10/M16</f>
        <v>0</v>
      </c>
      <c r="AD6" s="203">
        <f>V13/V12</f>
        <v>0.95464106081390032</v>
      </c>
      <c r="AE6" s="202">
        <f>V11/V13</f>
        <v>1.7305417417134653E-2</v>
      </c>
    </row>
    <row r="7" spans="1:31" x14ac:dyDescent="0.3">
      <c r="A7" s="200">
        <v>45902</v>
      </c>
      <c r="B7">
        <v>2.1282999999999999</v>
      </c>
      <c r="C7">
        <f t="shared" si="0"/>
        <v>4.0562105170415945</v>
      </c>
      <c r="D7" s="195">
        <f t="shared" si="1"/>
        <v>140.98436671966084</v>
      </c>
      <c r="E7">
        <v>2.0514999999999999</v>
      </c>
      <c r="F7">
        <f t="shared" si="2"/>
        <v>2.5863102795317054</v>
      </c>
      <c r="G7" s="195">
        <f t="shared" si="3"/>
        <v>135.63098323372299</v>
      </c>
      <c r="J7" s="216">
        <v>45913.875</v>
      </c>
      <c r="K7" s="196">
        <v>6.6369999999999996</v>
      </c>
      <c r="L7" s="195">
        <f>K7/K$16*100</f>
        <v>122.9074074074074</v>
      </c>
      <c r="M7">
        <v>6.4240000000000004</v>
      </c>
      <c r="N7" s="195">
        <f>M7/M$16*100</f>
        <v>120.2771016663546</v>
      </c>
      <c r="S7" s="216"/>
      <c r="U7" s="195"/>
      <c r="V7" s="196"/>
      <c r="W7" s="195"/>
    </row>
    <row r="8" spans="1:31" x14ac:dyDescent="0.3">
      <c r="A8" s="200">
        <v>45903.083333333336</v>
      </c>
      <c r="B8">
        <v>2.0188000000000001</v>
      </c>
      <c r="C8">
        <f t="shared" si="0"/>
        <v>2.6016279273948815</v>
      </c>
      <c r="D8" s="195">
        <f t="shared" si="1"/>
        <v>133.73078961314258</v>
      </c>
      <c r="E8">
        <v>2.0539000000000001</v>
      </c>
      <c r="F8">
        <f t="shared" si="2"/>
        <v>2.6817393062786521</v>
      </c>
      <c r="G8" s="195">
        <f t="shared" si="3"/>
        <v>135.78965462527111</v>
      </c>
      <c r="J8" s="216">
        <v>45920.875</v>
      </c>
      <c r="K8" s="196">
        <v>6.3789999999999996</v>
      </c>
      <c r="L8" s="195">
        <f>K8/K$16*100</f>
        <v>118.1296296296296</v>
      </c>
      <c r="M8">
        <v>6.4225000000000003</v>
      </c>
      <c r="N8" s="195">
        <f>M8/M$16*100</f>
        <v>120.24901703800785</v>
      </c>
      <c r="S8" s="216">
        <v>45920.916666666664</v>
      </c>
      <c r="T8">
        <v>1.2813000000000001</v>
      </c>
      <c r="U8" s="195">
        <f>T8/T$12*100</f>
        <v>91.260683760683762</v>
      </c>
      <c r="V8" s="196">
        <v>1.4195</v>
      </c>
      <c r="W8" s="195">
        <f>V8/V$12*100</f>
        <v>97.359396433470494</v>
      </c>
    </row>
    <row r="9" spans="1:31" x14ac:dyDescent="0.3">
      <c r="A9" s="200">
        <v>45904</v>
      </c>
      <c r="B9">
        <v>2.0910000000000002</v>
      </c>
      <c r="C9">
        <f t="shared" si="0"/>
        <v>4.0242600818079373</v>
      </c>
      <c r="D9" s="195">
        <f t="shared" si="1"/>
        <v>138.51351351351354</v>
      </c>
      <c r="E9">
        <v>2.1644999999999999</v>
      </c>
      <c r="F9">
        <f t="shared" si="2"/>
        <v>4.9680543151867846</v>
      </c>
      <c r="G9" s="195">
        <f t="shared" si="3"/>
        <v>143.10176125244621</v>
      </c>
      <c r="J9" s="216">
        <v>45927.875</v>
      </c>
      <c r="K9" s="196">
        <v>6.3006000000000002</v>
      </c>
      <c r="L9" s="195">
        <f>K9/K$16*100</f>
        <v>116.67777777777776</v>
      </c>
      <c r="M9">
        <v>6.4630000000000001</v>
      </c>
      <c r="N9" s="195">
        <f>M9/M$16*100</f>
        <v>121.00730200337013</v>
      </c>
      <c r="S9" s="216">
        <v>45927.916666666664</v>
      </c>
      <c r="T9">
        <v>1.2836000000000001</v>
      </c>
      <c r="U9" s="195">
        <f>T9/T$12*100</f>
        <v>91.424501424501429</v>
      </c>
      <c r="V9" s="196">
        <v>1.3953</v>
      </c>
      <c r="W9" s="195">
        <f>V9/V$12*100</f>
        <v>95.699588477366234</v>
      </c>
    </row>
    <row r="10" spans="1:31" ht="15" thickBot="1" x14ac:dyDescent="0.35">
      <c r="A10" s="200">
        <v>45905.083333333336</v>
      </c>
      <c r="B10">
        <v>2.1541000000000001</v>
      </c>
      <c r="C10">
        <f t="shared" si="0"/>
        <v>3.7398604711437193</v>
      </c>
      <c r="D10" s="195">
        <f t="shared" si="1"/>
        <v>142.69342872284051</v>
      </c>
      <c r="E10">
        <v>2.1149</v>
      </c>
      <c r="F10">
        <f t="shared" si="2"/>
        <v>4.8621953637402759</v>
      </c>
      <c r="G10" s="195">
        <f t="shared" si="3"/>
        <v>139.82255249378539</v>
      </c>
      <c r="J10" s="216"/>
      <c r="K10" s="196"/>
      <c r="L10" s="195"/>
      <c r="N10" s="195"/>
      <c r="S10" s="219"/>
      <c r="U10" s="195"/>
      <c r="V10" s="196"/>
      <c r="W10" s="195"/>
      <c r="Z10" s="218"/>
    </row>
    <row r="11" spans="1:31" x14ac:dyDescent="0.3">
      <c r="A11" s="200">
        <v>45906</v>
      </c>
      <c r="B11">
        <v>1.9671000000000001</v>
      </c>
      <c r="C11">
        <f t="shared" si="0"/>
        <v>1.353592240574405</v>
      </c>
      <c r="D11" s="195">
        <f t="shared" si="1"/>
        <v>130.3060413354531</v>
      </c>
      <c r="E11">
        <v>2.0402</v>
      </c>
      <c r="F11">
        <f t="shared" si="2"/>
        <v>2.1524093978947922</v>
      </c>
      <c r="G11" s="195">
        <f t="shared" si="3"/>
        <v>134.88390543185068</v>
      </c>
      <c r="J11" s="216"/>
      <c r="K11" s="196"/>
      <c r="L11" s="195"/>
      <c r="N11" s="195"/>
      <c r="S11" s="199" t="s">
        <v>226</v>
      </c>
      <c r="T11" s="214">
        <f>_xlfn.STDEV.P(T6:T10)</f>
        <v>1.7255401730730299E-2</v>
      </c>
      <c r="U11" s="217">
        <f>_xlfn.STDEV.P(U6:U10)</f>
        <v>1.2290172172884817</v>
      </c>
      <c r="V11" s="214">
        <f>_xlfn.STDEV.P(V6:V9)</f>
        <v>2.4086833655662488E-2</v>
      </c>
      <c r="W11" s="213">
        <f>_xlfn.STDEV.P(W6:W9)</f>
        <v>1.6520462040920736</v>
      </c>
    </row>
    <row r="12" spans="1:31" x14ac:dyDescent="0.3">
      <c r="A12" s="200">
        <v>45907.083333333336</v>
      </c>
      <c r="B12">
        <v>2.1497000000000002</v>
      </c>
      <c r="C12">
        <f t="shared" si="0"/>
        <v>3.8110678555458852</v>
      </c>
      <c r="D12" s="195">
        <f t="shared" si="1"/>
        <v>142.40196078431376</v>
      </c>
      <c r="E12">
        <v>2.0813000000000001</v>
      </c>
      <c r="F12">
        <f t="shared" si="2"/>
        <v>3.7860421888665492</v>
      </c>
      <c r="G12" s="195">
        <f t="shared" si="3"/>
        <v>137.60115301211195</v>
      </c>
      <c r="J12" s="216"/>
      <c r="K12" s="196"/>
      <c r="L12" s="195"/>
      <c r="N12" s="195"/>
      <c r="S12" s="196" t="s">
        <v>227</v>
      </c>
      <c r="T12" s="196">
        <f>$U$2*T2</f>
        <v>1.4040000000000001</v>
      </c>
      <c r="V12" s="196">
        <f>$V$2*$T$2</f>
        <v>1.4580000000000002</v>
      </c>
      <c r="W12" s="195"/>
    </row>
    <row r="13" spans="1:31" ht="15" thickBot="1" x14ac:dyDescent="0.35">
      <c r="A13" s="200">
        <v>45907.125</v>
      </c>
      <c r="B13">
        <v>2.0226000000000002</v>
      </c>
      <c r="C13">
        <f t="shared" si="0"/>
        <v>2.6991398572232357</v>
      </c>
      <c r="D13" s="195">
        <f t="shared" si="1"/>
        <v>133.98251192368841</v>
      </c>
      <c r="E13">
        <v>2.1303999999999998</v>
      </c>
      <c r="F13">
        <f t="shared" si="2"/>
        <v>5.1179893460225205</v>
      </c>
      <c r="G13" s="195">
        <f t="shared" si="3"/>
        <v>140.84730523086691</v>
      </c>
      <c r="J13" s="209"/>
      <c r="K13" s="196"/>
      <c r="L13" s="195"/>
      <c r="M13" s="196"/>
      <c r="N13" s="195"/>
      <c r="S13" s="194" t="s">
        <v>228</v>
      </c>
      <c r="T13" s="212">
        <f>AVERAGE(T6:T10)</f>
        <v>1.2702666666666669</v>
      </c>
      <c r="U13" s="201">
        <f>AVERAGE(U6:U10)</f>
        <v>90.474833808167148</v>
      </c>
      <c r="V13" s="212">
        <f>AVERAGE(V6:V9)</f>
        <v>1.3918666666666668</v>
      </c>
      <c r="W13" s="211">
        <f>AVERAGE(W6:W9)</f>
        <v>95.464106081390014</v>
      </c>
    </row>
    <row r="14" spans="1:31" ht="15" thickBot="1" x14ac:dyDescent="0.35">
      <c r="A14" s="200">
        <v>45908</v>
      </c>
      <c r="B14">
        <v>1.9328000000000001</v>
      </c>
      <c r="C14">
        <f t="shared" si="0"/>
        <v>0.74994341722564872</v>
      </c>
      <c r="D14" s="195">
        <f t="shared" si="1"/>
        <v>128.03391626921041</v>
      </c>
      <c r="E14">
        <v>2.0255999999999998</v>
      </c>
      <c r="F14">
        <f t="shared" si="2"/>
        <v>1.6445173771504593</v>
      </c>
      <c r="G14" s="195">
        <f t="shared" si="3"/>
        <v>133.91865446659969</v>
      </c>
      <c r="J14" s="205"/>
      <c r="K14" s="194"/>
      <c r="L14" s="192"/>
      <c r="M14" s="194"/>
      <c r="N14" s="192"/>
    </row>
    <row r="15" spans="1:31" x14ac:dyDescent="0.3">
      <c r="A15" s="200">
        <v>45909.083333333336</v>
      </c>
      <c r="B15">
        <v>1.9188000000000001</v>
      </c>
      <c r="C15">
        <f t="shared" si="0"/>
        <v>0.56848202064664377</v>
      </c>
      <c r="D15" s="195">
        <f t="shared" si="1"/>
        <v>127.10651828298889</v>
      </c>
      <c r="E15">
        <v>1.9698</v>
      </c>
      <c r="F15">
        <f t="shared" si="2"/>
        <v>0.42222075268094028</v>
      </c>
      <c r="G15" s="195">
        <f t="shared" si="3"/>
        <v>130.22954461310627</v>
      </c>
      <c r="J15" s="215" t="s">
        <v>226</v>
      </c>
      <c r="K15" s="214">
        <f>_xlfn.STDEV.P(K6:K14)</f>
        <v>0.22604089646566158</v>
      </c>
      <c r="L15" s="213">
        <f>_xlfn.STDEV.P(L6:L14)</f>
        <v>4.18594252714189</v>
      </c>
      <c r="M15" s="214">
        <f>_xlfn.STDEV.P(M6:M14)</f>
        <v>0.12271217085114276</v>
      </c>
      <c r="N15" s="213">
        <f>_xlfn.STDEV.P(N6:N14)</f>
        <v>2.2975504746516124</v>
      </c>
    </row>
    <row r="16" spans="1:31" x14ac:dyDescent="0.3">
      <c r="A16" s="200">
        <v>45910</v>
      </c>
      <c r="B16">
        <v>1.8738999999999999</v>
      </c>
      <c r="C16">
        <f t="shared" si="0"/>
        <v>0.20310166397899865</v>
      </c>
      <c r="D16" s="195">
        <f t="shared" si="1"/>
        <v>124.13222045574987</v>
      </c>
      <c r="E16">
        <v>1.9276</v>
      </c>
      <c r="F16">
        <f t="shared" si="2"/>
        <v>0.10656311324046359</v>
      </c>
      <c r="G16" s="195">
        <f t="shared" si="3"/>
        <v>127.43957264505212</v>
      </c>
      <c r="J16" s="209" t="s">
        <v>227</v>
      </c>
      <c r="K16" s="196">
        <f>K2*L2*1000*3</f>
        <v>5.4</v>
      </c>
      <c r="L16" s="195"/>
      <c r="M16" s="196">
        <f>K2*M2*1000*7</f>
        <v>5.3410000000000011</v>
      </c>
      <c r="N16" s="195"/>
    </row>
    <row r="17" spans="1:14" x14ac:dyDescent="0.3">
      <c r="A17" s="200">
        <v>45911</v>
      </c>
      <c r="B17">
        <v>2.1568000000000001</v>
      </c>
      <c r="C17">
        <f t="shared" si="0"/>
        <v>3.6930543583841389</v>
      </c>
      <c r="D17" s="195">
        <f t="shared" si="1"/>
        <v>142.87228404875464</v>
      </c>
      <c r="E17">
        <v>2.1983999999999999</v>
      </c>
      <c r="F17">
        <f t="shared" si="2"/>
        <v>3.9717630870067149</v>
      </c>
      <c r="G17" s="195">
        <f t="shared" si="3"/>
        <v>145.34299465806316</v>
      </c>
      <c r="J17" s="209"/>
      <c r="K17" s="196"/>
      <c r="L17" s="195"/>
      <c r="M17" s="196"/>
      <c r="N17" s="195"/>
    </row>
    <row r="18" spans="1:14" ht="15" thickBot="1" x14ac:dyDescent="0.35">
      <c r="A18" s="200">
        <v>45912.125</v>
      </c>
      <c r="B18">
        <v>2.1067</v>
      </c>
      <c r="C18">
        <f t="shared" si="0"/>
        <v>4.1112364895014935</v>
      </c>
      <c r="D18" s="195">
        <f t="shared" si="1"/>
        <v>139.55352411234765</v>
      </c>
      <c r="E18">
        <v>2.1806999999999999</v>
      </c>
      <c r="F18">
        <f t="shared" si="2"/>
        <v>4.5732974882870812</v>
      </c>
      <c r="G18" s="195">
        <f t="shared" si="3"/>
        <v>144.1727931453959</v>
      </c>
      <c r="J18" s="205" t="s">
        <v>228</v>
      </c>
      <c r="K18" s="212">
        <f>AVERAGE(K6:K14)</f>
        <v>6.3299250000000002</v>
      </c>
      <c r="L18" s="211">
        <f>AVERAGE(L6:L14)</f>
        <v>117.22083333333332</v>
      </c>
      <c r="M18" s="212">
        <f>AVERAGE(M6:M14)</f>
        <v>6.3662749999999999</v>
      </c>
      <c r="N18" s="211">
        <f>AVERAGE(N6:N14)</f>
        <v>119.19631155214377</v>
      </c>
    </row>
    <row r="19" spans="1:14" x14ac:dyDescent="0.3">
      <c r="A19" s="200">
        <v>45913.041666666664</v>
      </c>
      <c r="B19">
        <v>2.1753999999999998</v>
      </c>
      <c r="C19">
        <f t="shared" si="0"/>
        <v>3.315472566117605</v>
      </c>
      <c r="D19" s="195">
        <f t="shared" si="1"/>
        <v>144.10439851616323</v>
      </c>
      <c r="E19">
        <v>2.1627999999999998</v>
      </c>
      <c r="F19">
        <f t="shared" si="2"/>
        <v>4.9985715320782331</v>
      </c>
      <c r="G19" s="195">
        <f t="shared" si="3"/>
        <v>142.98936901676629</v>
      </c>
    </row>
    <row r="20" spans="1:14" x14ac:dyDescent="0.3">
      <c r="A20" s="200">
        <v>45913.416666666664</v>
      </c>
      <c r="B20">
        <v>2.1223999999999998</v>
      </c>
      <c r="C20">
        <f t="shared" si="0"/>
        <v>4.0912936126206914</v>
      </c>
      <c r="D20" s="195">
        <f t="shared" si="1"/>
        <v>140.59353471118177</v>
      </c>
      <c r="E20">
        <v>2.1974</v>
      </c>
      <c r="F20">
        <f t="shared" si="2"/>
        <v>4.0091726069430944</v>
      </c>
      <c r="G20" s="195">
        <f t="shared" si="3"/>
        <v>145.27688157825148</v>
      </c>
    </row>
    <row r="21" spans="1:14" x14ac:dyDescent="0.3">
      <c r="A21" s="200">
        <v>45914.541666666664</v>
      </c>
      <c r="B21">
        <v>2.343</v>
      </c>
      <c r="C21">
        <f t="shared" si="0"/>
        <v>0.23819745162319153</v>
      </c>
      <c r="D21" s="195">
        <f t="shared" si="1"/>
        <v>155.20667726550082</v>
      </c>
      <c r="E21">
        <v>2.2248999999999999</v>
      </c>
      <c r="F21">
        <f t="shared" si="2"/>
        <v>2.9135329972575215</v>
      </c>
      <c r="G21" s="195">
        <f t="shared" si="3"/>
        <v>147.09499127307348</v>
      </c>
    </row>
    <row r="22" spans="1:14" x14ac:dyDescent="0.3">
      <c r="A22" s="200">
        <v>45914.583333333336</v>
      </c>
      <c r="B22">
        <v>2.2292999999999998</v>
      </c>
      <c r="C22">
        <f t="shared" si="0"/>
        <v>1.9699627408857006</v>
      </c>
      <c r="D22" s="195">
        <f t="shared" si="1"/>
        <v>147.67488076311605</v>
      </c>
      <c r="E22">
        <v>2.2461000000000002</v>
      </c>
      <c r="F22">
        <f t="shared" si="2"/>
        <v>2.0881412417606677</v>
      </c>
      <c r="G22" s="195">
        <f t="shared" si="3"/>
        <v>148.49658856508177</v>
      </c>
    </row>
    <row r="23" spans="1:14" x14ac:dyDescent="0.3">
      <c r="A23" s="200">
        <v>45915</v>
      </c>
      <c r="B23">
        <v>2.1932</v>
      </c>
      <c r="C23">
        <f t="shared" si="0"/>
        <v>2.8889445228334121</v>
      </c>
      <c r="D23" s="195">
        <f t="shared" si="1"/>
        <v>145.28351881293059</v>
      </c>
      <c r="E23">
        <v>2.1829999999999998</v>
      </c>
      <c r="F23">
        <f t="shared" si="2"/>
        <v>4.5036768223846009</v>
      </c>
      <c r="G23" s="195">
        <f t="shared" si="3"/>
        <v>144.32485322896284</v>
      </c>
    </row>
    <row r="24" spans="1:14" x14ac:dyDescent="0.3">
      <c r="A24" s="200">
        <v>45916.083333333336</v>
      </c>
      <c r="B24">
        <v>2.2566000000000002</v>
      </c>
      <c r="C24">
        <f t="shared" si="0"/>
        <v>1.3449071843546523</v>
      </c>
      <c r="D24" s="195">
        <f t="shared" si="1"/>
        <v>149.48330683624803</v>
      </c>
      <c r="E24">
        <v>2.2040000000000002</v>
      </c>
      <c r="F24">
        <f t="shared" si="2"/>
        <v>3.7569094382032064</v>
      </c>
      <c r="G24" s="195">
        <f t="shared" si="3"/>
        <v>145.71322790500878</v>
      </c>
      <c r="H24">
        <v>0</v>
      </c>
      <c r="I24">
        <f t="shared" ref="I24:I45" si="4">$E$42</f>
        <v>1.5125599999999997</v>
      </c>
    </row>
    <row r="25" spans="1:14" x14ac:dyDescent="0.3">
      <c r="A25" s="200">
        <v>45917</v>
      </c>
      <c r="B25">
        <v>2.1553</v>
      </c>
      <c r="C25">
        <f t="shared" si="0"/>
        <v>3.7193413633515853</v>
      </c>
      <c r="D25" s="195">
        <f t="shared" si="1"/>
        <v>142.77291997880235</v>
      </c>
      <c r="E25">
        <v>2.2608999999999999</v>
      </c>
      <c r="F25">
        <f t="shared" si="2"/>
        <v>1.5822363387880034</v>
      </c>
      <c r="G25" s="195">
        <f t="shared" si="3"/>
        <v>149.47506214629504</v>
      </c>
      <c r="H25">
        <v>1</v>
      </c>
      <c r="I25">
        <f t="shared" si="4"/>
        <v>1.5125599999999997</v>
      </c>
    </row>
    <row r="26" spans="1:14" x14ac:dyDescent="0.3">
      <c r="A26" s="200">
        <v>45918.083333333336</v>
      </c>
      <c r="B26">
        <v>2.1735000000000002</v>
      </c>
      <c r="C26">
        <f t="shared" si="0"/>
        <v>3.3578696137050055</v>
      </c>
      <c r="D26" s="195">
        <f t="shared" si="1"/>
        <v>143.97853736089033</v>
      </c>
      <c r="E26">
        <v>2.2692999999999999</v>
      </c>
      <c r="F26">
        <f t="shared" si="2"/>
        <v>1.3297002901575383</v>
      </c>
      <c r="G26" s="195">
        <f t="shared" si="3"/>
        <v>150.0304120167134</v>
      </c>
      <c r="H26">
        <v>2</v>
      </c>
      <c r="I26">
        <f t="shared" si="4"/>
        <v>1.5125599999999997</v>
      </c>
    </row>
    <row r="27" spans="1:14" x14ac:dyDescent="0.3">
      <c r="A27" s="200">
        <v>45919</v>
      </c>
      <c r="B27">
        <v>2.2039</v>
      </c>
      <c r="C27">
        <f t="shared" si="0"/>
        <v>2.6166009137652817</v>
      </c>
      <c r="D27" s="195">
        <f t="shared" si="1"/>
        <v>145.99231584525702</v>
      </c>
      <c r="E27">
        <v>2.1518999999999999</v>
      </c>
      <c r="F27">
        <f t="shared" si="2"/>
        <v>5.138923110068486</v>
      </c>
      <c r="G27" s="195">
        <f t="shared" si="3"/>
        <v>142.26873644681865</v>
      </c>
      <c r="H27">
        <v>3</v>
      </c>
      <c r="I27">
        <f t="shared" si="4"/>
        <v>1.5125599999999997</v>
      </c>
    </row>
    <row r="28" spans="1:14" x14ac:dyDescent="0.3">
      <c r="A28" s="200">
        <v>45920.083333333336</v>
      </c>
      <c r="B28">
        <v>2.0459000000000001</v>
      </c>
      <c r="C28">
        <f t="shared" si="0"/>
        <v>3.2704681004186194</v>
      </c>
      <c r="D28" s="195">
        <f t="shared" si="1"/>
        <v>135.52596714361422</v>
      </c>
      <c r="E28">
        <v>2.1139999999999999</v>
      </c>
      <c r="F28">
        <f t="shared" si="2"/>
        <v>4.8417158440782835</v>
      </c>
      <c r="G28" s="195">
        <f t="shared" si="3"/>
        <v>139.76305072195484</v>
      </c>
      <c r="H28">
        <v>4</v>
      </c>
      <c r="I28">
        <f t="shared" si="4"/>
        <v>1.5125599999999997</v>
      </c>
    </row>
    <row r="29" spans="1:14" x14ac:dyDescent="0.3">
      <c r="A29" s="200">
        <v>45921</v>
      </c>
      <c r="B29">
        <v>2.1267</v>
      </c>
      <c r="C29">
        <f t="shared" si="0"/>
        <v>4.0671841907994928</v>
      </c>
      <c r="D29" s="195">
        <f t="shared" si="1"/>
        <v>140.87837837837839</v>
      </c>
      <c r="E29">
        <v>2.1467000000000001</v>
      </c>
      <c r="F29">
        <f t="shared" si="2"/>
        <v>5.1706531893327767</v>
      </c>
      <c r="G29" s="195">
        <f t="shared" si="3"/>
        <v>141.92494843179776</v>
      </c>
      <c r="H29">
        <v>5</v>
      </c>
      <c r="I29">
        <f t="shared" si="4"/>
        <v>1.5125599999999997</v>
      </c>
    </row>
    <row r="30" spans="1:14" x14ac:dyDescent="0.3">
      <c r="A30" s="200">
        <v>45921.041666666664</v>
      </c>
      <c r="B30">
        <v>2.1320999999999999</v>
      </c>
      <c r="C30">
        <f t="shared" si="0"/>
        <v>4.0258661023090969</v>
      </c>
      <c r="D30" s="195">
        <f t="shared" si="1"/>
        <v>141.23608903020667</v>
      </c>
      <c r="E30">
        <v>2.1533000000000002</v>
      </c>
      <c r="F30">
        <f t="shared" si="2"/>
        <v>5.1264204486212019</v>
      </c>
      <c r="G30" s="195">
        <f t="shared" si="3"/>
        <v>142.36129475855509</v>
      </c>
      <c r="H30">
        <v>6</v>
      </c>
      <c r="I30">
        <f t="shared" si="4"/>
        <v>1.5125599999999997</v>
      </c>
    </row>
    <row r="31" spans="1:14" x14ac:dyDescent="0.3">
      <c r="A31" s="200">
        <v>45922.083333333336</v>
      </c>
      <c r="B31">
        <v>2.1191</v>
      </c>
      <c r="C31">
        <f t="shared" si="0"/>
        <v>4.1044091430797804</v>
      </c>
      <c r="D31" s="195">
        <f t="shared" si="1"/>
        <v>140.37493375728673</v>
      </c>
      <c r="E31">
        <v>2.1598000000000002</v>
      </c>
      <c r="F31">
        <f t="shared" si="2"/>
        <v>5.0468831477086189</v>
      </c>
      <c r="G31" s="195">
        <f t="shared" si="3"/>
        <v>142.79102977733118</v>
      </c>
      <c r="H31">
        <v>7</v>
      </c>
      <c r="I31">
        <f t="shared" si="4"/>
        <v>1.5125599999999997</v>
      </c>
    </row>
    <row r="32" spans="1:14" x14ac:dyDescent="0.3">
      <c r="A32" s="200">
        <v>45923</v>
      </c>
      <c r="B32">
        <v>2.1812999999999998</v>
      </c>
      <c r="C32">
        <f t="shared" si="0"/>
        <v>3.1794013492445861</v>
      </c>
      <c r="D32" s="195">
        <f t="shared" si="1"/>
        <v>144.4952305246423</v>
      </c>
      <c r="E32">
        <v>2.1711999999999998</v>
      </c>
      <c r="F32">
        <f t="shared" si="2"/>
        <v>4.8266381492117612</v>
      </c>
      <c r="G32" s="195">
        <f t="shared" si="3"/>
        <v>143.54471888718464</v>
      </c>
      <c r="H32">
        <v>8</v>
      </c>
      <c r="I32">
        <f t="shared" si="4"/>
        <v>1.5125599999999997</v>
      </c>
    </row>
    <row r="33" spans="1:9" x14ac:dyDescent="0.3">
      <c r="A33" s="200">
        <v>45924.083333333336</v>
      </c>
      <c r="B33">
        <v>2.1972999999999998</v>
      </c>
      <c r="C33">
        <f t="shared" si="0"/>
        <v>2.7853999691724081</v>
      </c>
      <c r="D33" s="195">
        <f t="shared" si="1"/>
        <v>145.55511393746687</v>
      </c>
      <c r="E33">
        <v>2.1629999999999998</v>
      </c>
      <c r="F33">
        <f t="shared" si="2"/>
        <v>4.9950978432807194</v>
      </c>
      <c r="G33" s="195">
        <f t="shared" si="3"/>
        <v>143.00259163272864</v>
      </c>
      <c r="H33">
        <v>9</v>
      </c>
      <c r="I33">
        <f t="shared" si="4"/>
        <v>1.5125599999999997</v>
      </c>
    </row>
    <row r="34" spans="1:9" x14ac:dyDescent="0.3">
      <c r="A34" s="200">
        <v>45925</v>
      </c>
      <c r="B34">
        <v>2.0223</v>
      </c>
      <c r="C34">
        <f t="shared" si="0"/>
        <v>2.6914608721532187</v>
      </c>
      <c r="D34" s="195">
        <f t="shared" si="1"/>
        <v>133.96263910969793</v>
      </c>
      <c r="E34">
        <v>2.1953</v>
      </c>
      <c r="F34">
        <f t="shared" si="2"/>
        <v>4.0866409408262214</v>
      </c>
      <c r="G34" s="195">
        <f t="shared" si="3"/>
        <v>145.13804411064689</v>
      </c>
      <c r="H34">
        <v>10</v>
      </c>
      <c r="I34">
        <f t="shared" si="4"/>
        <v>1.5125599999999997</v>
      </c>
    </row>
    <row r="35" spans="1:9" x14ac:dyDescent="0.3">
      <c r="A35" s="200">
        <v>45926.083333333336</v>
      </c>
      <c r="B35">
        <v>2.1021000000000001</v>
      </c>
      <c r="C35">
        <f t="shared" si="0"/>
        <v>4.0966811178084352</v>
      </c>
      <c r="D35" s="195">
        <f t="shared" si="1"/>
        <v>139.24880763116059</v>
      </c>
      <c r="E35">
        <v>2.1074999999999999</v>
      </c>
      <c r="F35">
        <f t="shared" si="2"/>
        <v>4.6773495305752126</v>
      </c>
      <c r="G35" s="195">
        <f t="shared" si="3"/>
        <v>139.33331570317876</v>
      </c>
      <c r="H35">
        <v>11</v>
      </c>
      <c r="I35">
        <f t="shared" si="4"/>
        <v>1.5125599999999997</v>
      </c>
    </row>
    <row r="36" spans="1:9" x14ac:dyDescent="0.3">
      <c r="A36" s="200">
        <v>45927</v>
      </c>
      <c r="B36">
        <v>2.1092</v>
      </c>
      <c r="C36">
        <f t="shared" si="0"/>
        <v>4.1152780069104002</v>
      </c>
      <c r="D36" s="195">
        <f t="shared" si="1"/>
        <v>139.7191308956015</v>
      </c>
      <c r="E36">
        <v>2.1560999999999999</v>
      </c>
      <c r="F36">
        <f t="shared" si="2"/>
        <v>5.0964531405499622</v>
      </c>
      <c r="G36" s="195">
        <f t="shared" si="3"/>
        <v>142.54641138202783</v>
      </c>
      <c r="H36">
        <v>12</v>
      </c>
      <c r="I36">
        <f t="shared" si="4"/>
        <v>1.5125599999999997</v>
      </c>
    </row>
    <row r="37" spans="1:9" x14ac:dyDescent="0.3">
      <c r="A37" s="200">
        <v>45928.083333333336</v>
      </c>
      <c r="B37">
        <v>2.1027</v>
      </c>
      <c r="C37">
        <f t="shared" si="0"/>
        <v>4.0991004342660986</v>
      </c>
      <c r="D37" s="195">
        <f t="shared" si="1"/>
        <v>139.28855325914151</v>
      </c>
      <c r="E37">
        <v>2.177</v>
      </c>
      <c r="F37">
        <f t="shared" si="2"/>
        <v>4.6788000331741051</v>
      </c>
      <c r="G37" s="195">
        <f t="shared" si="3"/>
        <v>143.92817475009258</v>
      </c>
      <c r="H37">
        <v>13</v>
      </c>
      <c r="I37">
        <f t="shared" si="4"/>
        <v>1.5125599999999997</v>
      </c>
    </row>
    <row r="38" spans="1:9" x14ac:dyDescent="0.3">
      <c r="A38" s="200">
        <v>45928.125</v>
      </c>
      <c r="B38">
        <v>2.1145999999999998</v>
      </c>
      <c r="C38">
        <f t="shared" si="0"/>
        <v>4.1146656308857521</v>
      </c>
      <c r="D38" s="195">
        <f t="shared" si="1"/>
        <v>140.07684154742978</v>
      </c>
      <c r="E38">
        <v>2.2147000000000001</v>
      </c>
      <c r="F38">
        <f t="shared" si="2"/>
        <v>3.3288860983031432</v>
      </c>
      <c r="G38" s="195">
        <f t="shared" si="3"/>
        <v>146.42063785899407</v>
      </c>
      <c r="H38">
        <v>14</v>
      </c>
      <c r="I38">
        <f t="shared" si="4"/>
        <v>1.5125599999999997</v>
      </c>
    </row>
    <row r="39" spans="1:9" x14ac:dyDescent="0.3">
      <c r="A39" s="200">
        <v>45929</v>
      </c>
      <c r="B39">
        <v>2.1549</v>
      </c>
      <c r="C39">
        <f t="shared" si="0"/>
        <v>3.7262320068974151</v>
      </c>
      <c r="D39" s="195">
        <f t="shared" si="1"/>
        <v>142.74642289348174</v>
      </c>
      <c r="E39">
        <v>2.1701999999999999</v>
      </c>
      <c r="F39">
        <f t="shared" si="2"/>
        <v>4.8498156370901002</v>
      </c>
      <c r="G39" s="195">
        <f t="shared" si="3"/>
        <v>143.47860580737296</v>
      </c>
      <c r="H39">
        <v>15</v>
      </c>
      <c r="I39">
        <f t="shared" si="4"/>
        <v>1.5125599999999997</v>
      </c>
    </row>
    <row r="40" spans="1:9" ht="15" thickBot="1" x14ac:dyDescent="0.35">
      <c r="A40" s="200">
        <v>45930.083333333336</v>
      </c>
      <c r="B40">
        <v>2.1511</v>
      </c>
      <c r="C40">
        <f t="shared" si="0"/>
        <v>3.7891122660188707</v>
      </c>
      <c r="D40" s="195">
        <f t="shared" si="1"/>
        <v>142.49470058293591</v>
      </c>
      <c r="E40">
        <v>2.1837</v>
      </c>
      <c r="F40">
        <f t="shared" si="2"/>
        <v>4.4819058203612103</v>
      </c>
      <c r="G40" s="195">
        <f t="shared" si="3"/>
        <v>144.37113238483104</v>
      </c>
      <c r="H40">
        <v>16</v>
      </c>
      <c r="I40">
        <f t="shared" si="4"/>
        <v>1.5125599999999997</v>
      </c>
    </row>
    <row r="41" spans="1:9" x14ac:dyDescent="0.3">
      <c r="A41" s="199" t="s">
        <v>228</v>
      </c>
      <c r="B41" s="199">
        <f>AVERAGE(B6:B39)</f>
        <v>2.111641176470588</v>
      </c>
      <c r="C41" s="198"/>
      <c r="D41" s="198"/>
      <c r="E41" s="199">
        <f>AVERAGE(E6:E39)</f>
        <v>2.1422764705882349</v>
      </c>
      <c r="F41" s="198"/>
      <c r="G41" s="197"/>
      <c r="H41">
        <v>17</v>
      </c>
      <c r="I41">
        <f t="shared" si="4"/>
        <v>1.5125599999999997</v>
      </c>
    </row>
    <row r="42" spans="1:9" x14ac:dyDescent="0.3">
      <c r="A42" s="196" t="s">
        <v>239</v>
      </c>
      <c r="B42" s="196">
        <f>B2*C2*1000*3</f>
        <v>1.5095999999999998</v>
      </c>
      <c r="E42" s="196">
        <f>B2*D2*1000*7</f>
        <v>1.5125599999999997</v>
      </c>
      <c r="G42" s="195"/>
      <c r="H42">
        <v>18</v>
      </c>
      <c r="I42">
        <f t="shared" si="4"/>
        <v>1.5125599999999997</v>
      </c>
    </row>
    <row r="43" spans="1:9" x14ac:dyDescent="0.3">
      <c r="A43" t="s">
        <v>238</v>
      </c>
      <c r="B43" s="196">
        <f>B3*C3*1000*3</f>
        <v>0</v>
      </c>
      <c r="E43" s="196">
        <f>B3*D3*1000*7</f>
        <v>0</v>
      </c>
      <c r="G43" s="195"/>
      <c r="H43">
        <v>19</v>
      </c>
      <c r="I43">
        <f t="shared" si="4"/>
        <v>1.5125599999999997</v>
      </c>
    </row>
    <row r="44" spans="1:9" ht="15" thickBot="1" x14ac:dyDescent="0.35">
      <c r="A44" s="194" t="s">
        <v>226</v>
      </c>
      <c r="B44" s="194">
        <f>_xlfn.STDEV.P(B6:B39)</f>
        <v>9.691100562052081E-2</v>
      </c>
      <c r="C44" s="193"/>
      <c r="D44" s="193"/>
      <c r="E44" s="194">
        <f>_xlfn.STDEV.P(E6:E39)</f>
        <v>7.7027982153254376E-2</v>
      </c>
      <c r="F44" s="193"/>
      <c r="G44" s="192"/>
      <c r="H44">
        <v>20</v>
      </c>
      <c r="I44">
        <f t="shared" si="4"/>
        <v>1.5125599999999997</v>
      </c>
    </row>
    <row r="45" spans="1:9" x14ac:dyDescent="0.3">
      <c r="H45">
        <v>21</v>
      </c>
      <c r="I45">
        <f t="shared" si="4"/>
        <v>1.5125599999999997</v>
      </c>
    </row>
  </sheetData>
  <mergeCells count="3">
    <mergeCell ref="A4:G4"/>
    <mergeCell ref="J4:N4"/>
    <mergeCell ref="S4:W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0676F4B55C644F923E04FD4B4BD4C4" ma:contentTypeVersion="9" ma:contentTypeDescription="Create a new document." ma:contentTypeScope="" ma:versionID="0af9f5bd2d93ebe474eef69c7f810150">
  <xsd:schema xmlns:xsd="http://www.w3.org/2001/XMLSchema" xmlns:xs="http://www.w3.org/2001/XMLSchema" xmlns:p="http://schemas.microsoft.com/office/2006/metadata/properties" xmlns:ns2="1025791a-d79c-4e34-beff-e64a4f1071c8" targetNamespace="http://schemas.microsoft.com/office/2006/metadata/properties" ma:root="true" ma:fieldsID="ad5f17b5cb35dde6adfdd0dd9b8d00ee" ns2:_="">
    <xsd:import namespace="1025791a-d79c-4e34-beff-e64a4f107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25791a-d79c-4e34-beff-e64a4f1071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CC991E-1AD6-4D42-BAF1-24EA4DC6BF24}">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1025791a-d79c-4e34-beff-e64a4f1071c8"/>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7408339F-CAE9-4ADC-BD7C-B86BF6E1F160}">
  <ds:schemaRefs>
    <ds:schemaRef ds:uri="http://schemas.microsoft.com/sharepoint/v3/contenttype/forms"/>
  </ds:schemaRefs>
</ds:datastoreItem>
</file>

<file path=customXml/itemProps3.xml><?xml version="1.0" encoding="utf-8"?>
<ds:datastoreItem xmlns:ds="http://schemas.openxmlformats.org/officeDocument/2006/customXml" ds:itemID="{39963E72-D39E-45CB-BF49-56C6C0D9D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25791a-d79c-4e34-beff-e64a4f1071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Validator Notes</vt:lpstr>
      <vt:lpstr>QC Review</vt:lpstr>
      <vt:lpstr>Reprocessed Data</vt:lpstr>
      <vt:lpstr>Reprocess Plan</vt:lpstr>
      <vt:lpstr>QUALIFIERS_NULL </vt:lpstr>
      <vt:lpstr>Calculations</vt:lpstr>
      <vt:lpstr>'QC Review'!Print_Area</vt:lpstr>
      <vt:lpstr>'QUALIFIERS_NULL '!Print_Area</vt:lpstr>
      <vt:lpstr>'Reprocess Plan'!Print_Area</vt:lpstr>
      <vt:lpstr>'Reprocessed Data'!Print_Area</vt:lpstr>
      <vt:lpstr>'Validator Notes'!Print_Area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sighi</dc:creator>
  <cp:lastModifiedBy>Alex Engstrom</cp:lastModifiedBy>
  <cp:lastPrinted>2023-04-04T21:02:08Z</cp:lastPrinted>
  <dcterms:created xsi:type="dcterms:W3CDTF">2019-09-27T22:33:13Z</dcterms:created>
  <dcterms:modified xsi:type="dcterms:W3CDTF">2026-03-21T00:16:01Z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0x010100920676F4B55C644F923E04FD4B4BD4C4</vt:lpwstr>
  </property>
</Properties>
</file>